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2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Ex1.xml" ContentType="application/vnd.ms-office.chartex+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harts/chartEx2.xml" ContentType="application/vnd.ms-office.chartex+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pivotTables/pivotTable4.xml" ContentType="application/vnd.openxmlformats-officedocument.spreadsheetml.pivotTable+xml"/>
  <Override PartName="/xl/drawings/drawing14.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Elijah\Desktop\Y2S2\CAT\BLEET Project\"/>
    </mc:Choice>
  </mc:AlternateContent>
  <xr:revisionPtr revIDLastSave="0" documentId="13_ncr:1_{9347A6B9-31DE-46B5-A6B9-3A828BA48F22}" xr6:coauthVersionLast="36" xr6:coauthVersionMax="41" xr10:uidLastSave="{00000000-0000-0000-0000-000000000000}"/>
  <bookViews>
    <workbookView xWindow="-120" yWindow="-120" windowWidth="24240" windowHeight="13140" tabRatio="920" firstSheet="11" activeTab="16" xr2:uid="{ADC60C83-6E2A-405D-B268-B596A356116F}"/>
  </bookViews>
  <sheets>
    <sheet name="Home" sheetId="4" r:id="rId1"/>
    <sheet name="Dashboard (Overall)" sheetId="48" r:id="rId2"/>
    <sheet name="Order Summary" sheetId="47" r:id="rId3"/>
    <sheet name="Overall Influence Diagram" sheetId="37" r:id="rId4"/>
    <sheet name="Black Box" sheetId="43" r:id="rId5"/>
    <sheet name="Influence Diagram (Profits)" sheetId="44" r:id="rId6"/>
    <sheet name="Past Inputs" sheetId="6" r:id="rId7"/>
    <sheet name="Marketing Effects" sheetId="13" r:id="rId8"/>
    <sheet name="Sensitivity for Marketing" sheetId="25" r:id="rId9"/>
    <sheet name="Price Elasticty of Demand" sheetId="8" r:id="rId10"/>
    <sheet name="Trade-off Analysis" sheetId="7" r:id="rId11"/>
    <sheet name="Sensitivity Analysis of PED" sheetId="42" r:id="rId12"/>
    <sheet name="Solver" sheetId="19" r:id="rId13"/>
    <sheet name="Influence Diagram (Valuation)" sheetId="45" r:id="rId14"/>
    <sheet name="Growth Projection" sheetId="20" r:id="rId15"/>
    <sheet name="CAGR Calculation (SG only)" sheetId="24" r:id="rId16"/>
    <sheet name="Expansion Plans (Monte Carlo)" sheetId="28" r:id="rId17"/>
    <sheet name="Influence (Inventory Forecast)" sheetId="46" r:id="rId18"/>
    <sheet name="Seasonality Analysis" sheetId="9" r:id="rId19"/>
    <sheet name="Forecasting for Perfume 30ml " sheetId="39" r:id="rId20"/>
    <sheet name="Forecasting for Perfume 50ml" sheetId="40" r:id="rId21"/>
    <sheet name="Forecasting for Bodymist 100ml" sheetId="41" r:id="rId22"/>
    <sheet name="Fractions" sheetId="33" r:id="rId23"/>
    <sheet name="Order Quantity" sheetId="32" r:id="rId24"/>
  </sheets>
  <externalReferences>
    <externalReference r:id="rId25"/>
  </externalReferences>
  <definedNames>
    <definedName name="_xlnm._FilterDatabase" localSheetId="18" hidden="1">'Seasonality Analysis'!$O$69:$U$81</definedName>
    <definedName name="_xlchart.v1.0" hidden="1">'Trade-off Analysis'!$C$21</definedName>
    <definedName name="_xlchart.v1.1" hidden="1">'Trade-off Analysis'!$C$22</definedName>
    <definedName name="_xlchart.v1.10" hidden="1">'Trade-off Analysis'!$C$31</definedName>
    <definedName name="_xlchart.v1.11" hidden="1">'Trade-off Analysis'!$D$20:$N$20</definedName>
    <definedName name="_xlchart.v1.12" hidden="1">'Trade-off Analysis'!$D$21:$N$21</definedName>
    <definedName name="_xlchart.v1.13" hidden="1">'Trade-off Analysis'!$D$22:$N$22</definedName>
    <definedName name="_xlchart.v1.14" hidden="1">'Trade-off Analysis'!$D$23:$N$23</definedName>
    <definedName name="_xlchart.v1.15" hidden="1">'Trade-off Analysis'!$D$24:$N$24</definedName>
    <definedName name="_xlchart.v1.16" hidden="1">'Trade-off Analysis'!$D$25:$N$25</definedName>
    <definedName name="_xlchart.v1.17" hidden="1">'Trade-off Analysis'!$D$26:$N$26</definedName>
    <definedName name="_xlchart.v1.18" hidden="1">'Trade-off Analysis'!$D$27:$N$27</definedName>
    <definedName name="_xlchart.v1.19" hidden="1">'Trade-off Analysis'!$D$28:$N$28</definedName>
    <definedName name="_xlchart.v1.2" hidden="1">'Trade-off Analysis'!$C$23</definedName>
    <definedName name="_xlchart.v1.20" hidden="1">'Trade-off Analysis'!$D$29:$N$29</definedName>
    <definedName name="_xlchart.v1.21" hidden="1">'Trade-off Analysis'!$D$30:$N$30</definedName>
    <definedName name="_xlchart.v1.22" hidden="1">'Trade-off Analysis'!$D$31:$N$31</definedName>
    <definedName name="_xlchart.v1.23" hidden="1">'Expansion Plans (Monte Carlo)'!$O$42</definedName>
    <definedName name="_xlchart.v1.24" hidden="1">'Expansion Plans (Monte Carlo)'!$O$44:$O$1043</definedName>
    <definedName name="_xlchart.v1.3" hidden="1">'Trade-off Analysis'!$C$24</definedName>
    <definedName name="_xlchart.v1.4" hidden="1">'Trade-off Analysis'!$C$25</definedName>
    <definedName name="_xlchart.v1.5" hidden="1">'Trade-off Analysis'!$C$26</definedName>
    <definedName name="_xlchart.v1.6" hidden="1">'Trade-off Analysis'!$C$27</definedName>
    <definedName name="_xlchart.v1.7" hidden="1">'Trade-off Analysis'!$C$28</definedName>
    <definedName name="_xlchart.v1.8" hidden="1">'Trade-off Analysis'!$C$29</definedName>
    <definedName name="_xlchart.v1.9" hidden="1">'Trade-off Analysis'!$C$30</definedName>
    <definedName name="month" localSheetId="21">'[1]Seasonality Forecasting online'!$D$2:$D$61</definedName>
    <definedName name="month" localSheetId="19">'[1]Seasonality Forecasting online'!$D$2:$D$61</definedName>
    <definedName name="month" localSheetId="20">'[1]Seasonality Forecasting online'!$D$2:$D$61</definedName>
    <definedName name="month" localSheetId="17">'[1]Seasonality Forecasting online'!$D$2:$D$61</definedName>
    <definedName name="month" localSheetId="5">'[1]Seasonality Forecasting online'!$D$2:$D$61</definedName>
    <definedName name="month" localSheetId="13">'[1]Seasonality Forecasting online'!$D$2:$D$61</definedName>
    <definedName name="month">'[1]Seasonality Forecasting online'!$D$2:$D$61</definedName>
    <definedName name="period" localSheetId="1">#REF!</definedName>
    <definedName name="period" localSheetId="17">#REF!</definedName>
    <definedName name="period" localSheetId="5">#REF!</definedName>
    <definedName name="period" localSheetId="13">#REF!</definedName>
    <definedName name="period" localSheetId="2">#REF!</definedName>
    <definedName name="period">#REF!</definedName>
    <definedName name="_xlnm.Print_Area" localSheetId="0">Home!$A$1:$K$52</definedName>
    <definedName name="sales" localSheetId="21">'[1]Seasonality Forecasting online'!$E$2:$E$61</definedName>
    <definedName name="sales" localSheetId="19">'[1]Seasonality Forecasting online'!$E$2:$E$61</definedName>
    <definedName name="sales" localSheetId="20">'[1]Seasonality Forecasting online'!$E$2:$E$61</definedName>
    <definedName name="sales" localSheetId="17">'[1]Seasonality Forecasting online'!$E$2:$E$61</definedName>
    <definedName name="sales" localSheetId="5">'[1]Seasonality Forecasting online'!$E$2:$E$61</definedName>
    <definedName name="sales" localSheetId="13">'[1]Seasonality Forecasting online'!$E$2:$E$61</definedName>
    <definedName name="sales">'[1]Seasonality Forecasting online'!$E$2:$E$61</definedName>
    <definedName name="solver_adj" localSheetId="22" hidden="1">Fractions!$AD$8:$AG$8</definedName>
    <definedName name="solver_adj" localSheetId="18" hidden="1">'Seasonality Analysis'!$C$5:$N$5</definedName>
    <definedName name="solver_adj" localSheetId="12" hidden="1">Solver!$G$13:$G$14</definedName>
    <definedName name="solver_adj" localSheetId="10" hidden="1">'Trade-off Analysis'!$H$13:$H$14</definedName>
    <definedName name="solver_cvg" localSheetId="22" hidden="1">0.0001</definedName>
    <definedName name="solver_cvg" localSheetId="18" hidden="1">0.0001</definedName>
    <definedName name="solver_cvg" localSheetId="12" hidden="1">0.0001</definedName>
    <definedName name="solver_cvg" localSheetId="10" hidden="1">0.0001</definedName>
    <definedName name="solver_drv" localSheetId="22" hidden="1">1</definedName>
    <definedName name="solver_drv" localSheetId="18" hidden="1">2</definedName>
    <definedName name="solver_drv" localSheetId="12" hidden="1">1</definedName>
    <definedName name="solver_drv" localSheetId="10" hidden="1">1</definedName>
    <definedName name="solver_eng" localSheetId="22" hidden="1">1</definedName>
    <definedName name="solver_eng" localSheetId="18" hidden="1">1</definedName>
    <definedName name="solver_eng" localSheetId="11" hidden="1">1</definedName>
    <definedName name="solver_eng" localSheetId="12" hidden="1">1</definedName>
    <definedName name="solver_eng" localSheetId="10" hidden="1">1</definedName>
    <definedName name="solver_est" localSheetId="22" hidden="1">1</definedName>
    <definedName name="solver_est" localSheetId="18" hidden="1">1</definedName>
    <definedName name="solver_est" localSheetId="12" hidden="1">1</definedName>
    <definedName name="solver_est" localSheetId="10" hidden="1">1</definedName>
    <definedName name="solver_itr" localSheetId="22" hidden="1">2147483647</definedName>
    <definedName name="solver_itr" localSheetId="18" hidden="1">2147483647</definedName>
    <definedName name="solver_itr" localSheetId="12" hidden="1">2147483647</definedName>
    <definedName name="solver_itr" localSheetId="10" hidden="1">2147483647</definedName>
    <definedName name="solver_lhs1" localSheetId="22" hidden="1">Fractions!$AD$8:$AG$8</definedName>
    <definedName name="solver_lhs1" localSheetId="12" hidden="1">Solver!$G$13:$G$14</definedName>
    <definedName name="solver_lhs2" localSheetId="12" hidden="1">Solver!$G$13:$G$14</definedName>
    <definedName name="solver_lhs3" localSheetId="12" hidden="1">Solver!$G$14</definedName>
    <definedName name="solver_lhs4" localSheetId="12" hidden="1">Solver!$G$14</definedName>
    <definedName name="solver_lhs5" localSheetId="12" hidden="1">Solver!$N$18</definedName>
    <definedName name="solver_lhs6" localSheetId="12" hidden="1">Solver!$P$18</definedName>
    <definedName name="solver_lhs7" localSheetId="12" hidden="1">Solver!$P$18</definedName>
    <definedName name="solver_mip" localSheetId="22" hidden="1">2147483647</definedName>
    <definedName name="solver_mip" localSheetId="18" hidden="1">2147483647</definedName>
    <definedName name="solver_mip" localSheetId="12" hidden="1">2147483647</definedName>
    <definedName name="solver_mip" localSheetId="10" hidden="1">2147483647</definedName>
    <definedName name="solver_mni" localSheetId="22" hidden="1">30</definedName>
    <definedName name="solver_mni" localSheetId="18" hidden="1">30</definedName>
    <definedName name="solver_mni" localSheetId="12" hidden="1">30</definedName>
    <definedName name="solver_mni" localSheetId="10" hidden="1">30</definedName>
    <definedName name="solver_mrt" localSheetId="22" hidden="1">0.075</definedName>
    <definedName name="solver_mrt" localSheetId="18" hidden="1">0.075</definedName>
    <definedName name="solver_mrt" localSheetId="12" hidden="1">0.075</definedName>
    <definedName name="solver_mrt" localSheetId="10" hidden="1">0.075</definedName>
    <definedName name="solver_msl" localSheetId="22" hidden="1">2</definedName>
    <definedName name="solver_msl" localSheetId="18" hidden="1">2</definedName>
    <definedName name="solver_msl" localSheetId="12" hidden="1">2</definedName>
    <definedName name="solver_msl" localSheetId="10" hidden="1">2</definedName>
    <definedName name="solver_neg" localSheetId="22" hidden="1">1</definedName>
    <definedName name="solver_neg" localSheetId="18" hidden="1">1</definedName>
    <definedName name="solver_neg" localSheetId="11" hidden="1">1</definedName>
    <definedName name="solver_neg" localSheetId="12" hidden="1">1</definedName>
    <definedName name="solver_neg" localSheetId="10" hidden="1">1</definedName>
    <definedName name="solver_nod" localSheetId="22" hidden="1">2147483647</definedName>
    <definedName name="solver_nod" localSheetId="18" hidden="1">2147483647</definedName>
    <definedName name="solver_nod" localSheetId="12" hidden="1">2147483647</definedName>
    <definedName name="solver_nod" localSheetId="10" hidden="1">2147483647</definedName>
    <definedName name="solver_num" localSheetId="22" hidden="1">1</definedName>
    <definedName name="solver_num" localSheetId="18" hidden="1">0</definedName>
    <definedName name="solver_num" localSheetId="11" hidden="1">0</definedName>
    <definedName name="solver_num" localSheetId="12" hidden="1">1</definedName>
    <definedName name="solver_num" localSheetId="10" hidden="1">0</definedName>
    <definedName name="solver_nwt" localSheetId="22" hidden="1">1</definedName>
    <definedName name="solver_nwt" localSheetId="18" hidden="1">1</definedName>
    <definedName name="solver_nwt" localSheetId="12" hidden="1">1</definedName>
    <definedName name="solver_nwt" localSheetId="10" hidden="1">1</definedName>
    <definedName name="solver_opt" localSheetId="22" hidden="1">Fractions!#REF!</definedName>
    <definedName name="solver_opt" localSheetId="18" hidden="1">'Seasonality Analysis'!$O$5</definedName>
    <definedName name="solver_opt" localSheetId="11" hidden="1">'Sensitivity Analysis of PED'!$C$19</definedName>
    <definedName name="solver_opt" localSheetId="12" hidden="1">Solver!$F$22</definedName>
    <definedName name="solver_opt" localSheetId="10" hidden="1">'Trade-off Analysis'!$Q$18</definedName>
    <definedName name="solver_pre" localSheetId="22" hidden="1">0.000001</definedName>
    <definedName name="solver_pre" localSheetId="18" hidden="1">0.000001</definedName>
    <definedName name="solver_pre" localSheetId="12" hidden="1">0.000001</definedName>
    <definedName name="solver_pre" localSheetId="10" hidden="1">0.000001</definedName>
    <definedName name="solver_rbv" localSheetId="22" hidden="1">1</definedName>
    <definedName name="solver_rbv" localSheetId="18" hidden="1">2</definedName>
    <definedName name="solver_rbv" localSheetId="12" hidden="1">1</definedName>
    <definedName name="solver_rbv" localSheetId="10" hidden="1">1</definedName>
    <definedName name="solver_rel1" localSheetId="22" hidden="1">4</definedName>
    <definedName name="solver_rel1" localSheetId="12" hidden="1">4</definedName>
    <definedName name="solver_rel2" localSheetId="12" hidden="1">4</definedName>
    <definedName name="solver_rel3" localSheetId="12" hidden="1">1</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hs1" localSheetId="22" hidden="1">integer</definedName>
    <definedName name="solver_rhs1" localSheetId="12" hidden="1">integer</definedName>
    <definedName name="solver_rhs2" localSheetId="12" hidden="1">integer</definedName>
    <definedName name="solver_rhs3" localSheetId="12" hidden="1">100</definedName>
    <definedName name="solver_rhs4" localSheetId="12" hidden="1">0</definedName>
    <definedName name="solver_rhs5" localSheetId="12" hidden="1">0</definedName>
    <definedName name="solver_rhs6" localSheetId="12" hidden="1">0</definedName>
    <definedName name="solver_rhs7" localSheetId="12" hidden="1">0</definedName>
    <definedName name="solver_rlx" localSheetId="22" hidden="1">2</definedName>
    <definedName name="solver_rlx" localSheetId="18" hidden="1">2</definedName>
    <definedName name="solver_rlx" localSheetId="12" hidden="1">2</definedName>
    <definedName name="solver_rlx" localSheetId="10" hidden="1">2</definedName>
    <definedName name="solver_rsd" localSheetId="22" hidden="1">0</definedName>
    <definedName name="solver_rsd" localSheetId="18" hidden="1">0</definedName>
    <definedName name="solver_rsd" localSheetId="12" hidden="1">0</definedName>
    <definedName name="solver_rsd" localSheetId="10" hidden="1">0</definedName>
    <definedName name="solver_scl" localSheetId="22" hidden="1">1</definedName>
    <definedName name="solver_scl" localSheetId="18" hidden="1">2</definedName>
    <definedName name="solver_scl" localSheetId="12" hidden="1">1</definedName>
    <definedName name="solver_scl" localSheetId="10" hidden="1">1</definedName>
    <definedName name="solver_sho" localSheetId="22" hidden="1">2</definedName>
    <definedName name="solver_sho" localSheetId="18" hidden="1">2</definedName>
    <definedName name="solver_sho" localSheetId="12" hidden="1">2</definedName>
    <definedName name="solver_sho" localSheetId="10" hidden="1">2</definedName>
    <definedName name="solver_ssz" localSheetId="22" hidden="1">100</definedName>
    <definedName name="solver_ssz" localSheetId="18" hidden="1">100</definedName>
    <definedName name="solver_ssz" localSheetId="12" hidden="1">100</definedName>
    <definedName name="solver_ssz" localSheetId="10" hidden="1">100</definedName>
    <definedName name="solver_tim" localSheetId="22" hidden="1">2147483647</definedName>
    <definedName name="solver_tim" localSheetId="18" hidden="1">2147483647</definedName>
    <definedName name="solver_tim" localSheetId="12" hidden="1">2147483647</definedName>
    <definedName name="solver_tim" localSheetId="10" hidden="1">2147483647</definedName>
    <definedName name="solver_tol" localSheetId="22" hidden="1">0.01</definedName>
    <definedName name="solver_tol" localSheetId="18" hidden="1">0.01</definedName>
    <definedName name="solver_tol" localSheetId="12" hidden="1">0.01</definedName>
    <definedName name="solver_tol" localSheetId="10" hidden="1">0.01</definedName>
    <definedName name="solver_typ" localSheetId="22" hidden="1">3</definedName>
    <definedName name="solver_typ" localSheetId="18" hidden="1">3</definedName>
    <definedName name="solver_typ" localSheetId="11" hidden="1">1</definedName>
    <definedName name="solver_typ" localSheetId="12" hidden="1">1</definedName>
    <definedName name="solver_typ" localSheetId="10" hidden="1">1</definedName>
    <definedName name="solver_val" localSheetId="22" hidden="1">247</definedName>
    <definedName name="solver_val" localSheetId="18" hidden="1">174</definedName>
    <definedName name="solver_val" localSheetId="11" hidden="1">0</definedName>
    <definedName name="solver_val" localSheetId="12" hidden="1">0</definedName>
    <definedName name="solver_val" localSheetId="10" hidden="1">0</definedName>
    <definedName name="solver_ver" localSheetId="22" hidden="1">3</definedName>
    <definedName name="solver_ver" localSheetId="18" hidden="1">3</definedName>
    <definedName name="solver_ver" localSheetId="11" hidden="1">3</definedName>
    <definedName name="solver_ver" localSheetId="12" hidden="1">3</definedName>
    <definedName name="solver_ver" localSheetId="10" hidden="1">3</definedName>
    <definedName name="Z_2C86BBEF_7EC0_452C_897B_49AF7FA95FEA_.wvu.PrintArea" localSheetId="12" hidden="1">Solver!$A$1:$O$47</definedName>
    <definedName name="Z_2C86BBEF_7EC0_452C_897B_49AF7FA95FEA_.wvu.PrintArea" localSheetId="10" hidden="1">'Trade-off Analysis'!$A$2:$P$48</definedName>
    <definedName name="Z_41690409_2766_4911_B71D_0C470EB1EC9C_.wvu.PrintArea" localSheetId="12" hidden="1">Solver!$A$1:$O$47</definedName>
    <definedName name="Z_41690409_2766_4911_B71D_0C470EB1EC9C_.wvu.PrintArea" localSheetId="10" hidden="1">'Trade-off Analysis'!$A$2:$P$48</definedName>
  </definedNames>
  <calcPr calcId="191029"/>
  <pivotCaches>
    <pivotCache cacheId="0" r:id="rId26"/>
    <pivotCache cacheId="1" r:id="rId27"/>
    <pivotCache cacheId="2" r:id="rId28"/>
    <pivotCache cacheId="3" r:id="rId2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5" i="42" l="1"/>
  <c r="D6" i="42"/>
  <c r="T47" i="28" l="1"/>
  <c r="T46" i="28"/>
  <c r="B8" i="28"/>
  <c r="B4" i="28"/>
  <c r="N111" i="24"/>
  <c r="O120" i="24"/>
  <c r="O119" i="24"/>
  <c r="G120" i="24"/>
  <c r="G30" i="20" l="1"/>
  <c r="G31" i="20"/>
  <c r="G29" i="20"/>
  <c r="F31" i="20"/>
  <c r="F30" i="20"/>
  <c r="F29" i="20"/>
  <c r="E25" i="20"/>
  <c r="D25" i="20"/>
  <c r="K6" i="20"/>
  <c r="J6" i="20"/>
  <c r="C25" i="20" s="1"/>
  <c r="B20" i="48"/>
  <c r="E29" i="20" s="1"/>
  <c r="B55" i="47"/>
  <c r="B51" i="39"/>
  <c r="B52" i="39"/>
  <c r="B53" i="39"/>
  <c r="B54" i="39"/>
  <c r="B55" i="39"/>
  <c r="B56" i="39"/>
  <c r="B57" i="39"/>
  <c r="B58" i="39"/>
  <c r="B59" i="39"/>
  <c r="B60" i="39"/>
  <c r="B61" i="39"/>
  <c r="B50" i="39"/>
  <c r="B39" i="39"/>
  <c r="B40" i="39"/>
  <c r="B41" i="39"/>
  <c r="B42" i="39"/>
  <c r="B43" i="39"/>
  <c r="B44" i="39"/>
  <c r="B45" i="39"/>
  <c r="B46" i="39"/>
  <c r="B47" i="39"/>
  <c r="B48" i="39"/>
  <c r="B49" i="39"/>
  <c r="B38" i="39"/>
  <c r="B27" i="39"/>
  <c r="B28" i="39"/>
  <c r="B29" i="39"/>
  <c r="B30" i="39"/>
  <c r="B31" i="39"/>
  <c r="B32" i="39"/>
  <c r="B33" i="39"/>
  <c r="B34" i="39"/>
  <c r="B35" i="39"/>
  <c r="B36" i="39"/>
  <c r="B37" i="39"/>
  <c r="B26" i="39"/>
  <c r="B2" i="39"/>
  <c r="B7" i="47" l="1"/>
  <c r="B31" i="47"/>
  <c r="M14" i="42" l="1"/>
  <c r="T48" i="28" l="1"/>
  <c r="E15" i="48" s="1"/>
  <c r="AR6" i="33"/>
  <c r="AR7" i="33"/>
  <c r="AR8" i="33"/>
  <c r="B51" i="41" l="1"/>
  <c r="B52" i="41"/>
  <c r="B53" i="41"/>
  <c r="B54" i="41"/>
  <c r="B55" i="41"/>
  <c r="B56" i="41"/>
  <c r="B57" i="41"/>
  <c r="B58" i="41"/>
  <c r="B59" i="41"/>
  <c r="B60" i="41"/>
  <c r="B61" i="41"/>
  <c r="B50" i="41"/>
  <c r="B39" i="41"/>
  <c r="B40" i="41"/>
  <c r="B41" i="41"/>
  <c r="B42" i="41"/>
  <c r="B43" i="41"/>
  <c r="B44" i="41"/>
  <c r="B45" i="41"/>
  <c r="B46" i="41"/>
  <c r="B47" i="41"/>
  <c r="B48" i="41"/>
  <c r="B49" i="41"/>
  <c r="B38" i="41"/>
  <c r="B27" i="41"/>
  <c r="B28" i="41"/>
  <c r="B29" i="41"/>
  <c r="B30" i="41"/>
  <c r="B31" i="41"/>
  <c r="B32" i="41"/>
  <c r="B33" i="41"/>
  <c r="B34" i="41"/>
  <c r="B35" i="41"/>
  <c r="B36" i="41"/>
  <c r="B37" i="41"/>
  <c r="B26" i="41"/>
  <c r="B15" i="41"/>
  <c r="B16" i="41"/>
  <c r="B17" i="41"/>
  <c r="B18" i="41"/>
  <c r="B19" i="41"/>
  <c r="B20" i="41"/>
  <c r="B21" i="41"/>
  <c r="B22" i="41"/>
  <c r="B23" i="41"/>
  <c r="B24" i="41"/>
  <c r="B25" i="41"/>
  <c r="B14" i="41"/>
  <c r="B3" i="41"/>
  <c r="B4" i="41"/>
  <c r="B5" i="41"/>
  <c r="B6" i="41"/>
  <c r="B7" i="41"/>
  <c r="B8" i="41"/>
  <c r="B9" i="41"/>
  <c r="B10" i="41"/>
  <c r="B11" i="41"/>
  <c r="B12" i="41"/>
  <c r="B13" i="41"/>
  <c r="B2" i="41"/>
  <c r="C2" i="41" s="1"/>
  <c r="B51" i="40"/>
  <c r="B52" i="40"/>
  <c r="B53" i="40"/>
  <c r="B54" i="40"/>
  <c r="B55" i="40"/>
  <c r="B56" i="40"/>
  <c r="B57" i="40"/>
  <c r="B58" i="40"/>
  <c r="B59" i="40"/>
  <c r="B60" i="40"/>
  <c r="B61" i="40"/>
  <c r="B50" i="40"/>
  <c r="B39" i="40"/>
  <c r="B40" i="40"/>
  <c r="B41" i="40"/>
  <c r="B42" i="40"/>
  <c r="B43" i="40"/>
  <c r="B44" i="40"/>
  <c r="B45" i="40"/>
  <c r="B46" i="40"/>
  <c r="B47" i="40"/>
  <c r="B48" i="40"/>
  <c r="B49" i="40"/>
  <c r="B38" i="40"/>
  <c r="B27" i="40"/>
  <c r="B28" i="40"/>
  <c r="B29" i="40"/>
  <c r="B30" i="40"/>
  <c r="B31" i="40"/>
  <c r="B32" i="40"/>
  <c r="B33" i="40"/>
  <c r="B34" i="40"/>
  <c r="B35" i="40"/>
  <c r="B36" i="40"/>
  <c r="B37" i="40"/>
  <c r="B26" i="40"/>
  <c r="B15" i="40"/>
  <c r="B16" i="40"/>
  <c r="B17" i="40"/>
  <c r="B18" i="40"/>
  <c r="B19" i="40"/>
  <c r="B20" i="40"/>
  <c r="B21" i="40"/>
  <c r="B22" i="40"/>
  <c r="B23" i="40"/>
  <c r="B24" i="40"/>
  <c r="B25" i="40"/>
  <c r="B14" i="40"/>
  <c r="B3" i="40"/>
  <c r="B4" i="40"/>
  <c r="B5" i="40"/>
  <c r="B6" i="40"/>
  <c r="B7" i="40"/>
  <c r="B8" i="40"/>
  <c r="B9" i="40"/>
  <c r="B10" i="40"/>
  <c r="B11" i="40"/>
  <c r="B12" i="40"/>
  <c r="B13" i="40"/>
  <c r="B2" i="40"/>
  <c r="B15" i="39"/>
  <c r="B16" i="39"/>
  <c r="B17" i="39"/>
  <c r="B18" i="39"/>
  <c r="B19" i="39"/>
  <c r="B20" i="39"/>
  <c r="B21" i="39"/>
  <c r="B22" i="39"/>
  <c r="B23" i="39"/>
  <c r="B24" i="39"/>
  <c r="B25" i="39"/>
  <c r="B14" i="39"/>
  <c r="B3" i="39"/>
  <c r="B4" i="39"/>
  <c r="B5" i="39"/>
  <c r="B6" i="39"/>
  <c r="B7" i="39"/>
  <c r="B8" i="39"/>
  <c r="B9" i="39"/>
  <c r="B10" i="39"/>
  <c r="B11" i="39"/>
  <c r="B12" i="39"/>
  <c r="B13" i="39"/>
  <c r="G205" i="41"/>
  <c r="E205" i="41"/>
  <c r="G204" i="41"/>
  <c r="E204" i="41"/>
  <c r="G203" i="41"/>
  <c r="E203" i="41"/>
  <c r="G202" i="41"/>
  <c r="E202" i="41"/>
  <c r="G201" i="41"/>
  <c r="E201" i="41"/>
  <c r="G200" i="41"/>
  <c r="E200" i="41"/>
  <c r="G199" i="41"/>
  <c r="E199" i="41"/>
  <c r="G198" i="41"/>
  <c r="E198" i="41"/>
  <c r="G197" i="41"/>
  <c r="E197" i="41"/>
  <c r="G196" i="41"/>
  <c r="E196" i="41"/>
  <c r="G195" i="41"/>
  <c r="E195" i="41"/>
  <c r="G194" i="41"/>
  <c r="E194" i="41"/>
  <c r="G193" i="41"/>
  <c r="E193" i="41"/>
  <c r="G192" i="41"/>
  <c r="E192" i="41"/>
  <c r="G191" i="41"/>
  <c r="E191" i="41"/>
  <c r="G190" i="41"/>
  <c r="E190" i="41"/>
  <c r="G189" i="41"/>
  <c r="E189" i="41"/>
  <c r="G188" i="41"/>
  <c r="E188" i="41"/>
  <c r="G187" i="41"/>
  <c r="E187" i="41"/>
  <c r="G186" i="41"/>
  <c r="E186" i="41"/>
  <c r="G185" i="41"/>
  <c r="E185" i="41"/>
  <c r="G184" i="41"/>
  <c r="E184" i="41"/>
  <c r="G183" i="41"/>
  <c r="E183" i="41"/>
  <c r="G182" i="41"/>
  <c r="E182" i="41"/>
  <c r="C73" i="41"/>
  <c r="C72" i="41"/>
  <c r="C71" i="41"/>
  <c r="C70" i="41"/>
  <c r="C69" i="41"/>
  <c r="C68" i="41"/>
  <c r="C67" i="41"/>
  <c r="C66" i="41"/>
  <c r="C65" i="41"/>
  <c r="C64" i="41"/>
  <c r="C63" i="41"/>
  <c r="C62" i="41"/>
  <c r="C50" i="41"/>
  <c r="G205" i="40"/>
  <c r="E205" i="40"/>
  <c r="G204" i="40"/>
  <c r="E204" i="40"/>
  <c r="G203" i="40"/>
  <c r="E203" i="40"/>
  <c r="G202" i="40"/>
  <c r="E202" i="40"/>
  <c r="G201" i="40"/>
  <c r="E201" i="40"/>
  <c r="G200" i="40"/>
  <c r="E200" i="40"/>
  <c r="G199" i="40"/>
  <c r="E199" i="40"/>
  <c r="G198" i="40"/>
  <c r="E198" i="40"/>
  <c r="G197" i="40"/>
  <c r="E197" i="40"/>
  <c r="G196" i="40"/>
  <c r="E196" i="40"/>
  <c r="G195" i="40"/>
  <c r="E195" i="40"/>
  <c r="G194" i="40"/>
  <c r="E194" i="40"/>
  <c r="G193" i="40"/>
  <c r="E193" i="40"/>
  <c r="G192" i="40"/>
  <c r="E192" i="40"/>
  <c r="G191" i="40"/>
  <c r="E191" i="40"/>
  <c r="G190" i="40"/>
  <c r="E190" i="40"/>
  <c r="G189" i="40"/>
  <c r="E189" i="40"/>
  <c r="G188" i="40"/>
  <c r="E188" i="40"/>
  <c r="G187" i="40"/>
  <c r="E187" i="40"/>
  <c r="G186" i="40"/>
  <c r="E186" i="40"/>
  <c r="G185" i="40"/>
  <c r="E185" i="40"/>
  <c r="G184" i="40"/>
  <c r="E184" i="40"/>
  <c r="G183" i="40"/>
  <c r="E183" i="40"/>
  <c r="G182" i="40"/>
  <c r="E182" i="40"/>
  <c r="C73" i="40"/>
  <c r="C72" i="40"/>
  <c r="C71" i="40"/>
  <c r="C70" i="40"/>
  <c r="C69" i="40"/>
  <c r="C68" i="40"/>
  <c r="C67" i="40"/>
  <c r="C66" i="40"/>
  <c r="C65" i="40"/>
  <c r="C64" i="40"/>
  <c r="C63" i="40"/>
  <c r="C62" i="40"/>
  <c r="L206" i="39"/>
  <c r="C73" i="39"/>
  <c r="C72" i="39"/>
  <c r="C71" i="39"/>
  <c r="C70" i="39"/>
  <c r="C69" i="39"/>
  <c r="C68" i="39"/>
  <c r="C67" i="39"/>
  <c r="C66" i="39"/>
  <c r="C65" i="39"/>
  <c r="C64" i="39"/>
  <c r="C63" i="39"/>
  <c r="C62" i="39"/>
  <c r="C38" i="39" l="1"/>
  <c r="C50" i="39"/>
  <c r="C14" i="41"/>
  <c r="C38" i="41"/>
  <c r="N3" i="41" s="1"/>
  <c r="F182" i="41" s="1"/>
  <c r="C32" i="41"/>
  <c r="C11" i="40"/>
  <c r="C17" i="40"/>
  <c r="C33" i="40"/>
  <c r="C36" i="41"/>
  <c r="C30" i="39"/>
  <c r="C58" i="39"/>
  <c r="C18" i="41"/>
  <c r="C34" i="41"/>
  <c r="C46" i="41"/>
  <c r="C22" i="41"/>
  <c r="C42" i="41"/>
  <c r="C25" i="40"/>
  <c r="C61" i="40"/>
  <c r="C58" i="40"/>
  <c r="C57" i="40"/>
  <c r="C21" i="40"/>
  <c r="C37" i="40"/>
  <c r="C34" i="40"/>
  <c r="C8" i="40"/>
  <c r="C22" i="40"/>
  <c r="C24" i="40"/>
  <c r="C36" i="40"/>
  <c r="C46" i="40"/>
  <c r="C45" i="40"/>
  <c r="C60" i="40"/>
  <c r="C29" i="40"/>
  <c r="C23" i="40"/>
  <c r="C53" i="40"/>
  <c r="C28" i="41"/>
  <c r="C8" i="41"/>
  <c r="C25" i="41"/>
  <c r="C35" i="41"/>
  <c r="C49" i="41"/>
  <c r="C23" i="41"/>
  <c r="C19" i="41"/>
  <c r="C24" i="41"/>
  <c r="C54" i="41"/>
  <c r="C46" i="39"/>
  <c r="C61" i="39"/>
  <c r="C9" i="39"/>
  <c r="C14" i="39"/>
  <c r="C22" i="39"/>
  <c r="C54" i="39"/>
  <c r="C24" i="39"/>
  <c r="C7" i="39"/>
  <c r="C49" i="39"/>
  <c r="C42" i="39"/>
  <c r="C39" i="41"/>
  <c r="C43" i="41"/>
  <c r="C47" i="41"/>
  <c r="C40" i="41"/>
  <c r="C44" i="41"/>
  <c r="C48" i="41"/>
  <c r="C41" i="41"/>
  <c r="C45" i="41"/>
  <c r="C29" i="41"/>
  <c r="C33" i="41"/>
  <c r="C37" i="41"/>
  <c r="C26" i="41"/>
  <c r="C30" i="41"/>
  <c r="C27" i="41"/>
  <c r="C31" i="41"/>
  <c r="C15" i="41"/>
  <c r="C16" i="41"/>
  <c r="C20" i="41"/>
  <c r="C17" i="41"/>
  <c r="C21" i="41"/>
  <c r="C51" i="41"/>
  <c r="C55" i="41"/>
  <c r="C59" i="41"/>
  <c r="C58" i="41"/>
  <c r="C56" i="41"/>
  <c r="C52" i="41"/>
  <c r="C60" i="41"/>
  <c r="C53" i="41"/>
  <c r="C57" i="41"/>
  <c r="C61" i="41"/>
  <c r="C50" i="40"/>
  <c r="C54" i="40"/>
  <c r="C51" i="40"/>
  <c r="C55" i="40"/>
  <c r="C59" i="40"/>
  <c r="C52" i="40"/>
  <c r="C56" i="40"/>
  <c r="C48" i="40"/>
  <c r="C41" i="40"/>
  <c r="C38" i="40"/>
  <c r="C42" i="40"/>
  <c r="C49" i="40"/>
  <c r="C39" i="40"/>
  <c r="C43" i="40"/>
  <c r="C47" i="40"/>
  <c r="C40" i="40"/>
  <c r="C44" i="40"/>
  <c r="C26" i="40"/>
  <c r="C30" i="40"/>
  <c r="C27" i="40"/>
  <c r="C31" i="40"/>
  <c r="C35" i="40"/>
  <c r="C28" i="40"/>
  <c r="C32" i="40"/>
  <c r="C14" i="40"/>
  <c r="C15" i="40"/>
  <c r="C19" i="40"/>
  <c r="C18" i="40"/>
  <c r="C16" i="40"/>
  <c r="C20" i="40"/>
  <c r="C51" i="39"/>
  <c r="C55" i="39"/>
  <c r="C59" i="39"/>
  <c r="C56" i="39"/>
  <c r="C52" i="39"/>
  <c r="C60" i="39"/>
  <c r="C53" i="39"/>
  <c r="C57" i="39"/>
  <c r="C39" i="39"/>
  <c r="C43" i="39"/>
  <c r="C47" i="39"/>
  <c r="C40" i="39"/>
  <c r="C44" i="39"/>
  <c r="C48" i="39"/>
  <c r="C41" i="39"/>
  <c r="C45" i="39"/>
  <c r="C3" i="39"/>
  <c r="C11" i="39"/>
  <c r="C5" i="39"/>
  <c r="C5" i="41"/>
  <c r="C3" i="41"/>
  <c r="C11" i="41"/>
  <c r="C4" i="41"/>
  <c r="C9" i="41"/>
  <c r="C12" i="41"/>
  <c r="C13" i="41"/>
  <c r="C10" i="41"/>
  <c r="C7" i="41"/>
  <c r="C6" i="41"/>
  <c r="C2" i="40"/>
  <c r="C5" i="40"/>
  <c r="C3" i="40"/>
  <c r="C7" i="40"/>
  <c r="C4" i="40"/>
  <c r="C9" i="40"/>
  <c r="C12" i="40"/>
  <c r="C6" i="40"/>
  <c r="C10" i="40"/>
  <c r="C13" i="40"/>
  <c r="C15" i="39"/>
  <c r="C36" i="39"/>
  <c r="C13" i="39"/>
  <c r="C18" i="39"/>
  <c r="C21" i="39"/>
  <c r="C26" i="39"/>
  <c r="C29" i="39"/>
  <c r="C34" i="39"/>
  <c r="C37" i="39"/>
  <c r="C20" i="39"/>
  <c r="C28" i="39"/>
  <c r="C2" i="39"/>
  <c r="C4" i="39"/>
  <c r="C6" i="39"/>
  <c r="C8" i="39"/>
  <c r="C10" i="39"/>
  <c r="C12" i="39"/>
  <c r="C16" i="39"/>
  <c r="C19" i="39"/>
  <c r="C27" i="39"/>
  <c r="C32" i="39"/>
  <c r="C35" i="39"/>
  <c r="C23" i="39"/>
  <c r="C31" i="39"/>
  <c r="C17" i="39"/>
  <c r="C25" i="39"/>
  <c r="C33" i="39"/>
  <c r="N3" i="39" l="1"/>
  <c r="D170" i="39" s="1"/>
  <c r="N4" i="39"/>
  <c r="D75" i="39" s="1"/>
  <c r="N6" i="41"/>
  <c r="D148" i="41" s="1"/>
  <c r="G148" i="41" s="1"/>
  <c r="N8" i="41"/>
  <c r="D169" i="41" s="1"/>
  <c r="N6" i="40"/>
  <c r="D136" i="40" s="1"/>
  <c r="N8" i="40"/>
  <c r="F205" i="40" s="1"/>
  <c r="N7" i="40"/>
  <c r="D139" i="40" s="1"/>
  <c r="N5" i="41"/>
  <c r="D150" i="41" s="1"/>
  <c r="N7" i="41"/>
  <c r="F199" i="41" s="1"/>
  <c r="N4" i="41"/>
  <c r="N7" i="39"/>
  <c r="D151" i="39" s="1"/>
  <c r="N9" i="41"/>
  <c r="F194" i="41" s="1"/>
  <c r="N9" i="40"/>
  <c r="F190" i="40" s="1"/>
  <c r="N3" i="40"/>
  <c r="F182" i="40" s="1"/>
  <c r="N4" i="40"/>
  <c r="D111" i="40" s="1"/>
  <c r="D160" i="40"/>
  <c r="G160" i="40" s="1"/>
  <c r="N5" i="40"/>
  <c r="D150" i="40" s="1"/>
  <c r="F183" i="41"/>
  <c r="D111" i="41"/>
  <c r="D147" i="41"/>
  <c r="D134" i="41"/>
  <c r="D87" i="41"/>
  <c r="D170" i="41"/>
  <c r="D98" i="41"/>
  <c r="D74" i="41"/>
  <c r="D110" i="41"/>
  <c r="D145" i="40"/>
  <c r="D74" i="40"/>
  <c r="D175" i="40"/>
  <c r="N5" i="39"/>
  <c r="N8" i="39"/>
  <c r="N6" i="39"/>
  <c r="N9" i="39"/>
  <c r="D61" i="41" l="1"/>
  <c r="G61" i="41" s="1"/>
  <c r="D121" i="41"/>
  <c r="D145" i="41"/>
  <c r="D171" i="41"/>
  <c r="D123" i="39"/>
  <c r="G123" i="39" s="1"/>
  <c r="D134" i="39"/>
  <c r="G134" i="39" s="1"/>
  <c r="D99" i="39"/>
  <c r="G99" i="39" s="1"/>
  <c r="D74" i="39"/>
  <c r="D63" i="39"/>
  <c r="D98" i="39"/>
  <c r="G98" i="39" s="1"/>
  <c r="D147" i="39"/>
  <c r="G147" i="39" s="1"/>
  <c r="D87" i="39"/>
  <c r="G87" i="39" s="1"/>
  <c r="D110" i="39"/>
  <c r="G110" i="39" s="1"/>
  <c r="D111" i="39"/>
  <c r="G111" i="39" s="1"/>
  <c r="D135" i="39"/>
  <c r="D51" i="39"/>
  <c r="G51" i="39" s="1"/>
  <c r="D159" i="39"/>
  <c r="G159" i="39" s="1"/>
  <c r="D115" i="39"/>
  <c r="G115" i="39" s="1"/>
  <c r="D133" i="41"/>
  <c r="D97" i="41"/>
  <c r="G97" i="41" s="1"/>
  <c r="F193" i="41"/>
  <c r="D181" i="41"/>
  <c r="G181" i="41" s="1"/>
  <c r="D175" i="39"/>
  <c r="D103" i="40"/>
  <c r="G103" i="40" s="1"/>
  <c r="D51" i="41"/>
  <c r="G51" i="41" s="1"/>
  <c r="D99" i="41"/>
  <c r="D73" i="41"/>
  <c r="D109" i="41"/>
  <c r="F205" i="41"/>
  <c r="D85" i="41"/>
  <c r="G85" i="41" s="1"/>
  <c r="D157" i="41"/>
  <c r="D133" i="40"/>
  <c r="D162" i="41"/>
  <c r="D113" i="41"/>
  <c r="G113" i="41" s="1"/>
  <c r="D174" i="41"/>
  <c r="D169" i="40"/>
  <c r="G169" i="40" s="1"/>
  <c r="D127" i="39"/>
  <c r="G127" i="39" s="1"/>
  <c r="D163" i="39"/>
  <c r="G163" i="39" s="1"/>
  <c r="D73" i="40"/>
  <c r="D97" i="40"/>
  <c r="G97" i="40" s="1"/>
  <c r="D157" i="40"/>
  <c r="F193" i="40"/>
  <c r="D85" i="40"/>
  <c r="D109" i="40"/>
  <c r="D181" i="40"/>
  <c r="D61" i="40"/>
  <c r="G61" i="40" s="1"/>
  <c r="D121" i="40"/>
  <c r="G121" i="40" s="1"/>
  <c r="D160" i="41"/>
  <c r="G160" i="41" s="1"/>
  <c r="D136" i="41"/>
  <c r="G136" i="41" s="1"/>
  <c r="D80" i="41"/>
  <c r="G80" i="41" s="1"/>
  <c r="D117" i="41"/>
  <c r="D91" i="39"/>
  <c r="G91" i="39" s="1"/>
  <c r="D134" i="40"/>
  <c r="D59" i="41"/>
  <c r="G59" i="41" s="1"/>
  <c r="F198" i="41"/>
  <c r="D69" i="41"/>
  <c r="G69" i="41" s="1"/>
  <c r="D139" i="39"/>
  <c r="G139" i="39" s="1"/>
  <c r="D115" i="40"/>
  <c r="G115" i="40" s="1"/>
  <c r="D103" i="39"/>
  <c r="G103" i="39" s="1"/>
  <c r="D151" i="40"/>
  <c r="G151" i="40" s="1"/>
  <c r="D170" i="40"/>
  <c r="D122" i="41"/>
  <c r="G122" i="41" s="1"/>
  <c r="D172" i="41"/>
  <c r="G172" i="41" s="1"/>
  <c r="D126" i="41"/>
  <c r="G126" i="41" s="1"/>
  <c r="D67" i="41"/>
  <c r="G67" i="41" s="1"/>
  <c r="D115" i="41"/>
  <c r="G115" i="41" s="1"/>
  <c r="D67" i="40"/>
  <c r="G67" i="40" s="1"/>
  <c r="D94" i="40"/>
  <c r="G94" i="40" s="1"/>
  <c r="G136" i="40"/>
  <c r="D55" i="41"/>
  <c r="G55" i="41" s="1"/>
  <c r="D151" i="41"/>
  <c r="D148" i="40"/>
  <c r="G148" i="40" s="1"/>
  <c r="D174" i="40"/>
  <c r="D55" i="40"/>
  <c r="G55" i="40" s="1"/>
  <c r="D91" i="41"/>
  <c r="D163" i="41"/>
  <c r="D113" i="40"/>
  <c r="G113" i="40" s="1"/>
  <c r="D103" i="41"/>
  <c r="G103" i="41" s="1"/>
  <c r="D175" i="41"/>
  <c r="G175" i="41" s="1"/>
  <c r="D104" i="41"/>
  <c r="G104" i="41" s="1"/>
  <c r="F189" i="41"/>
  <c r="D130" i="41"/>
  <c r="G130" i="41" s="1"/>
  <c r="D153" i="41"/>
  <c r="G153" i="41" s="1"/>
  <c r="D72" i="41"/>
  <c r="G72" i="41" s="1"/>
  <c r="D146" i="41"/>
  <c r="G146" i="41" s="1"/>
  <c r="D108" i="41"/>
  <c r="D53" i="41"/>
  <c r="G53" i="41" s="1"/>
  <c r="D95" i="41"/>
  <c r="D180" i="41"/>
  <c r="D159" i="41"/>
  <c r="D71" i="41"/>
  <c r="G71" i="41" s="1"/>
  <c r="D112" i="41"/>
  <c r="D94" i="41"/>
  <c r="G94" i="41" s="1"/>
  <c r="D86" i="41"/>
  <c r="D116" i="41"/>
  <c r="G116" i="41" s="1"/>
  <c r="D70" i="41"/>
  <c r="G70" i="41" s="1"/>
  <c r="D77" i="41"/>
  <c r="D154" i="41"/>
  <c r="D56" i="41"/>
  <c r="G56" i="41" s="1"/>
  <c r="D60" i="41"/>
  <c r="G60" i="41" s="1"/>
  <c r="D88" i="41"/>
  <c r="G88" i="41" s="1"/>
  <c r="D83" i="41"/>
  <c r="G83" i="41" s="1"/>
  <c r="D101" i="41"/>
  <c r="D119" i="41"/>
  <c r="G119" i="41" s="1"/>
  <c r="D140" i="41"/>
  <c r="G140" i="41" s="1"/>
  <c r="D152" i="41"/>
  <c r="D131" i="41"/>
  <c r="D141" i="41"/>
  <c r="G141" i="41" s="1"/>
  <c r="D164" i="41"/>
  <c r="G164" i="41" s="1"/>
  <c r="D168" i="41"/>
  <c r="D173" i="41"/>
  <c r="F191" i="41"/>
  <c r="F192" i="41"/>
  <c r="D76" i="41"/>
  <c r="G76" i="41" s="1"/>
  <c r="D120" i="41"/>
  <c r="G120" i="41" s="1"/>
  <c r="D118" i="41"/>
  <c r="G118" i="41" s="1"/>
  <c r="D92" i="41"/>
  <c r="G92" i="41" s="1"/>
  <c r="D124" i="41"/>
  <c r="G124" i="41" s="1"/>
  <c r="D62" i="41"/>
  <c r="D79" i="41"/>
  <c r="D50" i="41"/>
  <c r="G50" i="41" s="1"/>
  <c r="D57" i="41"/>
  <c r="G57" i="41" s="1"/>
  <c r="D64" i="41"/>
  <c r="G64" i="41" s="1"/>
  <c r="D128" i="41"/>
  <c r="D89" i="41"/>
  <c r="D105" i="41"/>
  <c r="G105" i="41" s="1"/>
  <c r="D125" i="41"/>
  <c r="G125" i="41" s="1"/>
  <c r="D142" i="41"/>
  <c r="G142" i="41" s="1"/>
  <c r="D158" i="41"/>
  <c r="G158" i="41" s="1"/>
  <c r="D132" i="41"/>
  <c r="G132" i="41" s="1"/>
  <c r="D143" i="41"/>
  <c r="G143" i="41" s="1"/>
  <c r="D166" i="41"/>
  <c r="D176" i="41"/>
  <c r="G176" i="41" s="1"/>
  <c r="D177" i="41"/>
  <c r="G177" i="41" s="1"/>
  <c r="F203" i="41"/>
  <c r="F196" i="41"/>
  <c r="D137" i="41"/>
  <c r="G137" i="41" s="1"/>
  <c r="D156" i="41"/>
  <c r="G156" i="41" s="1"/>
  <c r="D155" i="41"/>
  <c r="G155" i="41" s="1"/>
  <c r="D167" i="41"/>
  <c r="G167" i="41" s="1"/>
  <c r="F187" i="41"/>
  <c r="F188" i="41"/>
  <c r="F204" i="41"/>
  <c r="D96" i="41"/>
  <c r="G96" i="41" s="1"/>
  <c r="D82" i="41"/>
  <c r="D106" i="41"/>
  <c r="D100" i="41"/>
  <c r="D84" i="41"/>
  <c r="G84" i="41" s="1"/>
  <c r="D65" i="41"/>
  <c r="G65" i="41" s="1"/>
  <c r="D81" i="41"/>
  <c r="D52" i="41"/>
  <c r="G52" i="41" s="1"/>
  <c r="D58" i="41"/>
  <c r="G58" i="41" s="1"/>
  <c r="D68" i="41"/>
  <c r="G68" i="41" s="1"/>
  <c r="D161" i="41"/>
  <c r="G161" i="41" s="1"/>
  <c r="D93" i="41"/>
  <c r="D107" i="41"/>
  <c r="G107" i="41" s="1"/>
  <c r="D129" i="41"/>
  <c r="G129" i="41" s="1"/>
  <c r="D144" i="41"/>
  <c r="D165" i="41"/>
  <c r="D178" i="41"/>
  <c r="G178" i="41" s="1"/>
  <c r="D149" i="41"/>
  <c r="G149" i="41" s="1"/>
  <c r="F201" i="41"/>
  <c r="F197" i="41"/>
  <c r="D179" i="41"/>
  <c r="G179" i="41" s="1"/>
  <c r="F184" i="41"/>
  <c r="F200" i="41"/>
  <c r="D149" i="40"/>
  <c r="G149" i="40" s="1"/>
  <c r="D154" i="40"/>
  <c r="G154" i="40" s="1"/>
  <c r="D171" i="40"/>
  <c r="G171" i="40" s="1"/>
  <c r="D87" i="40"/>
  <c r="G87" i="40" s="1"/>
  <c r="D98" i="40"/>
  <c r="G98" i="40" s="1"/>
  <c r="D99" i="40"/>
  <c r="G99" i="40" s="1"/>
  <c r="D163" i="40"/>
  <c r="D127" i="40"/>
  <c r="F199" i="40"/>
  <c r="D123" i="40"/>
  <c r="G123" i="40" s="1"/>
  <c r="D135" i="40"/>
  <c r="D91" i="40"/>
  <c r="G91" i="40" s="1"/>
  <c r="D63" i="40"/>
  <c r="G63" i="40" s="1"/>
  <c r="D110" i="40"/>
  <c r="F195" i="40"/>
  <c r="D75" i="40"/>
  <c r="G75" i="40" s="1"/>
  <c r="F183" i="40"/>
  <c r="F186" i="41"/>
  <c r="D90" i="41"/>
  <c r="D54" i="41"/>
  <c r="G54" i="41" s="1"/>
  <c r="D123" i="41"/>
  <c r="G123" i="41" s="1"/>
  <c r="F195" i="41"/>
  <c r="D135" i="41"/>
  <c r="G135" i="41" s="1"/>
  <c r="D78" i="41"/>
  <c r="G78" i="41" s="1"/>
  <c r="D114" i="41"/>
  <c r="D138" i="41"/>
  <c r="D63" i="41"/>
  <c r="G63" i="41" s="1"/>
  <c r="D75" i="41"/>
  <c r="D102" i="41"/>
  <c r="G102" i="41" s="1"/>
  <c r="D66" i="41"/>
  <c r="G66" i="41" s="1"/>
  <c r="D127" i="41"/>
  <c r="G127" i="41" s="1"/>
  <c r="D139" i="41"/>
  <c r="G139" i="41" s="1"/>
  <c r="D70" i="40"/>
  <c r="G70" i="40" s="1"/>
  <c r="D50" i="40"/>
  <c r="G50" i="40" s="1"/>
  <c r="D106" i="40"/>
  <c r="G106" i="40" s="1"/>
  <c r="D95" i="40"/>
  <c r="D84" i="40"/>
  <c r="G84" i="40" s="1"/>
  <c r="D57" i="40"/>
  <c r="G57" i="40" s="1"/>
  <c r="D118" i="40"/>
  <c r="G118" i="40" s="1"/>
  <c r="D117" i="40"/>
  <c r="G117" i="40" s="1"/>
  <c r="D77" i="40"/>
  <c r="D64" i="40"/>
  <c r="D128" i="40"/>
  <c r="G128" i="40" s="1"/>
  <c r="D131" i="40"/>
  <c r="G131" i="40" s="1"/>
  <c r="G75" i="39"/>
  <c r="F202" i="41"/>
  <c r="F190" i="41"/>
  <c r="D155" i="40"/>
  <c r="G155" i="40" s="1"/>
  <c r="D142" i="40"/>
  <c r="G142" i="40" s="1"/>
  <c r="D156" i="40"/>
  <c r="D173" i="40"/>
  <c r="F201" i="40"/>
  <c r="F189" i="40"/>
  <c r="D168" i="40"/>
  <c r="G168" i="40" s="1"/>
  <c r="F192" i="40"/>
  <c r="F197" i="40"/>
  <c r="D62" i="40"/>
  <c r="D79" i="40"/>
  <c r="F196" i="40"/>
  <c r="D52" i="40"/>
  <c r="G52" i="40" s="1"/>
  <c r="D58" i="40"/>
  <c r="G58" i="40" s="1"/>
  <c r="D68" i="40"/>
  <c r="D96" i="40"/>
  <c r="G96" i="40" s="1"/>
  <c r="D108" i="40"/>
  <c r="D120" i="40"/>
  <c r="D130" i="40"/>
  <c r="G130" i="40" s="1"/>
  <c r="D158" i="40"/>
  <c r="G158" i="40" s="1"/>
  <c r="D101" i="40"/>
  <c r="G101" i="40" s="1"/>
  <c r="D119" i="40"/>
  <c r="G119" i="40" s="1"/>
  <c r="D137" i="40"/>
  <c r="D178" i="40"/>
  <c r="D144" i="40"/>
  <c r="D164" i="40"/>
  <c r="D180" i="40"/>
  <c r="D166" i="40"/>
  <c r="G166" i="40" s="1"/>
  <c r="F204" i="40"/>
  <c r="D176" i="40"/>
  <c r="G176" i="40" s="1"/>
  <c r="F203" i="40"/>
  <c r="F194" i="40"/>
  <c r="D86" i="40"/>
  <c r="D76" i="40"/>
  <c r="G76" i="40" s="1"/>
  <c r="D65" i="40"/>
  <c r="G65" i="40" s="1"/>
  <c r="D81" i="40"/>
  <c r="G81" i="40" s="1"/>
  <c r="D71" i="40"/>
  <c r="G71" i="40" s="1"/>
  <c r="D53" i="40"/>
  <c r="G53" i="40" s="1"/>
  <c r="D59" i="40"/>
  <c r="G59" i="40" s="1"/>
  <c r="D72" i="40"/>
  <c r="G72" i="40" s="1"/>
  <c r="D100" i="40"/>
  <c r="D112" i="40"/>
  <c r="G112" i="40" s="1"/>
  <c r="D122" i="40"/>
  <c r="G122" i="40" s="1"/>
  <c r="D132" i="40"/>
  <c r="G132" i="40" s="1"/>
  <c r="D89" i="40"/>
  <c r="D105" i="40"/>
  <c r="G105" i="40" s="1"/>
  <c r="D125" i="40"/>
  <c r="D141" i="40"/>
  <c r="G141" i="40" s="1"/>
  <c r="D179" i="40"/>
  <c r="D146" i="40"/>
  <c r="G146" i="40" s="1"/>
  <c r="D165" i="40"/>
  <c r="F184" i="40"/>
  <c r="D167" i="40"/>
  <c r="D153" i="40"/>
  <c r="G153" i="40" s="1"/>
  <c r="D177" i="40"/>
  <c r="G177" i="40" s="1"/>
  <c r="F202" i="40"/>
  <c r="D88" i="40"/>
  <c r="D80" i="40"/>
  <c r="G80" i="40" s="1"/>
  <c r="D69" i="40"/>
  <c r="D83" i="40"/>
  <c r="D82" i="40"/>
  <c r="D56" i="40"/>
  <c r="G56" i="40" s="1"/>
  <c r="D60" i="40"/>
  <c r="G60" i="40" s="1"/>
  <c r="D92" i="40"/>
  <c r="D104" i="40"/>
  <c r="G104" i="40" s="1"/>
  <c r="D116" i="40"/>
  <c r="D124" i="40"/>
  <c r="D140" i="40"/>
  <c r="G140" i="40" s="1"/>
  <c r="D93" i="40"/>
  <c r="D107" i="40"/>
  <c r="D129" i="40"/>
  <c r="G129" i="40" s="1"/>
  <c r="D143" i="40"/>
  <c r="G143" i="40" s="1"/>
  <c r="F191" i="40"/>
  <c r="D152" i="40"/>
  <c r="G152" i="40" s="1"/>
  <c r="D172" i="40"/>
  <c r="F200" i="40"/>
  <c r="F188" i="40"/>
  <c r="D161" i="40"/>
  <c r="F187" i="40"/>
  <c r="D51" i="40"/>
  <c r="G51" i="40" s="1"/>
  <c r="D147" i="40"/>
  <c r="G147" i="40" s="1"/>
  <c r="D159" i="40"/>
  <c r="G159" i="40" s="1"/>
  <c r="F186" i="40"/>
  <c r="D126" i="40"/>
  <c r="D78" i="40"/>
  <c r="G78" i="40" s="1"/>
  <c r="F198" i="40"/>
  <c r="D54" i="40"/>
  <c r="G54" i="40" s="1"/>
  <c r="D138" i="40"/>
  <c r="G138" i="40" s="1"/>
  <c r="D66" i="40"/>
  <c r="D102" i="40"/>
  <c r="D162" i="40"/>
  <c r="D90" i="40"/>
  <c r="D114" i="40"/>
  <c r="G114" i="40" s="1"/>
  <c r="G135" i="39"/>
  <c r="G112" i="41"/>
  <c r="G77" i="41"/>
  <c r="G79" i="41"/>
  <c r="G110" i="41"/>
  <c r="G99" i="41"/>
  <c r="G73" i="41"/>
  <c r="G109" i="41"/>
  <c r="G162" i="41"/>
  <c r="G174" i="41"/>
  <c r="G170" i="41"/>
  <c r="G134" i="41"/>
  <c r="G75" i="41"/>
  <c r="G150" i="41"/>
  <c r="G147" i="41"/>
  <c r="G74" i="41"/>
  <c r="G87" i="41"/>
  <c r="G159" i="41"/>
  <c r="G111" i="41"/>
  <c r="G121" i="41"/>
  <c r="G145" i="41"/>
  <c r="G90" i="41"/>
  <c r="G163" i="41"/>
  <c r="G171" i="41"/>
  <c r="G133" i="41"/>
  <c r="G108" i="41"/>
  <c r="G117" i="41"/>
  <c r="G98" i="41"/>
  <c r="G157" i="41"/>
  <c r="G169" i="41"/>
  <c r="G114" i="41"/>
  <c r="G111" i="40"/>
  <c r="G85" i="40"/>
  <c r="G109" i="40"/>
  <c r="G181" i="40"/>
  <c r="G175" i="40"/>
  <c r="G170" i="40"/>
  <c r="G135" i="40"/>
  <c r="G150" i="40"/>
  <c r="G163" i="40"/>
  <c r="G74" i="40"/>
  <c r="G174" i="40"/>
  <c r="G145" i="40"/>
  <c r="G133" i="40"/>
  <c r="G139" i="40"/>
  <c r="G134" i="40"/>
  <c r="G73" i="40"/>
  <c r="G157" i="40"/>
  <c r="D160" i="39"/>
  <c r="D148" i="39"/>
  <c r="D136" i="39"/>
  <c r="D113" i="39"/>
  <c r="D67" i="39"/>
  <c r="D55" i="39"/>
  <c r="G55" i="39" s="1"/>
  <c r="D171" i="39"/>
  <c r="D174" i="39"/>
  <c r="D162" i="39"/>
  <c r="D138" i="39"/>
  <c r="D150" i="39"/>
  <c r="D66" i="39"/>
  <c r="D126" i="39"/>
  <c r="D102" i="39"/>
  <c r="D90" i="39"/>
  <c r="D78" i="39"/>
  <c r="D54" i="39"/>
  <c r="G54" i="39" s="1"/>
  <c r="D114" i="39"/>
  <c r="D181" i="39"/>
  <c r="D169" i="39"/>
  <c r="D157" i="39"/>
  <c r="D145" i="39"/>
  <c r="D133" i="39"/>
  <c r="D121" i="39"/>
  <c r="D109" i="39"/>
  <c r="D61" i="39"/>
  <c r="G61" i="39" s="1"/>
  <c r="D85" i="39"/>
  <c r="D97" i="39"/>
  <c r="D73" i="39"/>
  <c r="G151" i="39"/>
  <c r="D180" i="39"/>
  <c r="D178" i="39"/>
  <c r="D176" i="39"/>
  <c r="D172" i="39"/>
  <c r="D168" i="39"/>
  <c r="D166" i="39"/>
  <c r="D164" i="39"/>
  <c r="D179" i="39"/>
  <c r="D177" i="39"/>
  <c r="D173" i="39"/>
  <c r="D167" i="39"/>
  <c r="D165" i="39"/>
  <c r="D161" i="39"/>
  <c r="D155" i="39"/>
  <c r="D153" i="39"/>
  <c r="D149" i="39"/>
  <c r="D152" i="39"/>
  <c r="D143" i="39"/>
  <c r="D141" i="39"/>
  <c r="D137" i="39"/>
  <c r="D131" i="39"/>
  <c r="D129" i="39"/>
  <c r="D154" i="39"/>
  <c r="D156" i="39"/>
  <c r="D146" i="39"/>
  <c r="D144" i="39"/>
  <c r="D142" i="39"/>
  <c r="D140" i="39"/>
  <c r="D132" i="39"/>
  <c r="D130" i="39"/>
  <c r="D128" i="39"/>
  <c r="D125" i="39"/>
  <c r="D119" i="39"/>
  <c r="D117" i="39"/>
  <c r="D107" i="39"/>
  <c r="D105" i="39"/>
  <c r="D120" i="39"/>
  <c r="D112" i="39"/>
  <c r="D104" i="39"/>
  <c r="D70" i="39"/>
  <c r="D118" i="39"/>
  <c r="D100" i="39"/>
  <c r="D96" i="39"/>
  <c r="D94" i="39"/>
  <c r="D92" i="39"/>
  <c r="D88" i="39"/>
  <c r="D86" i="39"/>
  <c r="D84" i="39"/>
  <c r="D82" i="39"/>
  <c r="D80" i="39"/>
  <c r="D76" i="39"/>
  <c r="D71" i="39"/>
  <c r="D158" i="39"/>
  <c r="D124" i="39"/>
  <c r="D116" i="39"/>
  <c r="D108" i="39"/>
  <c r="D72" i="39"/>
  <c r="D68" i="39"/>
  <c r="D64" i="39"/>
  <c r="D60" i="39"/>
  <c r="G60" i="39" s="1"/>
  <c r="D59" i="39"/>
  <c r="G59" i="39" s="1"/>
  <c r="D58" i="39"/>
  <c r="G58" i="39" s="1"/>
  <c r="D57" i="39"/>
  <c r="G57" i="39" s="1"/>
  <c r="D56" i="39"/>
  <c r="G56" i="39" s="1"/>
  <c r="D53" i="39"/>
  <c r="G53" i="39" s="1"/>
  <c r="D52" i="39"/>
  <c r="G52" i="39" s="1"/>
  <c r="D50" i="39"/>
  <c r="G50" i="39" s="1"/>
  <c r="D95" i="39"/>
  <c r="D79" i="39"/>
  <c r="D89" i="39"/>
  <c r="D69" i="39"/>
  <c r="D106" i="39"/>
  <c r="D101" i="39"/>
  <c r="D93" i="39"/>
  <c r="D77" i="39"/>
  <c r="D122" i="39"/>
  <c r="D81" i="39"/>
  <c r="D65" i="39"/>
  <c r="D83" i="39"/>
  <c r="D62" i="39"/>
  <c r="G175" i="39"/>
  <c r="G170" i="39"/>
  <c r="AI13" i="24"/>
  <c r="AC13" i="7"/>
  <c r="S6" i="20"/>
  <c r="V26" i="8"/>
  <c r="AK6" i="41"/>
  <c r="Y25" i="28"/>
  <c r="AI25" i="24"/>
  <c r="N25" i="25"/>
  <c r="AI26" i="24"/>
  <c r="AI15" i="24"/>
  <c r="Y11" i="28"/>
  <c r="AK27" i="41"/>
  <c r="AK9" i="39"/>
  <c r="AK14" i="41"/>
  <c r="AK19" i="40"/>
  <c r="N39" i="25"/>
  <c r="V15" i="8"/>
  <c r="AK14" i="40"/>
  <c r="V5" i="8"/>
  <c r="AK17" i="40"/>
  <c r="AK25" i="39"/>
  <c r="AK10" i="39"/>
  <c r="N21" i="25"/>
  <c r="V19" i="8"/>
  <c r="AK21" i="39"/>
  <c r="N38" i="25"/>
  <c r="V7" i="19"/>
  <c r="AC8" i="7"/>
  <c r="AK13" i="41"/>
  <c r="V17" i="19"/>
  <c r="V13" i="19"/>
  <c r="N36" i="25"/>
  <c r="N18" i="25"/>
  <c r="V18" i="19"/>
  <c r="Y7" i="28"/>
  <c r="AK7" i="40"/>
  <c r="L4" i="13"/>
  <c r="V20" i="8"/>
  <c r="N16" i="25"/>
  <c r="N10" i="25"/>
  <c r="AC15" i="7"/>
  <c r="Y14" i="28"/>
  <c r="AK21" i="40"/>
  <c r="AK7" i="41"/>
  <c r="V19" i="19"/>
  <c r="AK23" i="39"/>
  <c r="AC16" i="7"/>
  <c r="L10" i="13"/>
  <c r="V8" i="19"/>
  <c r="AK10" i="41"/>
  <c r="AK9" i="41"/>
  <c r="Y6" i="28"/>
  <c r="AK27" i="39"/>
  <c r="V6" i="19"/>
  <c r="AC7" i="7"/>
  <c r="AK13" i="40"/>
  <c r="AK19" i="41"/>
  <c r="V18" i="8"/>
  <c r="Y16" i="28"/>
  <c r="AI9" i="24"/>
  <c r="Y8" i="28"/>
  <c r="AK6" i="40"/>
  <c r="S9" i="20"/>
  <c r="AI23" i="24"/>
  <c r="AK20" i="40"/>
  <c r="Y12" i="28"/>
  <c r="AI17" i="24"/>
  <c r="Y23" i="28"/>
  <c r="N15" i="25"/>
  <c r="Y22" i="28"/>
  <c r="AI7" i="24"/>
  <c r="S11" i="20"/>
  <c r="N27" i="25"/>
  <c r="V14" i="19"/>
  <c r="AV3" i="32"/>
  <c r="Y13" i="28"/>
  <c r="V24" i="8"/>
  <c r="AC11" i="7"/>
  <c r="N11" i="25"/>
  <c r="V11" i="19"/>
  <c r="V27" i="8"/>
  <c r="AI29" i="24"/>
  <c r="AI12" i="24"/>
  <c r="AI3" i="24"/>
  <c r="S4" i="20"/>
  <c r="AK25" i="41"/>
  <c r="L8" i="13"/>
  <c r="V16" i="19"/>
  <c r="Y5" i="28"/>
  <c r="AC4" i="7"/>
  <c r="AI5" i="24"/>
  <c r="L7" i="13"/>
  <c r="Y18" i="28"/>
  <c r="AR4" i="33"/>
  <c r="AK8" i="39"/>
  <c r="V12" i="19"/>
  <c r="AK24" i="41"/>
  <c r="AI28" i="24"/>
  <c r="AI8" i="24"/>
  <c r="AV4" i="32"/>
  <c r="V5" i="19"/>
  <c r="L6" i="13"/>
  <c r="AK16" i="40"/>
  <c r="V13" i="8"/>
  <c r="AI4" i="24"/>
  <c r="Y15" i="28"/>
  <c r="Y9" i="28"/>
  <c r="S7" i="20"/>
  <c r="AK24" i="40"/>
  <c r="N32" i="25"/>
  <c r="V23" i="8"/>
  <c r="AK22" i="39"/>
  <c r="AK16" i="41"/>
  <c r="AI10" i="24"/>
  <c r="AK25" i="40"/>
  <c r="AK23" i="41"/>
  <c r="S12" i="20"/>
  <c r="AK17" i="41"/>
  <c r="AK8" i="40"/>
  <c r="N8" i="25"/>
  <c r="Y20" i="28"/>
  <c r="Y21" i="28"/>
  <c r="Y28" i="28"/>
  <c r="AK24" i="39"/>
  <c r="L9" i="13"/>
  <c r="V10" i="19"/>
  <c r="V8" i="8"/>
  <c r="AI33" i="24"/>
  <c r="AR5" i="33"/>
  <c r="AK11" i="41"/>
  <c r="V25" i="8"/>
  <c r="AK19" i="39"/>
  <c r="S10" i="20"/>
  <c r="AI16" i="24"/>
  <c r="Y29" i="28"/>
  <c r="AK12" i="41"/>
  <c r="Y10" i="28"/>
  <c r="N35" i="25"/>
  <c r="AI20" i="24"/>
  <c r="AK27" i="40"/>
  <c r="AK17" i="39"/>
  <c r="AK11" i="39"/>
  <c r="N28" i="25"/>
  <c r="L5" i="13"/>
  <c r="AI24" i="24"/>
  <c r="AK21" i="41"/>
  <c r="S5" i="20"/>
  <c r="V16" i="8"/>
  <c r="AK13" i="39"/>
  <c r="N17" i="25"/>
  <c r="AK7" i="39"/>
  <c r="V28" i="8"/>
  <c r="V22" i="8"/>
  <c r="V3" i="19"/>
  <c r="AK22" i="40"/>
  <c r="AV5" i="32"/>
  <c r="AK8" i="41"/>
  <c r="AK22" i="41"/>
  <c r="AK20" i="41"/>
  <c r="AK12" i="39"/>
  <c r="AK23" i="40"/>
  <c r="AK10" i="40"/>
  <c r="AV6" i="32"/>
  <c r="AI18" i="24"/>
  <c r="V14" i="8"/>
  <c r="N23" i="25"/>
  <c r="AK9" i="40"/>
  <c r="AI11" i="24"/>
  <c r="AK20" i="39"/>
  <c r="N22" i="25"/>
  <c r="AI22" i="24"/>
  <c r="V4" i="19"/>
  <c r="N30" i="25"/>
  <c r="AI6" i="24"/>
  <c r="V15" i="19"/>
  <c r="V6" i="8"/>
  <c r="AC12" i="7"/>
  <c r="AI21" i="24"/>
  <c r="AK14" i="39"/>
  <c r="AI19" i="24"/>
  <c r="N29" i="25"/>
  <c r="AK16" i="39"/>
  <c r="N37" i="25"/>
  <c r="N24" i="25"/>
  <c r="V17" i="8"/>
  <c r="AI14" i="24"/>
  <c r="V9" i="19"/>
  <c r="V12" i="8"/>
  <c r="N34" i="25"/>
  <c r="AK11" i="40"/>
  <c r="V7" i="8"/>
  <c r="AK6" i="39"/>
  <c r="N33" i="25"/>
  <c r="N31" i="25"/>
  <c r="AC10" i="7"/>
  <c r="AC5" i="7"/>
  <c r="Y19" i="28"/>
  <c r="S3" i="20"/>
  <c r="AK12" i="40"/>
  <c r="Y30" i="28"/>
  <c r="AC3" i="7"/>
  <c r="V20" i="19"/>
  <c r="N12" i="39" l="1"/>
  <c r="G62" i="41"/>
  <c r="G91" i="41"/>
  <c r="G101" i="41"/>
  <c r="G86" i="41"/>
  <c r="G151" i="41"/>
  <c r="G128" i="41"/>
  <c r="G166" i="41"/>
  <c r="G95" i="41"/>
  <c r="G127" i="40"/>
  <c r="G124" i="40"/>
  <c r="G165" i="41"/>
  <c r="G93" i="41"/>
  <c r="G100" i="41"/>
  <c r="G131" i="41"/>
  <c r="G165" i="40"/>
  <c r="G64" i="40"/>
  <c r="G138" i="41"/>
  <c r="G173" i="41"/>
  <c r="G68" i="40"/>
  <c r="G156" i="40"/>
  <c r="G162" i="40"/>
  <c r="G69" i="40"/>
  <c r="G89" i="41"/>
  <c r="N12" i="41"/>
  <c r="H188" i="41" s="1"/>
  <c r="G82" i="41"/>
  <c r="G180" i="41"/>
  <c r="G106" i="41"/>
  <c r="G81" i="41"/>
  <c r="G144" i="41"/>
  <c r="G152" i="41"/>
  <c r="G168" i="41"/>
  <c r="G154" i="41"/>
  <c r="G164" i="40"/>
  <c r="G172" i="40"/>
  <c r="G125" i="40"/>
  <c r="G137" i="40"/>
  <c r="G62" i="40"/>
  <c r="G180" i="40"/>
  <c r="N12" i="40"/>
  <c r="G89" i="40"/>
  <c r="G126" i="40"/>
  <c r="G110" i="40"/>
  <c r="G90" i="40"/>
  <c r="G95" i="40"/>
  <c r="G167" i="40"/>
  <c r="G66" i="40"/>
  <c r="G120" i="40"/>
  <c r="G107" i="40"/>
  <c r="G116" i="40"/>
  <c r="G161" i="40"/>
  <c r="G77" i="40"/>
  <c r="G102" i="40"/>
  <c r="G93" i="40"/>
  <c r="G82" i="40"/>
  <c r="G179" i="40"/>
  <c r="G100" i="40"/>
  <c r="G86" i="40"/>
  <c r="G144" i="40"/>
  <c r="G108" i="40"/>
  <c r="G88" i="40"/>
  <c r="G92" i="40"/>
  <c r="G178" i="40"/>
  <c r="G79" i="40"/>
  <c r="G173" i="40"/>
  <c r="G83" i="40"/>
  <c r="G93" i="39"/>
  <c r="G89" i="39"/>
  <c r="G88" i="39"/>
  <c r="G130" i="39"/>
  <c r="G143" i="39"/>
  <c r="G97" i="39"/>
  <c r="G169" i="39"/>
  <c r="G148" i="39"/>
  <c r="G81" i="39"/>
  <c r="G101" i="39"/>
  <c r="G79" i="39"/>
  <c r="G158" i="39"/>
  <c r="G82" i="39"/>
  <c r="G92" i="39"/>
  <c r="G118" i="39"/>
  <c r="G120" i="39"/>
  <c r="G119" i="39"/>
  <c r="G132" i="39"/>
  <c r="G146" i="39"/>
  <c r="G131" i="39"/>
  <c r="G152" i="39"/>
  <c r="G161" i="39"/>
  <c r="G177" i="39"/>
  <c r="G168" i="39"/>
  <c r="G180" i="39"/>
  <c r="G85" i="39"/>
  <c r="G133" i="39"/>
  <c r="G181" i="39"/>
  <c r="G126" i="39"/>
  <c r="G162" i="39"/>
  <c r="G160" i="39"/>
  <c r="G80" i="39"/>
  <c r="G112" i="39"/>
  <c r="G144" i="39"/>
  <c r="G129" i="39"/>
  <c r="G173" i="39"/>
  <c r="G166" i="39"/>
  <c r="G178" i="39"/>
  <c r="G114" i="39"/>
  <c r="G106" i="39"/>
  <c r="G95" i="39"/>
  <c r="G108" i="39"/>
  <c r="G84" i="39"/>
  <c r="G94" i="39"/>
  <c r="G105" i="39"/>
  <c r="G125" i="39"/>
  <c r="G140" i="39"/>
  <c r="G156" i="39"/>
  <c r="G137" i="39"/>
  <c r="G149" i="39"/>
  <c r="G165" i="39"/>
  <c r="G179" i="39"/>
  <c r="G172" i="39"/>
  <c r="G145" i="39"/>
  <c r="G78" i="39"/>
  <c r="G174" i="39"/>
  <c r="G113" i="39"/>
  <c r="G124" i="39"/>
  <c r="G100" i="39"/>
  <c r="G117" i="39"/>
  <c r="G155" i="39"/>
  <c r="G121" i="39"/>
  <c r="G102" i="39"/>
  <c r="G138" i="39"/>
  <c r="G122" i="39"/>
  <c r="G83" i="39"/>
  <c r="G77" i="39"/>
  <c r="G116" i="39"/>
  <c r="G76" i="39"/>
  <c r="G86" i="39"/>
  <c r="G96" i="39"/>
  <c r="G104" i="39"/>
  <c r="G107" i="39"/>
  <c r="G128" i="39"/>
  <c r="G142" i="39"/>
  <c r="G154" i="39"/>
  <c r="G141" i="39"/>
  <c r="G153" i="39"/>
  <c r="G167" i="39"/>
  <c r="G164" i="39"/>
  <c r="G176" i="39"/>
  <c r="G109" i="39"/>
  <c r="G157" i="39"/>
  <c r="G90" i="39"/>
  <c r="G150" i="39"/>
  <c r="G171" i="39"/>
  <c r="G136" i="39"/>
  <c r="H203" i="40" l="1"/>
  <c r="H196" i="40"/>
  <c r="H183" i="40"/>
  <c r="I183" i="40" s="1"/>
  <c r="J183" i="40" s="1"/>
  <c r="H199" i="40"/>
  <c r="I199" i="40" s="1"/>
  <c r="J199" i="40" s="1"/>
  <c r="H197" i="40"/>
  <c r="H202" i="40"/>
  <c r="I202" i="40" s="1"/>
  <c r="J202" i="40" s="1"/>
  <c r="H189" i="40"/>
  <c r="H198" i="40"/>
  <c r="I198" i="40" s="1"/>
  <c r="J198" i="40" s="1"/>
  <c r="H201" i="40"/>
  <c r="H201" i="41"/>
  <c r="I201" i="41" s="1"/>
  <c r="J201" i="41" s="1"/>
  <c r="H190" i="41"/>
  <c r="I190" i="41" s="1"/>
  <c r="J190" i="41" s="1"/>
  <c r="H187" i="41"/>
  <c r="I187" i="41" s="1"/>
  <c r="J187" i="41" s="1"/>
  <c r="H203" i="41"/>
  <c r="I203" i="41" s="1"/>
  <c r="J203" i="41" s="1"/>
  <c r="H195" i="41"/>
  <c r="I195" i="41" s="1"/>
  <c r="J195" i="41" s="1"/>
  <c r="H200" i="41"/>
  <c r="I200" i="41" s="1"/>
  <c r="J200" i="41" s="1"/>
  <c r="H184" i="41"/>
  <c r="I184" i="41" s="1"/>
  <c r="J184" i="41" s="1"/>
  <c r="H204" i="41"/>
  <c r="H202" i="41"/>
  <c r="H191" i="41"/>
  <c r="I191" i="41" s="1"/>
  <c r="J191" i="41" s="1"/>
  <c r="F185" i="41"/>
  <c r="H185" i="41" s="1"/>
  <c r="I185" i="41" s="1"/>
  <c r="J185" i="41" s="1"/>
  <c r="H182" i="41"/>
  <c r="I182" i="41" s="1"/>
  <c r="J182" i="41" s="1"/>
  <c r="H199" i="41"/>
  <c r="I199" i="41" s="1"/>
  <c r="J199" i="41" s="1"/>
  <c r="H183" i="41"/>
  <c r="I183" i="41" s="1"/>
  <c r="J183" i="41" s="1"/>
  <c r="H194" i="41"/>
  <c r="I194" i="41" s="1"/>
  <c r="J194" i="41" s="1"/>
  <c r="H205" i="41"/>
  <c r="I205" i="41" s="1"/>
  <c r="J205" i="41" s="1"/>
  <c r="H189" i="41"/>
  <c r="I189" i="41" s="1"/>
  <c r="J189" i="41" s="1"/>
  <c r="H198" i="41"/>
  <c r="I198" i="41" s="1"/>
  <c r="J198" i="41" s="1"/>
  <c r="H193" i="41"/>
  <c r="I193" i="41" s="1"/>
  <c r="J193" i="41" s="1"/>
  <c r="H186" i="41"/>
  <c r="I186" i="41" s="1"/>
  <c r="J186" i="41" s="1"/>
  <c r="H197" i="41"/>
  <c r="H196" i="41"/>
  <c r="I196" i="41" s="1"/>
  <c r="J196" i="41" s="1"/>
  <c r="H192" i="41"/>
  <c r="I192" i="41" s="1"/>
  <c r="J192" i="41" s="1"/>
  <c r="F185" i="40"/>
  <c r="H185" i="40" s="1"/>
  <c r="I185" i="40" s="1"/>
  <c r="J185" i="40" s="1"/>
  <c r="H205" i="40"/>
  <c r="I205" i="40" s="1"/>
  <c r="J205" i="40" s="1"/>
  <c r="H182" i="40"/>
  <c r="I182" i="40" s="1"/>
  <c r="J182" i="40" s="1"/>
  <c r="H190" i="40"/>
  <c r="I190" i="40" s="1"/>
  <c r="J190" i="40" s="1"/>
  <c r="H193" i="40"/>
  <c r="I193" i="40" s="1"/>
  <c r="J193" i="40" s="1"/>
  <c r="H187" i="40"/>
  <c r="I187" i="40" s="1"/>
  <c r="J187" i="40" s="1"/>
  <c r="H194" i="40"/>
  <c r="I194" i="40" s="1"/>
  <c r="J194" i="40" s="1"/>
  <c r="H204" i="40"/>
  <c r="I204" i="40" s="1"/>
  <c r="J204" i="40" s="1"/>
  <c r="H191" i="40"/>
  <c r="I191" i="40" s="1"/>
  <c r="J191" i="40" s="1"/>
  <c r="H186" i="40"/>
  <c r="I186" i="40" s="1"/>
  <c r="J186" i="40" s="1"/>
  <c r="H184" i="40"/>
  <c r="I184" i="40" s="1"/>
  <c r="J184" i="40" s="1"/>
  <c r="H200" i="40"/>
  <c r="I200" i="40" s="1"/>
  <c r="J200" i="40" s="1"/>
  <c r="H192" i="40"/>
  <c r="I192" i="40" s="1"/>
  <c r="J192" i="40" s="1"/>
  <c r="H188" i="40"/>
  <c r="I188" i="40" s="1"/>
  <c r="J188" i="40" s="1"/>
  <c r="H195" i="40"/>
  <c r="I195" i="40" s="1"/>
  <c r="J195" i="40" s="1"/>
  <c r="I197" i="41"/>
  <c r="J197" i="41" s="1"/>
  <c r="I188" i="41"/>
  <c r="J188" i="41" s="1"/>
  <c r="I196" i="40"/>
  <c r="J196" i="40" s="1"/>
  <c r="I201" i="40"/>
  <c r="J201" i="40" s="1"/>
  <c r="I197" i="40"/>
  <c r="J197" i="40" s="1"/>
  <c r="I203" i="40"/>
  <c r="J203" i="40" s="1"/>
  <c r="I204" i="41"/>
  <c r="J204" i="41" s="1"/>
  <c r="I202" i="41"/>
  <c r="J202" i="41" s="1"/>
  <c r="I189" i="40"/>
  <c r="J189" i="40" s="1"/>
  <c r="S51" i="28" l="1"/>
  <c r="S44" i="28"/>
  <c r="E16" i="48" s="1"/>
  <c r="O42" i="28"/>
  <c r="O121" i="24"/>
  <c r="E23" i="24"/>
  <c r="E22" i="24"/>
  <c r="D30" i="24" s="1"/>
  <c r="D38" i="24" s="1"/>
  <c r="D46" i="24" s="1"/>
  <c r="D54" i="24" s="1"/>
  <c r="D62" i="24" s="1"/>
  <c r="D70" i="24" s="1"/>
  <c r="D78" i="24" s="1"/>
  <c r="D86" i="24" s="1"/>
  <c r="D94" i="24" s="1"/>
  <c r="D102" i="24" s="1"/>
  <c r="H31" i="20"/>
  <c r="I30" i="24" s="1"/>
  <c r="I38" i="24" s="1"/>
  <c r="I46" i="24" s="1"/>
  <c r="I54" i="24" s="1"/>
  <c r="I62" i="24" s="1"/>
  <c r="I70" i="24" s="1"/>
  <c r="I78" i="24" s="1"/>
  <c r="I86" i="24" s="1"/>
  <c r="I94" i="24" s="1"/>
  <c r="I102" i="24" s="1"/>
  <c r="C31" i="20"/>
  <c r="H30" i="20"/>
  <c r="I29" i="24" s="1"/>
  <c r="I37" i="24" s="1"/>
  <c r="I45" i="24" s="1"/>
  <c r="I53" i="24" s="1"/>
  <c r="I61" i="24" s="1"/>
  <c r="I69" i="24" s="1"/>
  <c r="I77" i="24" s="1"/>
  <c r="I85" i="24" s="1"/>
  <c r="I93" i="24" s="1"/>
  <c r="I101" i="24" s="1"/>
  <c r="H29" i="20"/>
  <c r="I28" i="24" s="1"/>
  <c r="I36" i="24" s="1"/>
  <c r="I44" i="24" s="1"/>
  <c r="I52" i="24" s="1"/>
  <c r="I60" i="24" s="1"/>
  <c r="I68" i="24" s="1"/>
  <c r="I76" i="24" s="1"/>
  <c r="I84" i="24" s="1"/>
  <c r="I92" i="24" s="1"/>
  <c r="I100" i="24" s="1"/>
  <c r="G5" i="20"/>
  <c r="F5" i="20"/>
  <c r="E5" i="20"/>
  <c r="AL6" i="33" s="1"/>
  <c r="AG15" i="33" s="1"/>
  <c r="D5" i="20"/>
  <c r="C5" i="20"/>
  <c r="G4" i="20"/>
  <c r="F4" i="20"/>
  <c r="E4" i="20"/>
  <c r="D4" i="20"/>
  <c r="C4" i="20"/>
  <c r="G3" i="20"/>
  <c r="F3" i="20"/>
  <c r="E3" i="20"/>
  <c r="D3" i="20"/>
  <c r="C3" i="20"/>
  <c r="H22" i="19"/>
  <c r="G26" i="19" s="1"/>
  <c r="D22" i="24" s="1"/>
  <c r="D29" i="24" s="1"/>
  <c r="D37" i="24" s="1"/>
  <c r="D45" i="24" s="1"/>
  <c r="D53" i="24" s="1"/>
  <c r="D61" i="24" s="1"/>
  <c r="D69" i="24" s="1"/>
  <c r="D77" i="24" s="1"/>
  <c r="D85" i="24" s="1"/>
  <c r="D93" i="24" s="1"/>
  <c r="D101" i="24" s="1"/>
  <c r="G22" i="19"/>
  <c r="F26" i="19" s="1"/>
  <c r="J15" i="19"/>
  <c r="G30" i="24" s="1"/>
  <c r="G38" i="24" s="1"/>
  <c r="G46" i="24" s="1"/>
  <c r="G54" i="24" s="1"/>
  <c r="G62" i="24" s="1"/>
  <c r="G70" i="24" s="1"/>
  <c r="G78" i="24" s="1"/>
  <c r="G86" i="24" s="1"/>
  <c r="G94" i="24" s="1"/>
  <c r="G102" i="24" s="1"/>
  <c r="J14" i="19"/>
  <c r="J13" i="19"/>
  <c r="L6" i="19"/>
  <c r="G6" i="19"/>
  <c r="L5" i="19"/>
  <c r="L4" i="19"/>
  <c r="K15" i="7"/>
  <c r="K14" i="7"/>
  <c r="K13" i="7"/>
  <c r="K14" i="42" s="1"/>
  <c r="M6" i="7"/>
  <c r="M7" i="42" s="1"/>
  <c r="H6" i="7"/>
  <c r="H7" i="42" s="1"/>
  <c r="M5" i="7"/>
  <c r="M6" i="42" s="1"/>
  <c r="M4" i="7"/>
  <c r="M5" i="42" s="1"/>
  <c r="G59" i="8"/>
  <c r="G58" i="8"/>
  <c r="G57" i="8"/>
  <c r="G50" i="8"/>
  <c r="G49" i="8"/>
  <c r="G48" i="8"/>
  <c r="G41" i="8"/>
  <c r="K6" i="7" s="1"/>
  <c r="K7" i="42" s="1"/>
  <c r="E41" i="8"/>
  <c r="H6" i="19" s="1"/>
  <c r="H15" i="19" s="1"/>
  <c r="G40" i="8"/>
  <c r="J5" i="19" s="1"/>
  <c r="E40" i="8"/>
  <c r="D40" i="8"/>
  <c r="D31" i="8" s="1"/>
  <c r="G39" i="8"/>
  <c r="J4" i="19" s="1"/>
  <c r="E39" i="8"/>
  <c r="H4" i="19" s="1"/>
  <c r="D39" i="8"/>
  <c r="G4" i="19" s="1"/>
  <c r="J5" i="20" s="1"/>
  <c r="G32" i="8"/>
  <c r="G31" i="8"/>
  <c r="G30" i="8"/>
  <c r="G23" i="8"/>
  <c r="G22" i="8"/>
  <c r="G21" i="8"/>
  <c r="F16" i="8"/>
  <c r="G16" i="8" s="1"/>
  <c r="E16" i="8"/>
  <c r="F15" i="8"/>
  <c r="E15" i="8"/>
  <c r="F12" i="8"/>
  <c r="G12" i="8" s="1"/>
  <c r="E12" i="8"/>
  <c r="F11" i="8"/>
  <c r="E11" i="8"/>
  <c r="D78" i="25"/>
  <c r="C8" i="13"/>
  <c r="C23" i="25" s="1"/>
  <c r="C7" i="13"/>
  <c r="C22" i="25" s="1"/>
  <c r="C6" i="13"/>
  <c r="C21" i="25" s="1"/>
  <c r="C5" i="13"/>
  <c r="C20" i="25" s="1"/>
  <c r="C4" i="13"/>
  <c r="C19" i="25" s="1"/>
  <c r="Q50" i="6"/>
  <c r="Q49" i="6"/>
  <c r="I49" i="6"/>
  <c r="G49" i="6"/>
  <c r="H32" i="8" s="1"/>
  <c r="F49" i="6"/>
  <c r="E49" i="6"/>
  <c r="Q48" i="6"/>
  <c r="Q47" i="6"/>
  <c r="Q46" i="6"/>
  <c r="I46" i="6"/>
  <c r="G46" i="6"/>
  <c r="K14" i="19" s="1"/>
  <c r="H29" i="24" s="1"/>
  <c r="H37" i="24" s="1"/>
  <c r="H45" i="24" s="1"/>
  <c r="H53" i="24" s="1"/>
  <c r="H61" i="24" s="1"/>
  <c r="H69" i="24" s="1"/>
  <c r="H77" i="24" s="1"/>
  <c r="H85" i="24" s="1"/>
  <c r="H93" i="24" s="1"/>
  <c r="H101" i="24" s="1"/>
  <c r="E46" i="6"/>
  <c r="Q45" i="6"/>
  <c r="I45" i="6"/>
  <c r="G45" i="6"/>
  <c r="H39" i="8" s="1"/>
  <c r="F45" i="6"/>
  <c r="F46" i="6" s="1"/>
  <c r="J46" i="6" s="1"/>
  <c r="E45" i="6"/>
  <c r="Q40" i="6"/>
  <c r="Q39" i="6"/>
  <c r="I39" i="6"/>
  <c r="G39" i="6"/>
  <c r="F39" i="6"/>
  <c r="E39" i="6"/>
  <c r="Q38" i="6"/>
  <c r="Q37" i="6"/>
  <c r="Q36" i="6"/>
  <c r="I36" i="6"/>
  <c r="G36" i="6"/>
  <c r="E36" i="6"/>
  <c r="Q35" i="6"/>
  <c r="I35" i="6"/>
  <c r="G35" i="6"/>
  <c r="F35" i="6"/>
  <c r="F36" i="6" s="1"/>
  <c r="E35" i="6"/>
  <c r="Q30" i="6"/>
  <c r="Q29" i="6"/>
  <c r="I29" i="6"/>
  <c r="G29" i="6"/>
  <c r="F29" i="6"/>
  <c r="J29" i="6" s="1"/>
  <c r="E29" i="6"/>
  <c r="Q28" i="6"/>
  <c r="Q27" i="6"/>
  <c r="Q26" i="6"/>
  <c r="I26" i="6"/>
  <c r="G26" i="6"/>
  <c r="E26" i="6"/>
  <c r="Q25" i="6"/>
  <c r="I25" i="6"/>
  <c r="G25" i="6"/>
  <c r="F25" i="6"/>
  <c r="F26" i="6" s="1"/>
  <c r="E25" i="6"/>
  <c r="Q20" i="6"/>
  <c r="Q19" i="6"/>
  <c r="I19" i="6"/>
  <c r="G19" i="6"/>
  <c r="F19" i="6"/>
  <c r="E19" i="6"/>
  <c r="Q18" i="6"/>
  <c r="Q17" i="6"/>
  <c r="Q16" i="6"/>
  <c r="I16" i="6"/>
  <c r="G16" i="6"/>
  <c r="E16" i="6"/>
  <c r="Q15" i="6"/>
  <c r="I15" i="6"/>
  <c r="G15" i="6"/>
  <c r="F15" i="6"/>
  <c r="F16" i="6" s="1"/>
  <c r="J16" i="6" s="1"/>
  <c r="E15" i="6"/>
  <c r="Q10" i="6"/>
  <c r="Q9" i="6"/>
  <c r="I9" i="6"/>
  <c r="G9" i="6"/>
  <c r="F9" i="6"/>
  <c r="J9" i="6" s="1"/>
  <c r="E9" i="6"/>
  <c r="Q8" i="6"/>
  <c r="Q7" i="6"/>
  <c r="Q6" i="6"/>
  <c r="I6" i="6"/>
  <c r="G6" i="6"/>
  <c r="E6" i="6"/>
  <c r="Q5" i="6"/>
  <c r="I5" i="6"/>
  <c r="G5" i="6"/>
  <c r="F5" i="6"/>
  <c r="F6" i="6" s="1"/>
  <c r="E5" i="6"/>
  <c r="Y7" i="6"/>
  <c r="Y15" i="6"/>
  <c r="Y11" i="6"/>
  <c r="Y32" i="6"/>
  <c r="Y34" i="6"/>
  <c r="Y17" i="6"/>
  <c r="Y16" i="6"/>
  <c r="Y35" i="6"/>
  <c r="Y37" i="6"/>
  <c r="Y31" i="6"/>
  <c r="Y13" i="6"/>
  <c r="Y33" i="6"/>
  <c r="Y36" i="6"/>
  <c r="Y9" i="6"/>
  <c r="Y12" i="6"/>
  <c r="Y8" i="6"/>
  <c r="Y14" i="6"/>
  <c r="AD15" i="33" l="1"/>
  <c r="AE15" i="33"/>
  <c r="C4" i="24"/>
  <c r="AJ4" i="33"/>
  <c r="G4" i="24"/>
  <c r="AJ8" i="33"/>
  <c r="F5" i="24"/>
  <c r="AK7" i="33"/>
  <c r="D4" i="24"/>
  <c r="AJ5" i="33"/>
  <c r="C5" i="24"/>
  <c r="AK4" i="33"/>
  <c r="G5" i="24"/>
  <c r="AK8" i="33"/>
  <c r="F6" i="24"/>
  <c r="AL7" i="33"/>
  <c r="E4" i="24"/>
  <c r="AJ6" i="33"/>
  <c r="D5" i="24"/>
  <c r="AK5" i="33"/>
  <c r="C6" i="24"/>
  <c r="AL4" i="33"/>
  <c r="G6" i="24"/>
  <c r="AL8" i="33"/>
  <c r="AF15" i="33"/>
  <c r="J26" i="6"/>
  <c r="J39" i="6"/>
  <c r="D21" i="8"/>
  <c r="F4" i="24"/>
  <c r="AJ7" i="33"/>
  <c r="E5" i="24"/>
  <c r="AK6" i="33"/>
  <c r="D12" i="20"/>
  <c r="Y5" i="24" s="1"/>
  <c r="AL5" i="33"/>
  <c r="I12" i="6"/>
  <c r="D13" i="28" s="1"/>
  <c r="Q11" i="6"/>
  <c r="Q41" i="6"/>
  <c r="H22" i="8"/>
  <c r="E50" i="8"/>
  <c r="J50" i="8" s="1"/>
  <c r="H58" i="8"/>
  <c r="J6" i="6"/>
  <c r="I32" i="6"/>
  <c r="J36" i="6"/>
  <c r="J49" i="6"/>
  <c r="D48" i="8"/>
  <c r="J5" i="6"/>
  <c r="J15" i="6"/>
  <c r="Q31" i="6"/>
  <c r="J35" i="6"/>
  <c r="I42" i="6"/>
  <c r="G13" i="28" s="1"/>
  <c r="G34" i="28" s="1"/>
  <c r="J45" i="6"/>
  <c r="D22" i="8"/>
  <c r="E32" i="8"/>
  <c r="J41" i="8"/>
  <c r="M6" i="19" s="1"/>
  <c r="D49" i="8"/>
  <c r="D57" i="8"/>
  <c r="L15" i="7"/>
  <c r="K13" i="19"/>
  <c r="H28" i="24" s="1"/>
  <c r="H36" i="24" s="1"/>
  <c r="H44" i="24" s="1"/>
  <c r="H52" i="24" s="1"/>
  <c r="H60" i="24" s="1"/>
  <c r="H68" i="24" s="1"/>
  <c r="H76" i="24" s="1"/>
  <c r="H84" i="24" s="1"/>
  <c r="H92" i="24" s="1"/>
  <c r="H100" i="24" s="1"/>
  <c r="F12" i="20"/>
  <c r="AA5" i="24" s="1"/>
  <c r="D6" i="24"/>
  <c r="G5" i="19"/>
  <c r="K5" i="20" s="1"/>
  <c r="J25" i="6"/>
  <c r="Q51" i="6"/>
  <c r="F39" i="8" s="1"/>
  <c r="K4" i="7"/>
  <c r="K5" i="42" s="1"/>
  <c r="L13" i="7"/>
  <c r="L14" i="42" s="1"/>
  <c r="J6" i="19"/>
  <c r="G12" i="20"/>
  <c r="AB5" i="24" s="1"/>
  <c r="H57" i="8"/>
  <c r="I22" i="6"/>
  <c r="E13" i="28" s="1"/>
  <c r="Q21" i="6"/>
  <c r="I52" i="6"/>
  <c r="H13" i="28" s="1"/>
  <c r="H34" i="28" s="1"/>
  <c r="H21" i="8"/>
  <c r="H41" i="8"/>
  <c r="H48" i="8"/>
  <c r="D58" i="8"/>
  <c r="H5" i="7"/>
  <c r="H6" i="42" s="1"/>
  <c r="C26" i="7"/>
  <c r="C12" i="20"/>
  <c r="X5" i="24" s="1"/>
  <c r="J40" i="8"/>
  <c r="I5" i="7"/>
  <c r="I6" i="42" s="1"/>
  <c r="H5" i="19"/>
  <c r="G29" i="24"/>
  <c r="J19" i="6"/>
  <c r="J22" i="6" s="1"/>
  <c r="E14" i="28" s="1"/>
  <c r="J42" i="6"/>
  <c r="G14" i="28" s="1"/>
  <c r="K4" i="19"/>
  <c r="L4" i="7"/>
  <c r="L5" i="42" s="1"/>
  <c r="G28" i="24"/>
  <c r="C30" i="20"/>
  <c r="S54" i="28"/>
  <c r="E17" i="48" s="1"/>
  <c r="N15" i="19"/>
  <c r="M15" i="19"/>
  <c r="J32" i="6"/>
  <c r="F14" i="28" s="1"/>
  <c r="I4" i="7"/>
  <c r="I5" i="42" s="1"/>
  <c r="K39" i="8"/>
  <c r="D8" i="13"/>
  <c r="F30" i="8"/>
  <c r="J39" i="8"/>
  <c r="L39" i="8" s="1"/>
  <c r="K40" i="8"/>
  <c r="E12" i="20"/>
  <c r="Z5" i="24" s="1"/>
  <c r="E6" i="24"/>
  <c r="H31" i="8"/>
  <c r="H50" i="8"/>
  <c r="C22" i="7"/>
  <c r="C30" i="7"/>
  <c r="H23" i="8"/>
  <c r="D30" i="8"/>
  <c r="H30" i="8"/>
  <c r="H40" i="8"/>
  <c r="K41" i="8"/>
  <c r="H59" i="8"/>
  <c r="H4" i="7"/>
  <c r="H5" i="42" s="1"/>
  <c r="K5" i="7"/>
  <c r="K6" i="42" s="1"/>
  <c r="I6" i="7"/>
  <c r="N6" i="7"/>
  <c r="N7" i="42" s="1"/>
  <c r="L14" i="7"/>
  <c r="I20" i="7"/>
  <c r="C23" i="7"/>
  <c r="C27" i="7"/>
  <c r="C31" i="7"/>
  <c r="I12" i="20"/>
  <c r="K15" i="19"/>
  <c r="H30" i="24" s="1"/>
  <c r="H38" i="24" s="1"/>
  <c r="H46" i="24" s="1"/>
  <c r="H54" i="24" s="1"/>
  <c r="H62" i="24" s="1"/>
  <c r="H70" i="24" s="1"/>
  <c r="H78" i="24" s="1"/>
  <c r="H86" i="24" s="1"/>
  <c r="H94" i="24" s="1"/>
  <c r="H102" i="24" s="1"/>
  <c r="H49" i="8"/>
  <c r="C24" i="7"/>
  <c r="L41" i="8" l="1"/>
  <c r="L44" i="8" s="1"/>
  <c r="E68" i="8" s="1"/>
  <c r="L40" i="8"/>
  <c r="J12" i="20"/>
  <c r="J18" i="20" s="1"/>
  <c r="D7" i="13"/>
  <c r="D22" i="25" s="1"/>
  <c r="AC15" i="33"/>
  <c r="Y15" i="33"/>
  <c r="U15" i="33"/>
  <c r="Q15" i="33"/>
  <c r="AB15" i="33"/>
  <c r="X15" i="33"/>
  <c r="T15" i="33"/>
  <c r="AA15" i="33"/>
  <c r="W15" i="33"/>
  <c r="S15" i="33"/>
  <c r="Z15" i="33"/>
  <c r="V15" i="33"/>
  <c r="R15" i="33"/>
  <c r="AG17" i="33"/>
  <c r="AF17" i="33"/>
  <c r="AE17" i="33"/>
  <c r="AD17" i="33"/>
  <c r="AA14" i="33"/>
  <c r="W14" i="33"/>
  <c r="S14" i="33"/>
  <c r="Z14" i="33"/>
  <c r="V14" i="33"/>
  <c r="R14" i="33"/>
  <c r="AC14" i="33"/>
  <c r="Y14" i="33"/>
  <c r="U14" i="33"/>
  <c r="Q14" i="33"/>
  <c r="AB14" i="33"/>
  <c r="X14" i="33"/>
  <c r="T14" i="33"/>
  <c r="AE16" i="33"/>
  <c r="AD16" i="33"/>
  <c r="AG16" i="33"/>
  <c r="AF16" i="33"/>
  <c r="AC13" i="33"/>
  <c r="Y13" i="33"/>
  <c r="U13" i="33"/>
  <c r="Q13" i="33"/>
  <c r="AB13" i="33"/>
  <c r="X13" i="33"/>
  <c r="T13" i="33"/>
  <c r="AA13" i="33"/>
  <c r="W13" i="33"/>
  <c r="S13" i="33"/>
  <c r="Z13" i="33"/>
  <c r="V13" i="33"/>
  <c r="R13" i="33"/>
  <c r="AA16" i="33"/>
  <c r="W16" i="33"/>
  <c r="S16" i="33"/>
  <c r="Z16" i="33"/>
  <c r="V16" i="33"/>
  <c r="R16" i="33"/>
  <c r="AC16" i="33"/>
  <c r="Y16" i="33"/>
  <c r="U16" i="33"/>
  <c r="Q16" i="33"/>
  <c r="AB16" i="33"/>
  <c r="X16" i="33"/>
  <c r="T16" i="33"/>
  <c r="M13" i="33"/>
  <c r="I13" i="33"/>
  <c r="E13" i="33"/>
  <c r="P13" i="33"/>
  <c r="L13" i="33"/>
  <c r="H13" i="33"/>
  <c r="D13" i="33"/>
  <c r="O13" i="33"/>
  <c r="K13" i="33"/>
  <c r="G13" i="33"/>
  <c r="N13" i="33"/>
  <c r="J13" i="33"/>
  <c r="F13" i="33"/>
  <c r="I15" i="7"/>
  <c r="N15" i="7" s="1"/>
  <c r="P15" i="7" s="1"/>
  <c r="I7" i="42"/>
  <c r="D4" i="13"/>
  <c r="D19" i="25" s="1"/>
  <c r="K32" i="6"/>
  <c r="F13" i="28"/>
  <c r="F34" i="28" s="1"/>
  <c r="AE14" i="33"/>
  <c r="AD14" i="33"/>
  <c r="AG14" i="33"/>
  <c r="AF14" i="33"/>
  <c r="O16" i="33"/>
  <c r="K16" i="33"/>
  <c r="G16" i="33"/>
  <c r="N16" i="33"/>
  <c r="J16" i="33"/>
  <c r="F16" i="33"/>
  <c r="M16" i="33"/>
  <c r="I16" i="33"/>
  <c r="E16" i="33"/>
  <c r="P16" i="33"/>
  <c r="L16" i="33"/>
  <c r="H16" i="33"/>
  <c r="D16" i="33"/>
  <c r="AG13" i="33"/>
  <c r="AG18" i="33" s="1"/>
  <c r="AF13" i="33"/>
  <c r="AE13" i="33"/>
  <c r="AE18" i="33" s="1"/>
  <c r="AD13" i="33"/>
  <c r="M15" i="33"/>
  <c r="I15" i="33"/>
  <c r="E15" i="33"/>
  <c r="P15" i="33"/>
  <c r="L15" i="33"/>
  <c r="H15" i="33"/>
  <c r="D15" i="33"/>
  <c r="O15" i="33"/>
  <c r="K15" i="33"/>
  <c r="G15" i="33"/>
  <c r="N15" i="33"/>
  <c r="J15" i="33"/>
  <c r="F15" i="33"/>
  <c r="AC17" i="33"/>
  <c r="Y17" i="33"/>
  <c r="U17" i="33"/>
  <c r="Q17" i="33"/>
  <c r="AB17" i="33"/>
  <c r="X17" i="33"/>
  <c r="T17" i="33"/>
  <c r="AA17" i="33"/>
  <c r="W17" i="33"/>
  <c r="S17" i="33"/>
  <c r="Z17" i="33"/>
  <c r="V17" i="33"/>
  <c r="R17" i="33"/>
  <c r="O14" i="33"/>
  <c r="K14" i="33"/>
  <c r="G14" i="33"/>
  <c r="N14" i="33"/>
  <c r="J14" i="33"/>
  <c r="F14" i="33"/>
  <c r="M14" i="33"/>
  <c r="I14" i="33"/>
  <c r="E14" i="33"/>
  <c r="P14" i="33"/>
  <c r="L14" i="33"/>
  <c r="H14" i="33"/>
  <c r="D14" i="33"/>
  <c r="M17" i="33"/>
  <c r="I17" i="33"/>
  <c r="E17" i="33"/>
  <c r="P17" i="33"/>
  <c r="L17" i="33"/>
  <c r="H17" i="33"/>
  <c r="D17" i="33"/>
  <c r="O17" i="33"/>
  <c r="K17" i="33"/>
  <c r="G17" i="33"/>
  <c r="N17" i="33"/>
  <c r="J17" i="33"/>
  <c r="F17" i="33"/>
  <c r="G55" i="6"/>
  <c r="AB4" i="24"/>
  <c r="X4" i="24"/>
  <c r="AA4" i="24"/>
  <c r="Z4" i="24"/>
  <c r="Y4" i="24"/>
  <c r="D6" i="13"/>
  <c r="D21" i="25" s="1"/>
  <c r="K42" i="6"/>
  <c r="F21" i="8"/>
  <c r="J52" i="6"/>
  <c r="J12" i="6"/>
  <c r="K50" i="8"/>
  <c r="E59" i="8"/>
  <c r="H14" i="28"/>
  <c r="K52" i="6"/>
  <c r="H16" i="28" s="1"/>
  <c r="L50" i="8"/>
  <c r="F48" i="8"/>
  <c r="F57" i="8"/>
  <c r="J13" i="7"/>
  <c r="J14" i="42" s="1"/>
  <c r="I13" i="19"/>
  <c r="F28" i="24" s="1"/>
  <c r="F36" i="24" s="1"/>
  <c r="F44" i="24" s="1"/>
  <c r="F52" i="24" s="1"/>
  <c r="F60" i="24" s="1"/>
  <c r="F68" i="24" s="1"/>
  <c r="F76" i="24" s="1"/>
  <c r="F84" i="24" s="1"/>
  <c r="F92" i="24" s="1"/>
  <c r="F100" i="24" s="1"/>
  <c r="C28" i="7"/>
  <c r="C25" i="7"/>
  <c r="C21" i="7"/>
  <c r="C29" i="7"/>
  <c r="K6" i="19"/>
  <c r="L6" i="7"/>
  <c r="L7" i="42" s="1"/>
  <c r="D5" i="13"/>
  <c r="E20" i="13" s="1"/>
  <c r="C4" i="25" s="1"/>
  <c r="E34" i="28"/>
  <c r="K32" i="8"/>
  <c r="E23" i="8"/>
  <c r="J32" i="8"/>
  <c r="L32" i="8" s="1"/>
  <c r="N5" i="19"/>
  <c r="O5" i="7"/>
  <c r="O6" i="42" s="1"/>
  <c r="D34" i="28"/>
  <c r="E5" i="28"/>
  <c r="L5" i="7"/>
  <c r="L6" i="42" s="1"/>
  <c r="K5" i="19"/>
  <c r="M4" i="19"/>
  <c r="N4" i="7"/>
  <c r="N5" i="42" s="1"/>
  <c r="F16" i="28"/>
  <c r="L32" i="6"/>
  <c r="F15" i="28"/>
  <c r="F36" i="28" s="1"/>
  <c r="F35" i="28"/>
  <c r="O15" i="19"/>
  <c r="C15" i="13"/>
  <c r="C6" i="8"/>
  <c r="M5" i="19"/>
  <c r="N5" i="7"/>
  <c r="N6" i="42" s="1"/>
  <c r="I4" i="19"/>
  <c r="J4" i="7"/>
  <c r="J5" i="42" s="1"/>
  <c r="C14" i="13"/>
  <c r="G16" i="28"/>
  <c r="L42" i="6"/>
  <c r="O6" i="19"/>
  <c r="Y6" i="24"/>
  <c r="Y7" i="24" s="1"/>
  <c r="F18" i="20"/>
  <c r="D18" i="20"/>
  <c r="X6" i="24"/>
  <c r="X7" i="24" s="1"/>
  <c r="E18" i="20"/>
  <c r="H18" i="20"/>
  <c r="K18" i="20"/>
  <c r="G18" i="20"/>
  <c r="O4" i="19"/>
  <c r="P4" i="7"/>
  <c r="P5" i="42" s="1"/>
  <c r="K22" i="6"/>
  <c r="N4" i="19"/>
  <c r="O4" i="7"/>
  <c r="O5" i="42" s="1"/>
  <c r="O10" i="42" s="1"/>
  <c r="K44" i="8"/>
  <c r="C29" i="20"/>
  <c r="C22" i="24"/>
  <c r="D28" i="24" s="1"/>
  <c r="D36" i="24" s="1"/>
  <c r="D44" i="24" s="1"/>
  <c r="D52" i="24" s="1"/>
  <c r="D60" i="24" s="1"/>
  <c r="D68" i="24" s="1"/>
  <c r="D76" i="24" s="1"/>
  <c r="D84" i="24" s="1"/>
  <c r="D92" i="24" s="1"/>
  <c r="D100" i="24" s="1"/>
  <c r="G35" i="28"/>
  <c r="G15" i="28"/>
  <c r="G36" i="28" s="1"/>
  <c r="G37" i="28" s="1"/>
  <c r="P5" i="7"/>
  <c r="P6" i="42" s="1"/>
  <c r="O5" i="19"/>
  <c r="N20" i="7"/>
  <c r="J20" i="7"/>
  <c r="F20" i="7"/>
  <c r="H20" i="7"/>
  <c r="M20" i="7"/>
  <c r="E20" i="7"/>
  <c r="L20" i="7"/>
  <c r="D20" i="7"/>
  <c r="K20" i="7"/>
  <c r="G20" i="7"/>
  <c r="O6" i="7"/>
  <c r="O7" i="42" s="1"/>
  <c r="N6" i="19"/>
  <c r="C7" i="8"/>
  <c r="C16" i="13"/>
  <c r="D23" i="25"/>
  <c r="E35" i="28"/>
  <c r="E15" i="28"/>
  <c r="E36" i="28" s="1"/>
  <c r="G37" i="24"/>
  <c r="O15" i="7"/>
  <c r="L52" i="6"/>
  <c r="C3" i="8"/>
  <c r="G36" i="24"/>
  <c r="G18" i="33" l="1"/>
  <c r="H18" i="33"/>
  <c r="I18" i="33"/>
  <c r="V18" i="33"/>
  <c r="AA18" i="33"/>
  <c r="Q18" i="33"/>
  <c r="C18" i="20"/>
  <c r="E67" i="41" s="1"/>
  <c r="F67" i="41" s="1"/>
  <c r="H67" i="41" s="1"/>
  <c r="I67" i="41" s="1"/>
  <c r="J67" i="41" s="1"/>
  <c r="I18" i="20"/>
  <c r="L18" i="20"/>
  <c r="E175" i="41" s="1"/>
  <c r="F175" i="41" s="1"/>
  <c r="H175" i="41" s="1"/>
  <c r="I175" i="41" s="1"/>
  <c r="J175" i="41" s="1"/>
  <c r="P6" i="7"/>
  <c r="P7" i="42" s="1"/>
  <c r="C5" i="8"/>
  <c r="F37" i="28"/>
  <c r="AF18" i="33"/>
  <c r="F18" i="33"/>
  <c r="K18" i="33"/>
  <c r="L18" i="33"/>
  <c r="M18" i="33"/>
  <c r="Z18" i="33"/>
  <c r="T18" i="33"/>
  <c r="U18" i="33"/>
  <c r="P10" i="42"/>
  <c r="Q10" i="42" s="1"/>
  <c r="R10" i="42" s="1"/>
  <c r="J18" i="33"/>
  <c r="O18" i="33"/>
  <c r="P18" i="33"/>
  <c r="S18" i="33"/>
  <c r="X18" i="33"/>
  <c r="Y18" i="33"/>
  <c r="Z6" i="24"/>
  <c r="Z7" i="24" s="1"/>
  <c r="AA6" i="24"/>
  <c r="AA7" i="24" s="1"/>
  <c r="X9" i="24" s="1"/>
  <c r="X10" i="24" s="1"/>
  <c r="C11" i="24" s="1"/>
  <c r="D11" i="24" s="1"/>
  <c r="AB6" i="24"/>
  <c r="AB7" i="24" s="1"/>
  <c r="AD18" i="33"/>
  <c r="N18" i="33"/>
  <c r="D18" i="33"/>
  <c r="E18" i="33"/>
  <c r="R18" i="33"/>
  <c r="W18" i="33"/>
  <c r="AB18" i="33"/>
  <c r="AC18" i="33"/>
  <c r="E37" i="28"/>
  <c r="E147" i="41"/>
  <c r="F147" i="41" s="1"/>
  <c r="H147" i="41" s="1"/>
  <c r="I147" i="41" s="1"/>
  <c r="J147" i="41" s="1"/>
  <c r="E151" i="41"/>
  <c r="F151" i="41" s="1"/>
  <c r="H151" i="41" s="1"/>
  <c r="I151" i="41" s="1"/>
  <c r="J151" i="41" s="1"/>
  <c r="E155" i="41"/>
  <c r="F155" i="41" s="1"/>
  <c r="H155" i="41" s="1"/>
  <c r="I155" i="41" s="1"/>
  <c r="J155" i="41" s="1"/>
  <c r="E148" i="41"/>
  <c r="F148" i="41" s="1"/>
  <c r="H148" i="41" s="1"/>
  <c r="I148" i="41" s="1"/>
  <c r="J148" i="41" s="1"/>
  <c r="E152" i="41"/>
  <c r="F152" i="41" s="1"/>
  <c r="H152" i="41" s="1"/>
  <c r="I152" i="41" s="1"/>
  <c r="J152" i="41" s="1"/>
  <c r="E156" i="41"/>
  <c r="F156" i="41" s="1"/>
  <c r="H156" i="41" s="1"/>
  <c r="I156" i="41" s="1"/>
  <c r="J156" i="41" s="1"/>
  <c r="E149" i="41"/>
  <c r="F149" i="41" s="1"/>
  <c r="H149" i="41" s="1"/>
  <c r="I149" i="41" s="1"/>
  <c r="J149" i="41" s="1"/>
  <c r="E153" i="41"/>
  <c r="F153" i="41" s="1"/>
  <c r="H153" i="41" s="1"/>
  <c r="I153" i="41" s="1"/>
  <c r="J153" i="41" s="1"/>
  <c r="E157" i="41"/>
  <c r="F157" i="41" s="1"/>
  <c r="H157" i="41" s="1"/>
  <c r="I157" i="41" s="1"/>
  <c r="J157" i="41" s="1"/>
  <c r="E146" i="41"/>
  <c r="F146" i="41" s="1"/>
  <c r="H146" i="41" s="1"/>
  <c r="I146" i="41" s="1"/>
  <c r="J146" i="41" s="1"/>
  <c r="E150" i="41"/>
  <c r="F150" i="41" s="1"/>
  <c r="H150" i="41" s="1"/>
  <c r="I150" i="41" s="1"/>
  <c r="J150" i="41" s="1"/>
  <c r="E154" i="41"/>
  <c r="F154" i="41" s="1"/>
  <c r="H154" i="41" s="1"/>
  <c r="I154" i="41" s="1"/>
  <c r="J154" i="41" s="1"/>
  <c r="J59" i="8"/>
  <c r="L59" i="8" s="1"/>
  <c r="K59" i="8"/>
  <c r="E159" i="41"/>
  <c r="F159" i="41" s="1"/>
  <c r="H159" i="41" s="1"/>
  <c r="I159" i="41" s="1"/>
  <c r="J159" i="41" s="1"/>
  <c r="E163" i="41"/>
  <c r="F163" i="41" s="1"/>
  <c r="H163" i="41" s="1"/>
  <c r="I163" i="41" s="1"/>
  <c r="J163" i="41" s="1"/>
  <c r="E167" i="41"/>
  <c r="F167" i="41" s="1"/>
  <c r="H167" i="41" s="1"/>
  <c r="I167" i="41" s="1"/>
  <c r="J167" i="41" s="1"/>
  <c r="E160" i="41"/>
  <c r="F160" i="41" s="1"/>
  <c r="H160" i="41" s="1"/>
  <c r="I160" i="41" s="1"/>
  <c r="J160" i="41" s="1"/>
  <c r="E164" i="41"/>
  <c r="F164" i="41" s="1"/>
  <c r="H164" i="41" s="1"/>
  <c r="I164" i="41" s="1"/>
  <c r="J164" i="41" s="1"/>
  <c r="E168" i="41"/>
  <c r="F168" i="41" s="1"/>
  <c r="H168" i="41" s="1"/>
  <c r="I168" i="41" s="1"/>
  <c r="J168" i="41" s="1"/>
  <c r="E161" i="41"/>
  <c r="F161" i="41" s="1"/>
  <c r="H161" i="41" s="1"/>
  <c r="I161" i="41" s="1"/>
  <c r="J161" i="41" s="1"/>
  <c r="E165" i="41"/>
  <c r="F165" i="41" s="1"/>
  <c r="H165" i="41" s="1"/>
  <c r="I165" i="41" s="1"/>
  <c r="J165" i="41" s="1"/>
  <c r="E169" i="41"/>
  <c r="F169" i="41" s="1"/>
  <c r="H169" i="41" s="1"/>
  <c r="I169" i="41" s="1"/>
  <c r="J169" i="41" s="1"/>
  <c r="E166" i="41"/>
  <c r="F166" i="41" s="1"/>
  <c r="H166" i="41" s="1"/>
  <c r="I166" i="41" s="1"/>
  <c r="J166" i="41" s="1"/>
  <c r="E158" i="41"/>
  <c r="F158" i="41" s="1"/>
  <c r="H158" i="41" s="1"/>
  <c r="I158" i="41" s="1"/>
  <c r="J158" i="41" s="1"/>
  <c r="E162" i="41"/>
  <c r="F162" i="41" s="1"/>
  <c r="H162" i="41" s="1"/>
  <c r="I162" i="41" s="1"/>
  <c r="J162" i="41" s="1"/>
  <c r="E87" i="41"/>
  <c r="F87" i="41" s="1"/>
  <c r="H87" i="41" s="1"/>
  <c r="I87" i="41" s="1"/>
  <c r="J87" i="41" s="1"/>
  <c r="E91" i="41"/>
  <c r="F91" i="41" s="1"/>
  <c r="H91" i="41" s="1"/>
  <c r="I91" i="41" s="1"/>
  <c r="J91" i="41" s="1"/>
  <c r="E95" i="41"/>
  <c r="F95" i="41" s="1"/>
  <c r="H95" i="41" s="1"/>
  <c r="I95" i="41" s="1"/>
  <c r="J95" i="41" s="1"/>
  <c r="E88" i="41"/>
  <c r="F88" i="41" s="1"/>
  <c r="H88" i="41" s="1"/>
  <c r="I88" i="41" s="1"/>
  <c r="J88" i="41" s="1"/>
  <c r="E92" i="41"/>
  <c r="F92" i="41" s="1"/>
  <c r="H92" i="41" s="1"/>
  <c r="I92" i="41" s="1"/>
  <c r="J92" i="41" s="1"/>
  <c r="E96" i="41"/>
  <c r="F96" i="41" s="1"/>
  <c r="H96" i="41" s="1"/>
  <c r="I96" i="41" s="1"/>
  <c r="J96" i="41" s="1"/>
  <c r="E89" i="41"/>
  <c r="F89" i="41" s="1"/>
  <c r="H89" i="41" s="1"/>
  <c r="I89" i="41" s="1"/>
  <c r="J89" i="41" s="1"/>
  <c r="E93" i="41"/>
  <c r="F93" i="41" s="1"/>
  <c r="H93" i="41" s="1"/>
  <c r="I93" i="41" s="1"/>
  <c r="J93" i="41" s="1"/>
  <c r="E97" i="41"/>
  <c r="F97" i="41" s="1"/>
  <c r="H97" i="41" s="1"/>
  <c r="I97" i="41" s="1"/>
  <c r="J97" i="41" s="1"/>
  <c r="E90" i="41"/>
  <c r="F90" i="41" s="1"/>
  <c r="H90" i="41" s="1"/>
  <c r="I90" i="41" s="1"/>
  <c r="J90" i="41" s="1"/>
  <c r="E94" i="41"/>
  <c r="F94" i="41" s="1"/>
  <c r="H94" i="41" s="1"/>
  <c r="I94" i="41" s="1"/>
  <c r="J94" i="41" s="1"/>
  <c r="E86" i="41"/>
  <c r="F86" i="41" s="1"/>
  <c r="H86" i="41" s="1"/>
  <c r="I86" i="41" s="1"/>
  <c r="J86" i="41" s="1"/>
  <c r="E75" i="41"/>
  <c r="F75" i="41" s="1"/>
  <c r="H75" i="41" s="1"/>
  <c r="I75" i="41" s="1"/>
  <c r="J75" i="41" s="1"/>
  <c r="E79" i="41"/>
  <c r="F79" i="41" s="1"/>
  <c r="H79" i="41" s="1"/>
  <c r="I79" i="41" s="1"/>
  <c r="J79" i="41" s="1"/>
  <c r="E83" i="41"/>
  <c r="F83" i="41" s="1"/>
  <c r="H83" i="41" s="1"/>
  <c r="I83" i="41" s="1"/>
  <c r="J83" i="41" s="1"/>
  <c r="E76" i="41"/>
  <c r="F76" i="41" s="1"/>
  <c r="H76" i="41" s="1"/>
  <c r="I76" i="41" s="1"/>
  <c r="J76" i="41" s="1"/>
  <c r="E80" i="41"/>
  <c r="F80" i="41" s="1"/>
  <c r="H80" i="41" s="1"/>
  <c r="I80" i="41" s="1"/>
  <c r="J80" i="41" s="1"/>
  <c r="E84" i="41"/>
  <c r="F84" i="41" s="1"/>
  <c r="H84" i="41" s="1"/>
  <c r="I84" i="41" s="1"/>
  <c r="J84" i="41" s="1"/>
  <c r="E77" i="41"/>
  <c r="F77" i="41" s="1"/>
  <c r="H77" i="41" s="1"/>
  <c r="I77" i="41" s="1"/>
  <c r="J77" i="41" s="1"/>
  <c r="E78" i="41"/>
  <c r="F78" i="41" s="1"/>
  <c r="H78" i="41" s="1"/>
  <c r="I78" i="41" s="1"/>
  <c r="J78" i="41" s="1"/>
  <c r="E74" i="41"/>
  <c r="F74" i="41" s="1"/>
  <c r="H74" i="41" s="1"/>
  <c r="I74" i="41" s="1"/>
  <c r="J74" i="41" s="1"/>
  <c r="E81" i="41"/>
  <c r="F81" i="41" s="1"/>
  <c r="H81" i="41" s="1"/>
  <c r="I81" i="41" s="1"/>
  <c r="J81" i="41" s="1"/>
  <c r="E82" i="41"/>
  <c r="F82" i="41" s="1"/>
  <c r="H82" i="41" s="1"/>
  <c r="I82" i="41" s="1"/>
  <c r="J82" i="41" s="1"/>
  <c r="E85" i="41"/>
  <c r="F85" i="41" s="1"/>
  <c r="H85" i="41" s="1"/>
  <c r="I85" i="41" s="1"/>
  <c r="J85" i="41" s="1"/>
  <c r="E63" i="41"/>
  <c r="F63" i="41" s="1"/>
  <c r="H63" i="41" s="1"/>
  <c r="I63" i="41" s="1"/>
  <c r="J63" i="41" s="1"/>
  <c r="E71" i="41"/>
  <c r="F71" i="41" s="1"/>
  <c r="H71" i="41" s="1"/>
  <c r="I71" i="41" s="1"/>
  <c r="J71" i="41" s="1"/>
  <c r="E68" i="41"/>
  <c r="F68" i="41" s="1"/>
  <c r="H68" i="41" s="1"/>
  <c r="I68" i="41" s="1"/>
  <c r="J68" i="41" s="1"/>
  <c r="E70" i="41"/>
  <c r="F70" i="41" s="1"/>
  <c r="H70" i="41" s="1"/>
  <c r="I70" i="41" s="1"/>
  <c r="J70" i="41" s="1"/>
  <c r="E73" i="41"/>
  <c r="F73" i="41" s="1"/>
  <c r="H73" i="41" s="1"/>
  <c r="I73" i="41" s="1"/>
  <c r="J73" i="41" s="1"/>
  <c r="E62" i="41"/>
  <c r="F62" i="41" s="1"/>
  <c r="H62" i="41" s="1"/>
  <c r="I62" i="41" s="1"/>
  <c r="J62" i="41" s="1"/>
  <c r="L62" i="41" s="1"/>
  <c r="E135" i="41"/>
  <c r="F135" i="41" s="1"/>
  <c r="H135" i="41" s="1"/>
  <c r="I135" i="41" s="1"/>
  <c r="J135" i="41" s="1"/>
  <c r="E139" i="41"/>
  <c r="F139" i="41" s="1"/>
  <c r="H139" i="41" s="1"/>
  <c r="I139" i="41" s="1"/>
  <c r="J139" i="41" s="1"/>
  <c r="E143" i="41"/>
  <c r="F143" i="41" s="1"/>
  <c r="H143" i="41" s="1"/>
  <c r="I143" i="41" s="1"/>
  <c r="J143" i="41" s="1"/>
  <c r="E136" i="41"/>
  <c r="F136" i="41" s="1"/>
  <c r="H136" i="41" s="1"/>
  <c r="I136" i="41" s="1"/>
  <c r="J136" i="41" s="1"/>
  <c r="E140" i="41"/>
  <c r="F140" i="41" s="1"/>
  <c r="H140" i="41" s="1"/>
  <c r="I140" i="41" s="1"/>
  <c r="J140" i="41" s="1"/>
  <c r="E144" i="41"/>
  <c r="F144" i="41" s="1"/>
  <c r="H144" i="41" s="1"/>
  <c r="I144" i="41" s="1"/>
  <c r="J144" i="41" s="1"/>
  <c r="E137" i="41"/>
  <c r="F137" i="41" s="1"/>
  <c r="H137" i="41" s="1"/>
  <c r="I137" i="41" s="1"/>
  <c r="J137" i="41" s="1"/>
  <c r="E141" i="41"/>
  <c r="F141" i="41" s="1"/>
  <c r="H141" i="41" s="1"/>
  <c r="I141" i="41" s="1"/>
  <c r="J141" i="41" s="1"/>
  <c r="E145" i="41"/>
  <c r="F145" i="41" s="1"/>
  <c r="H145" i="41" s="1"/>
  <c r="I145" i="41" s="1"/>
  <c r="J145" i="41" s="1"/>
  <c r="E138" i="41"/>
  <c r="F138" i="41" s="1"/>
  <c r="H138" i="41" s="1"/>
  <c r="I138" i="41" s="1"/>
  <c r="J138" i="41" s="1"/>
  <c r="E142" i="41"/>
  <c r="F142" i="41" s="1"/>
  <c r="H142" i="41" s="1"/>
  <c r="I142" i="41" s="1"/>
  <c r="J142" i="41" s="1"/>
  <c r="E134" i="41"/>
  <c r="F134" i="41" s="1"/>
  <c r="H134" i="41" s="1"/>
  <c r="I134" i="41" s="1"/>
  <c r="J134" i="41" s="1"/>
  <c r="E171" i="41"/>
  <c r="F171" i="41" s="1"/>
  <c r="H171" i="41" s="1"/>
  <c r="I171" i="41" s="1"/>
  <c r="J171" i="41" s="1"/>
  <c r="E179" i="41"/>
  <c r="F179" i="41" s="1"/>
  <c r="H179" i="41" s="1"/>
  <c r="I179" i="41" s="1"/>
  <c r="J179" i="41" s="1"/>
  <c r="E176" i="41"/>
  <c r="F176" i="41" s="1"/>
  <c r="H176" i="41" s="1"/>
  <c r="I176" i="41" s="1"/>
  <c r="J176" i="41" s="1"/>
  <c r="E173" i="41"/>
  <c r="F173" i="41" s="1"/>
  <c r="H173" i="41" s="1"/>
  <c r="I173" i="41" s="1"/>
  <c r="J173" i="41" s="1"/>
  <c r="E181" i="41"/>
  <c r="F181" i="41" s="1"/>
  <c r="H181" i="41" s="1"/>
  <c r="I181" i="41" s="1"/>
  <c r="J181" i="41" s="1"/>
  <c r="E178" i="41"/>
  <c r="F178" i="41" s="1"/>
  <c r="H178" i="41" s="1"/>
  <c r="I178" i="41" s="1"/>
  <c r="J178" i="41" s="1"/>
  <c r="D14" i="28"/>
  <c r="K12" i="6"/>
  <c r="D16" i="28" s="1"/>
  <c r="E121" i="41"/>
  <c r="F121" i="41" s="1"/>
  <c r="H121" i="41" s="1"/>
  <c r="I121" i="41" s="1"/>
  <c r="J121" i="41" s="1"/>
  <c r="E114" i="41"/>
  <c r="F114" i="41" s="1"/>
  <c r="H114" i="41" s="1"/>
  <c r="I114" i="41" s="1"/>
  <c r="J114" i="41" s="1"/>
  <c r="E118" i="41"/>
  <c r="F118" i="41" s="1"/>
  <c r="H118" i="41" s="1"/>
  <c r="I118" i="41" s="1"/>
  <c r="J118" i="41" s="1"/>
  <c r="E111" i="41"/>
  <c r="F111" i="41" s="1"/>
  <c r="H111" i="41" s="1"/>
  <c r="I111" i="41" s="1"/>
  <c r="J111" i="41" s="1"/>
  <c r="E115" i="41"/>
  <c r="F115" i="41" s="1"/>
  <c r="H115" i="41" s="1"/>
  <c r="I115" i="41" s="1"/>
  <c r="J115" i="41" s="1"/>
  <c r="E119" i="41"/>
  <c r="F119" i="41" s="1"/>
  <c r="H119" i="41" s="1"/>
  <c r="I119" i="41" s="1"/>
  <c r="J119" i="41" s="1"/>
  <c r="E112" i="41"/>
  <c r="F112" i="41" s="1"/>
  <c r="H112" i="41" s="1"/>
  <c r="I112" i="41" s="1"/>
  <c r="J112" i="41" s="1"/>
  <c r="E116" i="41"/>
  <c r="F116" i="41" s="1"/>
  <c r="H116" i="41" s="1"/>
  <c r="I116" i="41" s="1"/>
  <c r="J116" i="41" s="1"/>
  <c r="E120" i="41"/>
  <c r="F120" i="41" s="1"/>
  <c r="H120" i="41" s="1"/>
  <c r="I120" i="41" s="1"/>
  <c r="J120" i="41" s="1"/>
  <c r="E117" i="41"/>
  <c r="F117" i="41" s="1"/>
  <c r="H117" i="41" s="1"/>
  <c r="I117" i="41" s="1"/>
  <c r="J117" i="41" s="1"/>
  <c r="E110" i="41"/>
  <c r="F110" i="41" s="1"/>
  <c r="H110" i="41" s="1"/>
  <c r="I110" i="41" s="1"/>
  <c r="J110" i="41" s="1"/>
  <c r="E113" i="41"/>
  <c r="F113" i="41" s="1"/>
  <c r="H113" i="41" s="1"/>
  <c r="I113" i="41" s="1"/>
  <c r="J113" i="41" s="1"/>
  <c r="E123" i="41"/>
  <c r="F123" i="41" s="1"/>
  <c r="H123" i="41" s="1"/>
  <c r="I123" i="41" s="1"/>
  <c r="J123" i="41" s="1"/>
  <c r="E127" i="41"/>
  <c r="F127" i="41" s="1"/>
  <c r="H127" i="41" s="1"/>
  <c r="I127" i="41" s="1"/>
  <c r="J127" i="41" s="1"/>
  <c r="E131" i="41"/>
  <c r="F131" i="41" s="1"/>
  <c r="H131" i="41" s="1"/>
  <c r="I131" i="41" s="1"/>
  <c r="J131" i="41" s="1"/>
  <c r="E124" i="41"/>
  <c r="F124" i="41" s="1"/>
  <c r="H124" i="41" s="1"/>
  <c r="I124" i="41" s="1"/>
  <c r="J124" i="41" s="1"/>
  <c r="E128" i="41"/>
  <c r="F128" i="41" s="1"/>
  <c r="H128" i="41" s="1"/>
  <c r="I128" i="41" s="1"/>
  <c r="J128" i="41" s="1"/>
  <c r="E132" i="41"/>
  <c r="F132" i="41" s="1"/>
  <c r="H132" i="41" s="1"/>
  <c r="I132" i="41" s="1"/>
  <c r="J132" i="41" s="1"/>
  <c r="E125" i="41"/>
  <c r="F125" i="41" s="1"/>
  <c r="H125" i="41" s="1"/>
  <c r="I125" i="41" s="1"/>
  <c r="J125" i="41" s="1"/>
  <c r="E129" i="41"/>
  <c r="F129" i="41" s="1"/>
  <c r="H129" i="41" s="1"/>
  <c r="I129" i="41" s="1"/>
  <c r="J129" i="41" s="1"/>
  <c r="E133" i="41"/>
  <c r="F133" i="41" s="1"/>
  <c r="H133" i="41" s="1"/>
  <c r="I133" i="41" s="1"/>
  <c r="J133" i="41" s="1"/>
  <c r="E126" i="41"/>
  <c r="F126" i="41" s="1"/>
  <c r="H126" i="41" s="1"/>
  <c r="I126" i="41" s="1"/>
  <c r="J126" i="41" s="1"/>
  <c r="E130" i="41"/>
  <c r="F130" i="41" s="1"/>
  <c r="H130" i="41" s="1"/>
  <c r="I130" i="41" s="1"/>
  <c r="J130" i="41" s="1"/>
  <c r="E122" i="41"/>
  <c r="F122" i="41" s="1"/>
  <c r="H122" i="41" s="1"/>
  <c r="I122" i="41" s="1"/>
  <c r="J122" i="41" s="1"/>
  <c r="E99" i="41"/>
  <c r="F99" i="41" s="1"/>
  <c r="H99" i="41" s="1"/>
  <c r="I99" i="41" s="1"/>
  <c r="J99" i="41" s="1"/>
  <c r="E103" i="41"/>
  <c r="F103" i="41" s="1"/>
  <c r="H103" i="41" s="1"/>
  <c r="I103" i="41" s="1"/>
  <c r="J103" i="41" s="1"/>
  <c r="E107" i="41"/>
  <c r="F107" i="41" s="1"/>
  <c r="H107" i="41" s="1"/>
  <c r="I107" i="41" s="1"/>
  <c r="J107" i="41" s="1"/>
  <c r="E100" i="41"/>
  <c r="F100" i="41" s="1"/>
  <c r="H100" i="41" s="1"/>
  <c r="I100" i="41" s="1"/>
  <c r="J100" i="41" s="1"/>
  <c r="E104" i="41"/>
  <c r="F104" i="41" s="1"/>
  <c r="H104" i="41" s="1"/>
  <c r="I104" i="41" s="1"/>
  <c r="J104" i="41" s="1"/>
  <c r="E108" i="41"/>
  <c r="F108" i="41" s="1"/>
  <c r="H108" i="41" s="1"/>
  <c r="I108" i="41" s="1"/>
  <c r="J108" i="41" s="1"/>
  <c r="E101" i="41"/>
  <c r="F101" i="41" s="1"/>
  <c r="H101" i="41" s="1"/>
  <c r="I101" i="41" s="1"/>
  <c r="J101" i="41" s="1"/>
  <c r="E105" i="41"/>
  <c r="F105" i="41" s="1"/>
  <c r="H105" i="41" s="1"/>
  <c r="I105" i="41" s="1"/>
  <c r="J105" i="41" s="1"/>
  <c r="E109" i="41"/>
  <c r="F109" i="41" s="1"/>
  <c r="H109" i="41" s="1"/>
  <c r="I109" i="41" s="1"/>
  <c r="J109" i="41" s="1"/>
  <c r="E98" i="41"/>
  <c r="F98" i="41" s="1"/>
  <c r="H98" i="41" s="1"/>
  <c r="I98" i="41" s="1"/>
  <c r="J98" i="41" s="1"/>
  <c r="E102" i="41"/>
  <c r="F102" i="41" s="1"/>
  <c r="H102" i="41" s="1"/>
  <c r="I102" i="41" s="1"/>
  <c r="J102" i="41" s="1"/>
  <c r="E106" i="41"/>
  <c r="F106" i="41" s="1"/>
  <c r="H106" i="41" s="1"/>
  <c r="I106" i="41" s="1"/>
  <c r="J106" i="41" s="1"/>
  <c r="O9" i="7"/>
  <c r="O9" i="19"/>
  <c r="C12" i="25"/>
  <c r="C10" i="25"/>
  <c r="C5" i="25"/>
  <c r="C8" i="25"/>
  <c r="C14" i="25"/>
  <c r="C7" i="25"/>
  <c r="C9" i="25"/>
  <c r="C11" i="25"/>
  <c r="C13" i="25"/>
  <c r="C6" i="25"/>
  <c r="J23" i="8"/>
  <c r="L23" i="8" s="1"/>
  <c r="K23" i="8"/>
  <c r="C4" i="8"/>
  <c r="C13" i="13"/>
  <c r="B20" i="13" s="1"/>
  <c r="E51" i="25" s="1"/>
  <c r="D20" i="25"/>
  <c r="F42" i="25" s="1"/>
  <c r="H35" i="28"/>
  <c r="H15" i="28"/>
  <c r="H36" i="28" s="1"/>
  <c r="H37" i="28" s="1"/>
  <c r="D31" i="20"/>
  <c r="C33" i="25"/>
  <c r="C65" i="25" s="1"/>
  <c r="H42" i="25"/>
  <c r="G45" i="24"/>
  <c r="N9" i="19"/>
  <c r="G42" i="25"/>
  <c r="C32" i="25"/>
  <c r="C64" i="25" s="1"/>
  <c r="I42" i="25"/>
  <c r="C34" i="25"/>
  <c r="L22" i="6"/>
  <c r="E16" i="28"/>
  <c r="G44" i="24"/>
  <c r="D68" i="8"/>
  <c r="F68" i="8" s="1"/>
  <c r="G68" i="8" s="1"/>
  <c r="M44" i="8"/>
  <c r="N44" i="8" s="1"/>
  <c r="P9" i="7"/>
  <c r="C20" i="13" l="1"/>
  <c r="D14" i="13" s="1"/>
  <c r="E170" i="41"/>
  <c r="F170" i="41" s="1"/>
  <c r="H170" i="41" s="1"/>
  <c r="I170" i="41" s="1"/>
  <c r="J170" i="41" s="1"/>
  <c r="E177" i="41"/>
  <c r="F177" i="41" s="1"/>
  <c r="H177" i="41" s="1"/>
  <c r="I177" i="41" s="1"/>
  <c r="J177" i="41" s="1"/>
  <c r="E172" i="41"/>
  <c r="F172" i="41" s="1"/>
  <c r="H172" i="41" s="1"/>
  <c r="I172" i="41" s="1"/>
  <c r="J172" i="41" s="1"/>
  <c r="E69" i="41"/>
  <c r="F69" i="41" s="1"/>
  <c r="H69" i="41" s="1"/>
  <c r="I69" i="41" s="1"/>
  <c r="J69" i="41" s="1"/>
  <c r="E65" i="41"/>
  <c r="F65" i="41" s="1"/>
  <c r="H65" i="41" s="1"/>
  <c r="I65" i="41" s="1"/>
  <c r="J65" i="41" s="1"/>
  <c r="E64" i="41"/>
  <c r="F64" i="41" s="1"/>
  <c r="H64" i="41" s="1"/>
  <c r="I64" i="41" s="1"/>
  <c r="J64" i="41" s="1"/>
  <c r="Q9" i="7"/>
  <c r="R9" i="7" s="1"/>
  <c r="E174" i="41"/>
  <c r="F174" i="41" s="1"/>
  <c r="H174" i="41" s="1"/>
  <c r="I174" i="41" s="1"/>
  <c r="J174" i="41" s="1"/>
  <c r="E180" i="41"/>
  <c r="F180" i="41" s="1"/>
  <c r="H180" i="41" s="1"/>
  <c r="I180" i="41" s="1"/>
  <c r="J180" i="41" s="1"/>
  <c r="E66" i="41"/>
  <c r="F66" i="41" s="1"/>
  <c r="H66" i="41" s="1"/>
  <c r="I66" i="41" s="1"/>
  <c r="J66" i="41" s="1"/>
  <c r="E72" i="41"/>
  <c r="F72" i="41" s="1"/>
  <c r="H72" i="41" s="1"/>
  <c r="I72" i="41" s="1"/>
  <c r="J72" i="41" s="1"/>
  <c r="P9" i="19"/>
  <c r="Q9" i="19" s="1"/>
  <c r="C31" i="25"/>
  <c r="C63" i="25" s="1"/>
  <c r="C69" i="25" s="1"/>
  <c r="K63" i="41"/>
  <c r="L63" i="41" s="1"/>
  <c r="AC2" i="32"/>
  <c r="AD2" i="32"/>
  <c r="AB2" i="32"/>
  <c r="AE2" i="32"/>
  <c r="D13" i="13"/>
  <c r="D12" i="13"/>
  <c r="D35" i="28"/>
  <c r="E8" i="28"/>
  <c r="D15" i="28"/>
  <c r="D36" i="28" s="1"/>
  <c r="D37" i="28" s="1"/>
  <c r="E6" i="28"/>
  <c r="D16" i="13"/>
  <c r="D15" i="13"/>
  <c r="L12" i="6"/>
  <c r="E7" i="28"/>
  <c r="J8" i="28" s="1"/>
  <c r="I41" i="25"/>
  <c r="G41" i="25"/>
  <c r="G53" i="24"/>
  <c r="H41" i="25"/>
  <c r="B38" i="25"/>
  <c r="G52" i="24"/>
  <c r="F41" i="25"/>
  <c r="J31" i="20"/>
  <c r="I31" i="20"/>
  <c r="K31" i="20" s="1"/>
  <c r="C38" i="25" l="1"/>
  <c r="C44" i="25" s="1"/>
  <c r="K21" i="28"/>
  <c r="K22" i="28" s="1"/>
  <c r="L21" i="28"/>
  <c r="L22" i="28" s="1"/>
  <c r="M21" i="28"/>
  <c r="M22" i="28" s="1"/>
  <c r="J20" i="28"/>
  <c r="I20" i="28"/>
  <c r="K20" i="28"/>
  <c r="M20" i="28"/>
  <c r="L20" i="28"/>
  <c r="B69" i="25"/>
  <c r="D65" i="25" s="1"/>
  <c r="K64" i="41"/>
  <c r="L64" i="41" s="1"/>
  <c r="AB3" i="32"/>
  <c r="AC3" i="32"/>
  <c r="AD3" i="32"/>
  <c r="AE3" i="32"/>
  <c r="I21" i="28"/>
  <c r="I22" i="28" s="1"/>
  <c r="J21" i="28"/>
  <c r="J22" i="28" s="1"/>
  <c r="J23" i="28" s="1"/>
  <c r="J24" i="28" s="1"/>
  <c r="C49" i="25"/>
  <c r="G61" i="24"/>
  <c r="G4" i="8"/>
  <c r="E54" i="25"/>
  <c r="L31" i="20"/>
  <c r="G60" i="24"/>
  <c r="D33" i="25" l="1"/>
  <c r="H43" i="25" s="1"/>
  <c r="H44" i="25" s="1"/>
  <c r="C50" i="25"/>
  <c r="C57" i="25"/>
  <c r="C46" i="25"/>
  <c r="D32" i="25"/>
  <c r="G43" i="25" s="1"/>
  <c r="G44" i="25" s="1"/>
  <c r="C45" i="25"/>
  <c r="C56" i="25"/>
  <c r="D63" i="25"/>
  <c r="C51" i="25"/>
  <c r="D30" i="25"/>
  <c r="D3" i="8" s="1"/>
  <c r="D34" i="25"/>
  <c r="C72" i="25" s="1"/>
  <c r="C55" i="25"/>
  <c r="D31" i="25"/>
  <c r="F43" i="25" s="1"/>
  <c r="F44" i="25" s="1"/>
  <c r="C43" i="25"/>
  <c r="C47" i="25"/>
  <c r="M23" i="28"/>
  <c r="M24" i="28" s="1"/>
  <c r="D64" i="25"/>
  <c r="D72" i="25"/>
  <c r="C52" i="25"/>
  <c r="C48" i="25"/>
  <c r="C54" i="25"/>
  <c r="C53" i="25"/>
  <c r="D62" i="25"/>
  <c r="L23" i="28"/>
  <c r="L24" i="28" s="1"/>
  <c r="I23" i="28"/>
  <c r="I24" i="28" s="1"/>
  <c r="K23" i="28"/>
  <c r="K24" i="28" s="1"/>
  <c r="K65" i="41"/>
  <c r="L65" i="41" s="1"/>
  <c r="AB4" i="32"/>
  <c r="AC4" i="32"/>
  <c r="AD4" i="32"/>
  <c r="AE4" i="32"/>
  <c r="D6" i="8"/>
  <c r="G69" i="24"/>
  <c r="G68" i="24"/>
  <c r="D5" i="8" l="1"/>
  <c r="D4" i="8"/>
  <c r="I43" i="25"/>
  <c r="I44" i="25" s="1"/>
  <c r="F46" i="25" s="1"/>
  <c r="F47" i="25" s="1"/>
  <c r="F51" i="25" s="1"/>
  <c r="G51" i="25" s="1"/>
  <c r="H51" i="25" s="1"/>
  <c r="I51" i="25" s="1"/>
  <c r="D7" i="8"/>
  <c r="C75" i="25"/>
  <c r="K66" i="41"/>
  <c r="L66" i="41" s="1"/>
  <c r="AB5" i="32"/>
  <c r="AC5" i="32"/>
  <c r="AE5" i="32"/>
  <c r="AD5" i="32"/>
  <c r="G6" i="8"/>
  <c r="G15" i="8" s="1"/>
  <c r="H15" i="8" s="1"/>
  <c r="G76" i="24"/>
  <c r="G77" i="24"/>
  <c r="G11" i="8" l="1"/>
  <c r="H11" i="8" s="1"/>
  <c r="E30" i="8" s="1"/>
  <c r="K67" i="41"/>
  <c r="L67" i="41" s="1"/>
  <c r="AB6" i="32"/>
  <c r="AC6" i="32"/>
  <c r="AE6" i="32"/>
  <c r="AD6" i="32"/>
  <c r="G85" i="24"/>
  <c r="G84" i="24"/>
  <c r="E31" i="8"/>
  <c r="C6" i="19"/>
  <c r="E49" i="8"/>
  <c r="E58" i="8"/>
  <c r="E22" i="8"/>
  <c r="D6" i="7"/>
  <c r="E21" i="8" l="1"/>
  <c r="J21" i="8" s="1"/>
  <c r="L21" i="8" s="1"/>
  <c r="D5" i="7"/>
  <c r="E57" i="8"/>
  <c r="J57" i="8" s="1"/>
  <c r="L57" i="8" s="1"/>
  <c r="I14" i="7"/>
  <c r="N14" i="7" s="1"/>
  <c r="P14" i="7" s="1"/>
  <c r="E48" i="8"/>
  <c r="J48" i="8" s="1"/>
  <c r="L48" i="8" s="1"/>
  <c r="C5" i="19"/>
  <c r="H13" i="19" s="1"/>
  <c r="K68" i="41"/>
  <c r="L68" i="41" s="1"/>
  <c r="AB7" i="32"/>
  <c r="AC7" i="32"/>
  <c r="AE7" i="32"/>
  <c r="AD7" i="32"/>
  <c r="J22" i="8"/>
  <c r="L22" i="8" s="1"/>
  <c r="K22" i="8"/>
  <c r="J31" i="8"/>
  <c r="L31" i="8" s="1"/>
  <c r="K31" i="8"/>
  <c r="J58" i="8"/>
  <c r="L58" i="8" s="1"/>
  <c r="K58" i="8"/>
  <c r="G92" i="24"/>
  <c r="J30" i="8"/>
  <c r="L30" i="8" s="1"/>
  <c r="K30" i="8"/>
  <c r="K3" i="20"/>
  <c r="H14" i="19"/>
  <c r="G93" i="24"/>
  <c r="J49" i="8"/>
  <c r="L49" i="8" s="1"/>
  <c r="K49" i="8"/>
  <c r="K21" i="8" l="1"/>
  <c r="K57" i="8"/>
  <c r="K62" i="8"/>
  <c r="M62" i="8" s="1"/>
  <c r="N62" i="8" s="1"/>
  <c r="I13" i="7"/>
  <c r="O13" i="7" s="1"/>
  <c r="K48" i="8"/>
  <c r="K53" i="8" s="1"/>
  <c r="L62" i="8"/>
  <c r="E70" i="8" s="1"/>
  <c r="I22" i="42"/>
  <c r="I14" i="42"/>
  <c r="I16" i="42"/>
  <c r="O14" i="7"/>
  <c r="J3" i="20"/>
  <c r="D10" i="20" s="1"/>
  <c r="K5" i="24" s="1"/>
  <c r="W22" i="42"/>
  <c r="I15" i="42"/>
  <c r="K69" i="41"/>
  <c r="L69" i="41" s="1"/>
  <c r="AB8" i="32"/>
  <c r="AC8" i="32"/>
  <c r="AD8" i="32"/>
  <c r="AE8" i="32"/>
  <c r="K26" i="8"/>
  <c r="D66" i="8" s="1"/>
  <c r="L26" i="8"/>
  <c r="E66" i="8" s="1"/>
  <c r="G100" i="24"/>
  <c r="G101" i="24"/>
  <c r="K35" i="8"/>
  <c r="N13" i="19"/>
  <c r="M13" i="19"/>
  <c r="O13" i="19" s="1"/>
  <c r="N14" i="19"/>
  <c r="M14" i="19"/>
  <c r="O14" i="19" s="1"/>
  <c r="D11" i="20"/>
  <c r="R5" i="24" s="1"/>
  <c r="F11" i="20"/>
  <c r="T5" i="24" s="1"/>
  <c r="G11" i="20"/>
  <c r="U5" i="24" s="1"/>
  <c r="C11" i="20"/>
  <c r="Q5" i="24" s="1"/>
  <c r="D26" i="20"/>
  <c r="D23" i="24" s="1"/>
  <c r="E11" i="20"/>
  <c r="S5" i="24" s="1"/>
  <c r="L53" i="8"/>
  <c r="E69" i="8" s="1"/>
  <c r="L35" i="8"/>
  <c r="E67" i="8" s="1"/>
  <c r="D70" i="8" l="1"/>
  <c r="F70" i="8" s="1"/>
  <c r="G70" i="8" s="1"/>
  <c r="O18" i="7"/>
  <c r="N13" i="7"/>
  <c r="P13" i="7" s="1"/>
  <c r="P18" i="7" s="1"/>
  <c r="C26" i="20"/>
  <c r="C23" i="24" s="1"/>
  <c r="F10" i="20"/>
  <c r="M5" i="24" s="1"/>
  <c r="G10" i="20"/>
  <c r="N5" i="24" s="1"/>
  <c r="E10" i="20"/>
  <c r="L5" i="24" s="1"/>
  <c r="C10" i="20"/>
  <c r="J5" i="24" s="1"/>
  <c r="O16" i="42"/>
  <c r="N16" i="42"/>
  <c r="P16" i="42" s="1"/>
  <c r="X22" i="42"/>
  <c r="Y22" i="42" s="1"/>
  <c r="Z22" i="42" s="1"/>
  <c r="AA22" i="42" s="1"/>
  <c r="AB22" i="42" s="1"/>
  <c r="V22" i="42"/>
  <c r="U22" i="42" s="1"/>
  <c r="T22" i="42" s="1"/>
  <c r="S22" i="42" s="1"/>
  <c r="R22" i="42" s="1"/>
  <c r="O15" i="42"/>
  <c r="N15" i="42"/>
  <c r="P15" i="42" s="1"/>
  <c r="O14" i="42"/>
  <c r="N14" i="42"/>
  <c r="P14" i="42" s="1"/>
  <c r="H22" i="42"/>
  <c r="G22" i="42" s="1"/>
  <c r="F22" i="42" s="1"/>
  <c r="E22" i="42" s="1"/>
  <c r="D22" i="42" s="1"/>
  <c r="J22" i="42"/>
  <c r="K22" i="42" s="1"/>
  <c r="L22" i="42" s="1"/>
  <c r="M22" i="42" s="1"/>
  <c r="N22" i="42" s="1"/>
  <c r="U4" i="24"/>
  <c r="Q4" i="24"/>
  <c r="T4" i="24"/>
  <c r="S4" i="24"/>
  <c r="R4" i="24"/>
  <c r="K70" i="41"/>
  <c r="L70" i="41" s="1"/>
  <c r="AB9" i="32"/>
  <c r="AC9" i="32"/>
  <c r="AE9" i="32"/>
  <c r="AD9" i="32"/>
  <c r="F66" i="8"/>
  <c r="G66" i="8" s="1"/>
  <c r="M26" i="8"/>
  <c r="N26" i="8" s="1"/>
  <c r="N18" i="19"/>
  <c r="D67" i="8"/>
  <c r="F67" i="8" s="1"/>
  <c r="G67" i="8" s="1"/>
  <c r="M35" i="8"/>
  <c r="N35" i="8" s="1"/>
  <c r="M53" i="8"/>
  <c r="N53" i="8" s="1"/>
  <c r="D69" i="8"/>
  <c r="F69" i="8" s="1"/>
  <c r="G69" i="8" s="1"/>
  <c r="I11" i="20"/>
  <c r="J11" i="20"/>
  <c r="O18" i="19"/>
  <c r="Q18" i="7" l="1"/>
  <c r="R18" i="7" s="1"/>
  <c r="K4" i="24"/>
  <c r="I10" i="20"/>
  <c r="J10" i="20"/>
  <c r="M4" i="24"/>
  <c r="N4" i="24"/>
  <c r="J4" i="24"/>
  <c r="L4" i="24"/>
  <c r="O19" i="42"/>
  <c r="Q14" i="42"/>
  <c r="C22" i="42" s="1"/>
  <c r="P19" i="42"/>
  <c r="Q15" i="42"/>
  <c r="Q22" i="42" s="1"/>
  <c r="Q16" i="42"/>
  <c r="K71" i="41"/>
  <c r="L71" i="41" s="1"/>
  <c r="AB10" i="32"/>
  <c r="AC10" i="32"/>
  <c r="AE10" i="32"/>
  <c r="AD10" i="32"/>
  <c r="P18" i="19"/>
  <c r="Q18" i="19" s="1"/>
  <c r="S6" i="24"/>
  <c r="S7" i="24" s="1"/>
  <c r="L17" i="20"/>
  <c r="H17" i="20"/>
  <c r="D17" i="20"/>
  <c r="U6" i="24"/>
  <c r="U7" i="24" s="1"/>
  <c r="F17" i="20"/>
  <c r="R6" i="24"/>
  <c r="R7" i="24" s="1"/>
  <c r="K17" i="20"/>
  <c r="G17" i="20"/>
  <c r="C17" i="20"/>
  <c r="Q6" i="24"/>
  <c r="Q7" i="24" s="1"/>
  <c r="J17" i="20"/>
  <c r="I17" i="20"/>
  <c r="T6" i="24"/>
  <c r="T7" i="24" s="1"/>
  <c r="E17" i="20"/>
  <c r="N6" i="24" l="1"/>
  <c r="C20" i="7"/>
  <c r="K6" i="24"/>
  <c r="K7" i="24" s="1"/>
  <c r="L6" i="24"/>
  <c r="L7" i="24" s="1"/>
  <c r="L16" i="20"/>
  <c r="E179" i="39" s="1"/>
  <c r="F179" i="39" s="1"/>
  <c r="H179" i="39" s="1"/>
  <c r="I179" i="39" s="1"/>
  <c r="J179" i="39" s="1"/>
  <c r="G16" i="20"/>
  <c r="E119" i="39" s="1"/>
  <c r="F119" i="39" s="1"/>
  <c r="H119" i="39" s="1"/>
  <c r="I119" i="39" s="1"/>
  <c r="J119" i="39" s="1"/>
  <c r="E16" i="20"/>
  <c r="E91" i="39" s="1"/>
  <c r="F91" i="39" s="1"/>
  <c r="H91" i="39" s="1"/>
  <c r="I91" i="39" s="1"/>
  <c r="J91" i="39" s="1"/>
  <c r="F16" i="20"/>
  <c r="E107" i="39" s="1"/>
  <c r="F107" i="39" s="1"/>
  <c r="H107" i="39" s="1"/>
  <c r="I107" i="39" s="1"/>
  <c r="J107" i="39" s="1"/>
  <c r="K16" i="20"/>
  <c r="E165" i="39" s="1"/>
  <c r="F165" i="39" s="1"/>
  <c r="H165" i="39" s="1"/>
  <c r="I165" i="39" s="1"/>
  <c r="J165" i="39" s="1"/>
  <c r="J6" i="24"/>
  <c r="J7" i="24" s="1"/>
  <c r="I16" i="20"/>
  <c r="E139" i="39" s="1"/>
  <c r="F139" i="39" s="1"/>
  <c r="H139" i="39" s="1"/>
  <c r="I139" i="39" s="1"/>
  <c r="J139" i="39" s="1"/>
  <c r="J16" i="20"/>
  <c r="E151" i="39" s="1"/>
  <c r="F151" i="39" s="1"/>
  <c r="H151" i="39" s="1"/>
  <c r="I151" i="39" s="1"/>
  <c r="J151" i="39" s="1"/>
  <c r="C16" i="20"/>
  <c r="E67" i="39" s="1"/>
  <c r="F67" i="39" s="1"/>
  <c r="H67" i="39" s="1"/>
  <c r="I67" i="39" s="1"/>
  <c r="J67" i="39" s="1"/>
  <c r="D16" i="20"/>
  <c r="E76" i="39" s="1"/>
  <c r="F76" i="39" s="1"/>
  <c r="H76" i="39" s="1"/>
  <c r="I76" i="39" s="1"/>
  <c r="J76" i="39" s="1"/>
  <c r="M6" i="24"/>
  <c r="M7" i="24" s="1"/>
  <c r="N7" i="24"/>
  <c r="H16" i="20"/>
  <c r="E127" i="39" s="1"/>
  <c r="F127" i="39" s="1"/>
  <c r="H127" i="39" s="1"/>
  <c r="I127" i="39" s="1"/>
  <c r="J127" i="39" s="1"/>
  <c r="Q19" i="42"/>
  <c r="R19" i="42" s="1"/>
  <c r="F22" i="19"/>
  <c r="K72" i="41"/>
  <c r="L72" i="41" s="1"/>
  <c r="AB11" i="32"/>
  <c r="AC11" i="32"/>
  <c r="AE11" i="32"/>
  <c r="AD11" i="32"/>
  <c r="E123" i="40"/>
  <c r="F123" i="40" s="1"/>
  <c r="H123" i="40" s="1"/>
  <c r="I123" i="40" s="1"/>
  <c r="J123" i="40" s="1"/>
  <c r="E127" i="40"/>
  <c r="F127" i="40" s="1"/>
  <c r="H127" i="40" s="1"/>
  <c r="I127" i="40" s="1"/>
  <c r="J127" i="40" s="1"/>
  <c r="E131" i="40"/>
  <c r="F131" i="40" s="1"/>
  <c r="H131" i="40" s="1"/>
  <c r="I131" i="40" s="1"/>
  <c r="J131" i="40" s="1"/>
  <c r="E125" i="40"/>
  <c r="F125" i="40" s="1"/>
  <c r="H125" i="40" s="1"/>
  <c r="I125" i="40" s="1"/>
  <c r="J125" i="40" s="1"/>
  <c r="E133" i="40"/>
  <c r="F133" i="40" s="1"/>
  <c r="H133" i="40" s="1"/>
  <c r="I133" i="40" s="1"/>
  <c r="J133" i="40" s="1"/>
  <c r="E124" i="40"/>
  <c r="F124" i="40" s="1"/>
  <c r="H124" i="40" s="1"/>
  <c r="I124" i="40" s="1"/>
  <c r="J124" i="40" s="1"/>
  <c r="E128" i="40"/>
  <c r="F128" i="40" s="1"/>
  <c r="H128" i="40" s="1"/>
  <c r="I128" i="40" s="1"/>
  <c r="J128" i="40" s="1"/>
  <c r="E132" i="40"/>
  <c r="F132" i="40" s="1"/>
  <c r="H132" i="40" s="1"/>
  <c r="I132" i="40" s="1"/>
  <c r="J132" i="40" s="1"/>
  <c r="E129" i="40"/>
  <c r="F129" i="40" s="1"/>
  <c r="H129" i="40" s="1"/>
  <c r="I129" i="40" s="1"/>
  <c r="J129" i="40" s="1"/>
  <c r="E126" i="40"/>
  <c r="F126" i="40" s="1"/>
  <c r="H126" i="40" s="1"/>
  <c r="I126" i="40" s="1"/>
  <c r="J126" i="40" s="1"/>
  <c r="E122" i="40"/>
  <c r="F122" i="40" s="1"/>
  <c r="H122" i="40" s="1"/>
  <c r="I122" i="40" s="1"/>
  <c r="J122" i="40" s="1"/>
  <c r="E130" i="40"/>
  <c r="F130" i="40" s="1"/>
  <c r="H130" i="40" s="1"/>
  <c r="I130" i="40" s="1"/>
  <c r="J130" i="40" s="1"/>
  <c r="E63" i="39"/>
  <c r="F63" i="39" s="1"/>
  <c r="H63" i="39" s="1"/>
  <c r="I63" i="39" s="1"/>
  <c r="J63" i="39" s="1"/>
  <c r="E62" i="39"/>
  <c r="F62" i="39" s="1"/>
  <c r="H62" i="39" s="1"/>
  <c r="I62" i="39" s="1"/>
  <c r="J62" i="39" s="1"/>
  <c r="L62" i="39" s="1"/>
  <c r="E80" i="39"/>
  <c r="F80" i="39" s="1"/>
  <c r="H80" i="39" s="1"/>
  <c r="I80" i="39" s="1"/>
  <c r="J80" i="39" s="1"/>
  <c r="E85" i="39"/>
  <c r="F85" i="39" s="1"/>
  <c r="H85" i="39" s="1"/>
  <c r="I85" i="39" s="1"/>
  <c r="J85" i="39" s="1"/>
  <c r="E63" i="40"/>
  <c r="F63" i="40" s="1"/>
  <c r="H63" i="40" s="1"/>
  <c r="I63" i="40" s="1"/>
  <c r="J63" i="40" s="1"/>
  <c r="E67" i="40"/>
  <c r="F67" i="40" s="1"/>
  <c r="H67" i="40" s="1"/>
  <c r="I67" i="40" s="1"/>
  <c r="J67" i="40" s="1"/>
  <c r="E71" i="40"/>
  <c r="F71" i="40" s="1"/>
  <c r="H71" i="40" s="1"/>
  <c r="I71" i="40" s="1"/>
  <c r="J71" i="40" s="1"/>
  <c r="E69" i="40"/>
  <c r="F69" i="40" s="1"/>
  <c r="H69" i="40" s="1"/>
  <c r="I69" i="40" s="1"/>
  <c r="J69" i="40" s="1"/>
  <c r="E64" i="40"/>
  <c r="F64" i="40" s="1"/>
  <c r="H64" i="40" s="1"/>
  <c r="I64" i="40" s="1"/>
  <c r="J64" i="40" s="1"/>
  <c r="E68" i="40"/>
  <c r="F68" i="40" s="1"/>
  <c r="H68" i="40" s="1"/>
  <c r="I68" i="40" s="1"/>
  <c r="J68" i="40" s="1"/>
  <c r="E72" i="40"/>
  <c r="F72" i="40" s="1"/>
  <c r="H72" i="40" s="1"/>
  <c r="I72" i="40" s="1"/>
  <c r="J72" i="40" s="1"/>
  <c r="E65" i="40"/>
  <c r="F65" i="40" s="1"/>
  <c r="H65" i="40" s="1"/>
  <c r="I65" i="40" s="1"/>
  <c r="J65" i="40" s="1"/>
  <c r="E73" i="40"/>
  <c r="F73" i="40" s="1"/>
  <c r="H73" i="40" s="1"/>
  <c r="I73" i="40" s="1"/>
  <c r="J73" i="40" s="1"/>
  <c r="E70" i="40"/>
  <c r="F70" i="40" s="1"/>
  <c r="H70" i="40" s="1"/>
  <c r="I70" i="40" s="1"/>
  <c r="J70" i="40" s="1"/>
  <c r="E62" i="40"/>
  <c r="F62" i="40" s="1"/>
  <c r="H62" i="40" s="1"/>
  <c r="I62" i="40" s="1"/>
  <c r="J62" i="40" s="1"/>
  <c r="L62" i="40" s="1"/>
  <c r="E66" i="40"/>
  <c r="F66" i="40" s="1"/>
  <c r="H66" i="40" s="1"/>
  <c r="I66" i="40" s="1"/>
  <c r="J66" i="40" s="1"/>
  <c r="E99" i="40"/>
  <c r="F99" i="40" s="1"/>
  <c r="H99" i="40" s="1"/>
  <c r="I99" i="40" s="1"/>
  <c r="J99" i="40" s="1"/>
  <c r="E103" i="40"/>
  <c r="F103" i="40" s="1"/>
  <c r="H103" i="40" s="1"/>
  <c r="I103" i="40" s="1"/>
  <c r="J103" i="40" s="1"/>
  <c r="E107" i="40"/>
  <c r="F107" i="40" s="1"/>
  <c r="H107" i="40" s="1"/>
  <c r="I107" i="40" s="1"/>
  <c r="J107" i="40" s="1"/>
  <c r="E101" i="40"/>
  <c r="F101" i="40" s="1"/>
  <c r="H101" i="40" s="1"/>
  <c r="I101" i="40" s="1"/>
  <c r="J101" i="40" s="1"/>
  <c r="E109" i="40"/>
  <c r="F109" i="40" s="1"/>
  <c r="H109" i="40" s="1"/>
  <c r="I109" i="40" s="1"/>
  <c r="J109" i="40" s="1"/>
  <c r="E100" i="40"/>
  <c r="F100" i="40" s="1"/>
  <c r="H100" i="40" s="1"/>
  <c r="I100" i="40" s="1"/>
  <c r="J100" i="40" s="1"/>
  <c r="E104" i="40"/>
  <c r="F104" i="40" s="1"/>
  <c r="H104" i="40" s="1"/>
  <c r="I104" i="40" s="1"/>
  <c r="J104" i="40" s="1"/>
  <c r="E108" i="40"/>
  <c r="F108" i="40" s="1"/>
  <c r="H108" i="40" s="1"/>
  <c r="I108" i="40" s="1"/>
  <c r="J108" i="40" s="1"/>
  <c r="E105" i="40"/>
  <c r="F105" i="40" s="1"/>
  <c r="H105" i="40" s="1"/>
  <c r="I105" i="40" s="1"/>
  <c r="J105" i="40" s="1"/>
  <c r="E98" i="40"/>
  <c r="F98" i="40" s="1"/>
  <c r="H98" i="40" s="1"/>
  <c r="I98" i="40" s="1"/>
  <c r="J98" i="40" s="1"/>
  <c r="E102" i="40"/>
  <c r="F102" i="40" s="1"/>
  <c r="H102" i="40" s="1"/>
  <c r="I102" i="40" s="1"/>
  <c r="J102" i="40" s="1"/>
  <c r="E106" i="40"/>
  <c r="F106" i="40" s="1"/>
  <c r="H106" i="40" s="1"/>
  <c r="I106" i="40" s="1"/>
  <c r="J106" i="40" s="1"/>
  <c r="E171" i="40"/>
  <c r="F171" i="40" s="1"/>
  <c r="H171" i="40" s="1"/>
  <c r="I171" i="40" s="1"/>
  <c r="J171" i="40" s="1"/>
  <c r="E175" i="40"/>
  <c r="F175" i="40" s="1"/>
  <c r="H175" i="40" s="1"/>
  <c r="I175" i="40" s="1"/>
  <c r="J175" i="40" s="1"/>
  <c r="E179" i="40"/>
  <c r="F179" i="40" s="1"/>
  <c r="H179" i="40" s="1"/>
  <c r="I179" i="40" s="1"/>
  <c r="J179" i="40" s="1"/>
  <c r="E177" i="40"/>
  <c r="F177" i="40" s="1"/>
  <c r="H177" i="40" s="1"/>
  <c r="I177" i="40" s="1"/>
  <c r="J177" i="40" s="1"/>
  <c r="E181" i="40"/>
  <c r="F181" i="40" s="1"/>
  <c r="H181" i="40" s="1"/>
  <c r="I181" i="40" s="1"/>
  <c r="J181" i="40" s="1"/>
  <c r="E172" i="40"/>
  <c r="F172" i="40" s="1"/>
  <c r="H172" i="40" s="1"/>
  <c r="I172" i="40" s="1"/>
  <c r="J172" i="40" s="1"/>
  <c r="E176" i="40"/>
  <c r="F176" i="40" s="1"/>
  <c r="H176" i="40" s="1"/>
  <c r="I176" i="40" s="1"/>
  <c r="J176" i="40" s="1"/>
  <c r="E180" i="40"/>
  <c r="F180" i="40" s="1"/>
  <c r="H180" i="40" s="1"/>
  <c r="I180" i="40" s="1"/>
  <c r="J180" i="40" s="1"/>
  <c r="E173" i="40"/>
  <c r="F173" i="40" s="1"/>
  <c r="H173" i="40" s="1"/>
  <c r="I173" i="40" s="1"/>
  <c r="J173" i="40" s="1"/>
  <c r="E174" i="40"/>
  <c r="F174" i="40" s="1"/>
  <c r="H174" i="40" s="1"/>
  <c r="I174" i="40" s="1"/>
  <c r="J174" i="40" s="1"/>
  <c r="E170" i="40"/>
  <c r="F170" i="40" s="1"/>
  <c r="H170" i="40" s="1"/>
  <c r="I170" i="40" s="1"/>
  <c r="J170" i="40" s="1"/>
  <c r="E178" i="40"/>
  <c r="F178" i="40" s="1"/>
  <c r="H178" i="40" s="1"/>
  <c r="I178" i="40" s="1"/>
  <c r="J178" i="40" s="1"/>
  <c r="E175" i="39"/>
  <c r="F175" i="39" s="1"/>
  <c r="H175" i="39" s="1"/>
  <c r="I175" i="39" s="1"/>
  <c r="J175" i="39" s="1"/>
  <c r="E172" i="39"/>
  <c r="F172" i="39" s="1"/>
  <c r="H172" i="39" s="1"/>
  <c r="I172" i="39" s="1"/>
  <c r="J172" i="39" s="1"/>
  <c r="E170" i="39"/>
  <c r="F170" i="39" s="1"/>
  <c r="H170" i="39" s="1"/>
  <c r="I170" i="39" s="1"/>
  <c r="J170" i="39" s="1"/>
  <c r="E131" i="39"/>
  <c r="F131" i="39" s="1"/>
  <c r="H131" i="39" s="1"/>
  <c r="I131" i="39" s="1"/>
  <c r="J131" i="39" s="1"/>
  <c r="E130" i="39"/>
  <c r="F130" i="39" s="1"/>
  <c r="H130" i="39" s="1"/>
  <c r="I130" i="39" s="1"/>
  <c r="J130" i="39" s="1"/>
  <c r="E87" i="40"/>
  <c r="F87" i="40" s="1"/>
  <c r="H87" i="40" s="1"/>
  <c r="I87" i="40" s="1"/>
  <c r="J87" i="40" s="1"/>
  <c r="E91" i="40"/>
  <c r="F91" i="40" s="1"/>
  <c r="H91" i="40" s="1"/>
  <c r="I91" i="40" s="1"/>
  <c r="J91" i="40" s="1"/>
  <c r="E95" i="40"/>
  <c r="F95" i="40" s="1"/>
  <c r="H95" i="40" s="1"/>
  <c r="I95" i="40" s="1"/>
  <c r="J95" i="40" s="1"/>
  <c r="E89" i="40"/>
  <c r="F89" i="40" s="1"/>
  <c r="H89" i="40" s="1"/>
  <c r="I89" i="40" s="1"/>
  <c r="J89" i="40" s="1"/>
  <c r="E97" i="40"/>
  <c r="F97" i="40" s="1"/>
  <c r="H97" i="40" s="1"/>
  <c r="I97" i="40" s="1"/>
  <c r="J97" i="40" s="1"/>
  <c r="E88" i="40"/>
  <c r="F88" i="40" s="1"/>
  <c r="H88" i="40" s="1"/>
  <c r="I88" i="40" s="1"/>
  <c r="J88" i="40" s="1"/>
  <c r="E92" i="40"/>
  <c r="F92" i="40" s="1"/>
  <c r="H92" i="40" s="1"/>
  <c r="I92" i="40" s="1"/>
  <c r="J92" i="40" s="1"/>
  <c r="E96" i="40"/>
  <c r="F96" i="40" s="1"/>
  <c r="H96" i="40" s="1"/>
  <c r="I96" i="40" s="1"/>
  <c r="J96" i="40" s="1"/>
  <c r="E93" i="40"/>
  <c r="F93" i="40" s="1"/>
  <c r="H93" i="40" s="1"/>
  <c r="I93" i="40" s="1"/>
  <c r="J93" i="40" s="1"/>
  <c r="E94" i="40"/>
  <c r="F94" i="40" s="1"/>
  <c r="H94" i="40" s="1"/>
  <c r="I94" i="40" s="1"/>
  <c r="J94" i="40" s="1"/>
  <c r="E86" i="40"/>
  <c r="F86" i="40" s="1"/>
  <c r="H86" i="40" s="1"/>
  <c r="I86" i="40" s="1"/>
  <c r="J86" i="40" s="1"/>
  <c r="E90" i="40"/>
  <c r="F90" i="40" s="1"/>
  <c r="H90" i="40" s="1"/>
  <c r="I90" i="40" s="1"/>
  <c r="J90" i="40" s="1"/>
  <c r="E135" i="40"/>
  <c r="F135" i="40" s="1"/>
  <c r="H135" i="40" s="1"/>
  <c r="I135" i="40" s="1"/>
  <c r="J135" i="40" s="1"/>
  <c r="E139" i="40"/>
  <c r="F139" i="40" s="1"/>
  <c r="H139" i="40" s="1"/>
  <c r="I139" i="40" s="1"/>
  <c r="J139" i="40" s="1"/>
  <c r="E143" i="40"/>
  <c r="F143" i="40" s="1"/>
  <c r="H143" i="40" s="1"/>
  <c r="I143" i="40" s="1"/>
  <c r="J143" i="40" s="1"/>
  <c r="E141" i="40"/>
  <c r="F141" i="40" s="1"/>
  <c r="H141" i="40" s="1"/>
  <c r="I141" i="40" s="1"/>
  <c r="J141" i="40" s="1"/>
  <c r="E136" i="40"/>
  <c r="F136" i="40" s="1"/>
  <c r="H136" i="40" s="1"/>
  <c r="I136" i="40" s="1"/>
  <c r="J136" i="40" s="1"/>
  <c r="E140" i="40"/>
  <c r="F140" i="40" s="1"/>
  <c r="H140" i="40" s="1"/>
  <c r="I140" i="40" s="1"/>
  <c r="J140" i="40" s="1"/>
  <c r="E144" i="40"/>
  <c r="F144" i="40" s="1"/>
  <c r="H144" i="40" s="1"/>
  <c r="I144" i="40" s="1"/>
  <c r="J144" i="40" s="1"/>
  <c r="E137" i="40"/>
  <c r="F137" i="40" s="1"/>
  <c r="H137" i="40" s="1"/>
  <c r="I137" i="40" s="1"/>
  <c r="J137" i="40" s="1"/>
  <c r="E145" i="40"/>
  <c r="F145" i="40" s="1"/>
  <c r="H145" i="40" s="1"/>
  <c r="I145" i="40" s="1"/>
  <c r="J145" i="40" s="1"/>
  <c r="E134" i="40"/>
  <c r="F134" i="40" s="1"/>
  <c r="H134" i="40" s="1"/>
  <c r="I134" i="40" s="1"/>
  <c r="J134" i="40" s="1"/>
  <c r="E138" i="40"/>
  <c r="F138" i="40" s="1"/>
  <c r="H138" i="40" s="1"/>
  <c r="I138" i="40" s="1"/>
  <c r="J138" i="40" s="1"/>
  <c r="E142" i="40"/>
  <c r="F142" i="40" s="1"/>
  <c r="H142" i="40" s="1"/>
  <c r="I142" i="40" s="1"/>
  <c r="J142" i="40" s="1"/>
  <c r="E111" i="40"/>
  <c r="F111" i="40" s="1"/>
  <c r="H111" i="40" s="1"/>
  <c r="I111" i="40" s="1"/>
  <c r="J111" i="40" s="1"/>
  <c r="E115" i="40"/>
  <c r="F115" i="40" s="1"/>
  <c r="H115" i="40" s="1"/>
  <c r="I115" i="40" s="1"/>
  <c r="J115" i="40" s="1"/>
  <c r="E119" i="40"/>
  <c r="F119" i="40" s="1"/>
  <c r="H119" i="40" s="1"/>
  <c r="I119" i="40" s="1"/>
  <c r="J119" i="40" s="1"/>
  <c r="E117" i="40"/>
  <c r="F117" i="40" s="1"/>
  <c r="H117" i="40" s="1"/>
  <c r="I117" i="40" s="1"/>
  <c r="J117" i="40" s="1"/>
  <c r="E112" i="40"/>
  <c r="F112" i="40" s="1"/>
  <c r="H112" i="40" s="1"/>
  <c r="I112" i="40" s="1"/>
  <c r="J112" i="40" s="1"/>
  <c r="E116" i="40"/>
  <c r="F116" i="40" s="1"/>
  <c r="H116" i="40" s="1"/>
  <c r="I116" i="40" s="1"/>
  <c r="J116" i="40" s="1"/>
  <c r="E120" i="40"/>
  <c r="F120" i="40" s="1"/>
  <c r="H120" i="40" s="1"/>
  <c r="I120" i="40" s="1"/>
  <c r="J120" i="40" s="1"/>
  <c r="E113" i="40"/>
  <c r="F113" i="40" s="1"/>
  <c r="H113" i="40" s="1"/>
  <c r="I113" i="40" s="1"/>
  <c r="J113" i="40" s="1"/>
  <c r="E121" i="40"/>
  <c r="F121" i="40" s="1"/>
  <c r="H121" i="40" s="1"/>
  <c r="I121" i="40" s="1"/>
  <c r="J121" i="40" s="1"/>
  <c r="E118" i="40"/>
  <c r="F118" i="40" s="1"/>
  <c r="H118" i="40" s="1"/>
  <c r="I118" i="40" s="1"/>
  <c r="J118" i="40" s="1"/>
  <c r="E110" i="40"/>
  <c r="F110" i="40" s="1"/>
  <c r="H110" i="40" s="1"/>
  <c r="I110" i="40" s="1"/>
  <c r="J110" i="40" s="1"/>
  <c r="E114" i="40"/>
  <c r="F114" i="40" s="1"/>
  <c r="H114" i="40" s="1"/>
  <c r="I114" i="40" s="1"/>
  <c r="J114" i="40" s="1"/>
  <c r="E115" i="39"/>
  <c r="F115" i="39" s="1"/>
  <c r="H115" i="39" s="1"/>
  <c r="I115" i="39" s="1"/>
  <c r="J115" i="39" s="1"/>
  <c r="E112" i="39"/>
  <c r="F112" i="39" s="1"/>
  <c r="H112" i="39" s="1"/>
  <c r="I112" i="39" s="1"/>
  <c r="J112" i="39" s="1"/>
  <c r="E114" i="39"/>
  <c r="F114" i="39" s="1"/>
  <c r="H114" i="39" s="1"/>
  <c r="I114" i="39" s="1"/>
  <c r="J114" i="39" s="1"/>
  <c r="E147" i="40"/>
  <c r="F147" i="40" s="1"/>
  <c r="H147" i="40" s="1"/>
  <c r="I147" i="40" s="1"/>
  <c r="J147" i="40" s="1"/>
  <c r="E151" i="40"/>
  <c r="F151" i="40" s="1"/>
  <c r="H151" i="40" s="1"/>
  <c r="I151" i="40" s="1"/>
  <c r="J151" i="40" s="1"/>
  <c r="E155" i="40"/>
  <c r="F155" i="40" s="1"/>
  <c r="H155" i="40" s="1"/>
  <c r="I155" i="40" s="1"/>
  <c r="J155" i="40" s="1"/>
  <c r="E149" i="40"/>
  <c r="F149" i="40" s="1"/>
  <c r="H149" i="40" s="1"/>
  <c r="I149" i="40" s="1"/>
  <c r="J149" i="40" s="1"/>
  <c r="E157" i="40"/>
  <c r="F157" i="40" s="1"/>
  <c r="H157" i="40" s="1"/>
  <c r="I157" i="40" s="1"/>
  <c r="J157" i="40" s="1"/>
  <c r="E148" i="40"/>
  <c r="F148" i="40" s="1"/>
  <c r="H148" i="40" s="1"/>
  <c r="I148" i="40" s="1"/>
  <c r="J148" i="40" s="1"/>
  <c r="E152" i="40"/>
  <c r="F152" i="40" s="1"/>
  <c r="H152" i="40" s="1"/>
  <c r="I152" i="40" s="1"/>
  <c r="J152" i="40" s="1"/>
  <c r="E156" i="40"/>
  <c r="F156" i="40" s="1"/>
  <c r="H156" i="40" s="1"/>
  <c r="I156" i="40" s="1"/>
  <c r="J156" i="40" s="1"/>
  <c r="E153" i="40"/>
  <c r="F153" i="40" s="1"/>
  <c r="H153" i="40" s="1"/>
  <c r="I153" i="40" s="1"/>
  <c r="J153" i="40" s="1"/>
  <c r="E146" i="40"/>
  <c r="F146" i="40" s="1"/>
  <c r="H146" i="40" s="1"/>
  <c r="I146" i="40" s="1"/>
  <c r="J146" i="40" s="1"/>
  <c r="E150" i="40"/>
  <c r="F150" i="40" s="1"/>
  <c r="H150" i="40" s="1"/>
  <c r="I150" i="40" s="1"/>
  <c r="J150" i="40" s="1"/>
  <c r="E154" i="40"/>
  <c r="F154" i="40" s="1"/>
  <c r="H154" i="40" s="1"/>
  <c r="I154" i="40" s="1"/>
  <c r="J154" i="40" s="1"/>
  <c r="E159" i="40"/>
  <c r="F159" i="40" s="1"/>
  <c r="H159" i="40" s="1"/>
  <c r="I159" i="40" s="1"/>
  <c r="J159" i="40" s="1"/>
  <c r="E163" i="40"/>
  <c r="F163" i="40" s="1"/>
  <c r="H163" i="40" s="1"/>
  <c r="I163" i="40" s="1"/>
  <c r="J163" i="40" s="1"/>
  <c r="E167" i="40"/>
  <c r="F167" i="40" s="1"/>
  <c r="H167" i="40" s="1"/>
  <c r="I167" i="40" s="1"/>
  <c r="J167" i="40" s="1"/>
  <c r="E165" i="40"/>
  <c r="F165" i="40" s="1"/>
  <c r="H165" i="40" s="1"/>
  <c r="I165" i="40" s="1"/>
  <c r="J165" i="40" s="1"/>
  <c r="E160" i="40"/>
  <c r="F160" i="40" s="1"/>
  <c r="H160" i="40" s="1"/>
  <c r="I160" i="40" s="1"/>
  <c r="J160" i="40" s="1"/>
  <c r="E164" i="40"/>
  <c r="F164" i="40" s="1"/>
  <c r="H164" i="40" s="1"/>
  <c r="I164" i="40" s="1"/>
  <c r="J164" i="40" s="1"/>
  <c r="E168" i="40"/>
  <c r="F168" i="40" s="1"/>
  <c r="H168" i="40" s="1"/>
  <c r="I168" i="40" s="1"/>
  <c r="J168" i="40" s="1"/>
  <c r="E161" i="40"/>
  <c r="F161" i="40" s="1"/>
  <c r="H161" i="40" s="1"/>
  <c r="I161" i="40" s="1"/>
  <c r="J161" i="40" s="1"/>
  <c r="E169" i="40"/>
  <c r="F169" i="40" s="1"/>
  <c r="H169" i="40" s="1"/>
  <c r="I169" i="40" s="1"/>
  <c r="J169" i="40" s="1"/>
  <c r="E166" i="40"/>
  <c r="F166" i="40" s="1"/>
  <c r="H166" i="40" s="1"/>
  <c r="I166" i="40" s="1"/>
  <c r="J166" i="40" s="1"/>
  <c r="E162" i="40"/>
  <c r="F162" i="40" s="1"/>
  <c r="H162" i="40" s="1"/>
  <c r="I162" i="40" s="1"/>
  <c r="J162" i="40" s="1"/>
  <c r="E158" i="40"/>
  <c r="F158" i="40" s="1"/>
  <c r="H158" i="40" s="1"/>
  <c r="I158" i="40" s="1"/>
  <c r="J158" i="40" s="1"/>
  <c r="E75" i="40"/>
  <c r="F75" i="40" s="1"/>
  <c r="H75" i="40" s="1"/>
  <c r="I75" i="40" s="1"/>
  <c r="J75" i="40" s="1"/>
  <c r="E79" i="40"/>
  <c r="F79" i="40" s="1"/>
  <c r="H79" i="40" s="1"/>
  <c r="I79" i="40" s="1"/>
  <c r="J79" i="40" s="1"/>
  <c r="E83" i="40"/>
  <c r="F83" i="40" s="1"/>
  <c r="H83" i="40" s="1"/>
  <c r="I83" i="40" s="1"/>
  <c r="J83" i="40" s="1"/>
  <c r="E77" i="40"/>
  <c r="F77" i="40" s="1"/>
  <c r="H77" i="40" s="1"/>
  <c r="I77" i="40" s="1"/>
  <c r="J77" i="40" s="1"/>
  <c r="E85" i="40"/>
  <c r="F85" i="40" s="1"/>
  <c r="H85" i="40" s="1"/>
  <c r="I85" i="40" s="1"/>
  <c r="J85" i="40" s="1"/>
  <c r="E76" i="40"/>
  <c r="F76" i="40" s="1"/>
  <c r="H76" i="40" s="1"/>
  <c r="I76" i="40" s="1"/>
  <c r="J76" i="40" s="1"/>
  <c r="E80" i="40"/>
  <c r="F80" i="40" s="1"/>
  <c r="H80" i="40" s="1"/>
  <c r="I80" i="40" s="1"/>
  <c r="J80" i="40" s="1"/>
  <c r="E84" i="40"/>
  <c r="F84" i="40" s="1"/>
  <c r="H84" i="40" s="1"/>
  <c r="I84" i="40" s="1"/>
  <c r="J84" i="40" s="1"/>
  <c r="E81" i="40"/>
  <c r="F81" i="40" s="1"/>
  <c r="H81" i="40" s="1"/>
  <c r="I81" i="40" s="1"/>
  <c r="J81" i="40" s="1"/>
  <c r="E78" i="40"/>
  <c r="F78" i="40" s="1"/>
  <c r="H78" i="40" s="1"/>
  <c r="I78" i="40" s="1"/>
  <c r="J78" i="40" s="1"/>
  <c r="E82" i="40"/>
  <c r="F82" i="40" s="1"/>
  <c r="H82" i="40" s="1"/>
  <c r="I82" i="40" s="1"/>
  <c r="J82" i="40" s="1"/>
  <c r="E74" i="40"/>
  <c r="F74" i="40" s="1"/>
  <c r="H74" i="40" s="1"/>
  <c r="I74" i="40" s="1"/>
  <c r="J74" i="40" s="1"/>
  <c r="E160" i="39"/>
  <c r="F160" i="39" s="1"/>
  <c r="H160" i="39" s="1"/>
  <c r="I160" i="39" s="1"/>
  <c r="J160" i="39" s="1"/>
  <c r="E162" i="39"/>
  <c r="F162" i="39" s="1"/>
  <c r="H162" i="39" s="1"/>
  <c r="I162" i="39" s="1"/>
  <c r="J162" i="39" s="1"/>
  <c r="E144" i="39"/>
  <c r="F144" i="39" s="1"/>
  <c r="H144" i="39" s="1"/>
  <c r="I144" i="39" s="1"/>
  <c r="J144" i="39" s="1"/>
  <c r="Q9" i="24"/>
  <c r="Q10" i="24" s="1"/>
  <c r="C10" i="24" s="1"/>
  <c r="D10" i="24" s="1"/>
  <c r="D30" i="20"/>
  <c r="E105" i="39" l="1"/>
  <c r="F105" i="39" s="1"/>
  <c r="H105" i="39" s="1"/>
  <c r="I105" i="39" s="1"/>
  <c r="J105" i="39" s="1"/>
  <c r="E92" i="39"/>
  <c r="F92" i="39" s="1"/>
  <c r="H92" i="39" s="1"/>
  <c r="I92" i="39" s="1"/>
  <c r="J92" i="39" s="1"/>
  <c r="E100" i="39"/>
  <c r="F100" i="39" s="1"/>
  <c r="H100" i="39" s="1"/>
  <c r="I100" i="39" s="1"/>
  <c r="J100" i="39" s="1"/>
  <c r="E103" i="39"/>
  <c r="F103" i="39" s="1"/>
  <c r="H103" i="39" s="1"/>
  <c r="I103" i="39" s="1"/>
  <c r="J103" i="39" s="1"/>
  <c r="E109" i="39"/>
  <c r="F109" i="39" s="1"/>
  <c r="H109" i="39" s="1"/>
  <c r="I109" i="39" s="1"/>
  <c r="J109" i="39" s="1"/>
  <c r="E147" i="39"/>
  <c r="F147" i="39" s="1"/>
  <c r="H147" i="39" s="1"/>
  <c r="I147" i="39" s="1"/>
  <c r="J147" i="39" s="1"/>
  <c r="D29" i="20"/>
  <c r="E169" i="39"/>
  <c r="F169" i="39" s="1"/>
  <c r="H169" i="39" s="1"/>
  <c r="I169" i="39" s="1"/>
  <c r="J169" i="39" s="1"/>
  <c r="E167" i="39"/>
  <c r="F167" i="39" s="1"/>
  <c r="H167" i="39" s="1"/>
  <c r="I167" i="39" s="1"/>
  <c r="J167" i="39" s="1"/>
  <c r="E123" i="39"/>
  <c r="F123" i="39" s="1"/>
  <c r="H123" i="39" s="1"/>
  <c r="I123" i="39" s="1"/>
  <c r="J123" i="39" s="1"/>
  <c r="E181" i="39"/>
  <c r="F181" i="39" s="1"/>
  <c r="H181" i="39" s="1"/>
  <c r="I181" i="39" s="1"/>
  <c r="J181" i="39" s="1"/>
  <c r="E70" i="39"/>
  <c r="F70" i="39" s="1"/>
  <c r="H70" i="39" s="1"/>
  <c r="I70" i="39" s="1"/>
  <c r="J70" i="39" s="1"/>
  <c r="E102" i="39"/>
  <c r="F102" i="39" s="1"/>
  <c r="H102" i="39" s="1"/>
  <c r="I102" i="39" s="1"/>
  <c r="J102" i="39" s="1"/>
  <c r="E168" i="39"/>
  <c r="F168" i="39" s="1"/>
  <c r="H168" i="39" s="1"/>
  <c r="I168" i="39" s="1"/>
  <c r="J168" i="39" s="1"/>
  <c r="E163" i="39"/>
  <c r="F163" i="39" s="1"/>
  <c r="H163" i="39" s="1"/>
  <c r="I163" i="39" s="1"/>
  <c r="J163" i="39" s="1"/>
  <c r="E132" i="39"/>
  <c r="F132" i="39" s="1"/>
  <c r="H132" i="39" s="1"/>
  <c r="I132" i="39" s="1"/>
  <c r="J132" i="39" s="1"/>
  <c r="E178" i="39"/>
  <c r="F178" i="39" s="1"/>
  <c r="H178" i="39" s="1"/>
  <c r="I178" i="39" s="1"/>
  <c r="J178" i="39" s="1"/>
  <c r="E180" i="39"/>
  <c r="F180" i="39" s="1"/>
  <c r="H180" i="39" s="1"/>
  <c r="I180" i="39" s="1"/>
  <c r="J180" i="39" s="1"/>
  <c r="E173" i="39"/>
  <c r="F173" i="39" s="1"/>
  <c r="H173" i="39" s="1"/>
  <c r="I173" i="39" s="1"/>
  <c r="J173" i="39" s="1"/>
  <c r="E153" i="39"/>
  <c r="F153" i="39" s="1"/>
  <c r="H153" i="39" s="1"/>
  <c r="I153" i="39" s="1"/>
  <c r="J153" i="39" s="1"/>
  <c r="E68" i="39"/>
  <c r="F68" i="39" s="1"/>
  <c r="H68" i="39" s="1"/>
  <c r="I68" i="39" s="1"/>
  <c r="J68" i="39" s="1"/>
  <c r="E133" i="39"/>
  <c r="F133" i="39" s="1"/>
  <c r="H133" i="39" s="1"/>
  <c r="I133" i="39" s="1"/>
  <c r="J133" i="39" s="1"/>
  <c r="E177" i="39"/>
  <c r="F177" i="39" s="1"/>
  <c r="H177" i="39" s="1"/>
  <c r="I177" i="39" s="1"/>
  <c r="J177" i="39" s="1"/>
  <c r="E171" i="39"/>
  <c r="F171" i="39" s="1"/>
  <c r="H171" i="39" s="1"/>
  <c r="I171" i="39" s="1"/>
  <c r="J171" i="39" s="1"/>
  <c r="E108" i="39"/>
  <c r="F108" i="39" s="1"/>
  <c r="H108" i="39" s="1"/>
  <c r="I108" i="39" s="1"/>
  <c r="J108" i="39" s="1"/>
  <c r="E166" i="39"/>
  <c r="F166" i="39" s="1"/>
  <c r="H166" i="39" s="1"/>
  <c r="I166" i="39" s="1"/>
  <c r="J166" i="39" s="1"/>
  <c r="E164" i="39"/>
  <c r="F164" i="39" s="1"/>
  <c r="H164" i="39" s="1"/>
  <c r="I164" i="39" s="1"/>
  <c r="J164" i="39" s="1"/>
  <c r="E159" i="39"/>
  <c r="F159" i="39" s="1"/>
  <c r="H159" i="39" s="1"/>
  <c r="I159" i="39" s="1"/>
  <c r="J159" i="39" s="1"/>
  <c r="E124" i="39"/>
  <c r="F124" i="39" s="1"/>
  <c r="H124" i="39" s="1"/>
  <c r="I124" i="39" s="1"/>
  <c r="J124" i="39" s="1"/>
  <c r="E174" i="39"/>
  <c r="F174" i="39" s="1"/>
  <c r="H174" i="39" s="1"/>
  <c r="I174" i="39" s="1"/>
  <c r="J174" i="39" s="1"/>
  <c r="E176" i="39"/>
  <c r="F176" i="39" s="1"/>
  <c r="H176" i="39" s="1"/>
  <c r="I176" i="39" s="1"/>
  <c r="J176" i="39" s="1"/>
  <c r="E157" i="39"/>
  <c r="F157" i="39" s="1"/>
  <c r="H157" i="39" s="1"/>
  <c r="I157" i="39" s="1"/>
  <c r="J157" i="39" s="1"/>
  <c r="E66" i="39"/>
  <c r="F66" i="39" s="1"/>
  <c r="H66" i="39" s="1"/>
  <c r="I66" i="39" s="1"/>
  <c r="J66" i="39" s="1"/>
  <c r="E71" i="39"/>
  <c r="F71" i="39" s="1"/>
  <c r="H71" i="39" s="1"/>
  <c r="I71" i="39" s="1"/>
  <c r="J71" i="39" s="1"/>
  <c r="E117" i="39"/>
  <c r="F117" i="39" s="1"/>
  <c r="H117" i="39" s="1"/>
  <c r="I117" i="39" s="1"/>
  <c r="J117" i="39" s="1"/>
  <c r="E121" i="39"/>
  <c r="F121" i="39" s="1"/>
  <c r="H121" i="39" s="1"/>
  <c r="I121" i="39" s="1"/>
  <c r="J121" i="39" s="1"/>
  <c r="E111" i="39"/>
  <c r="F111" i="39" s="1"/>
  <c r="H111" i="39" s="1"/>
  <c r="I111" i="39" s="1"/>
  <c r="J111" i="39" s="1"/>
  <c r="E81" i="39"/>
  <c r="F81" i="39" s="1"/>
  <c r="H81" i="39" s="1"/>
  <c r="I81" i="39" s="1"/>
  <c r="J81" i="39" s="1"/>
  <c r="E83" i="39"/>
  <c r="F83" i="39" s="1"/>
  <c r="H83" i="39" s="1"/>
  <c r="I83" i="39" s="1"/>
  <c r="J83" i="39" s="1"/>
  <c r="E110" i="39"/>
  <c r="F110" i="39" s="1"/>
  <c r="H110" i="39" s="1"/>
  <c r="I110" i="39" s="1"/>
  <c r="J110" i="39" s="1"/>
  <c r="E120" i="39"/>
  <c r="F120" i="39" s="1"/>
  <c r="H120" i="39" s="1"/>
  <c r="I120" i="39" s="1"/>
  <c r="J120" i="39" s="1"/>
  <c r="E113" i="39"/>
  <c r="F113" i="39" s="1"/>
  <c r="H113" i="39" s="1"/>
  <c r="I113" i="39" s="1"/>
  <c r="J113" i="39" s="1"/>
  <c r="E78" i="39"/>
  <c r="F78" i="39" s="1"/>
  <c r="H78" i="39" s="1"/>
  <c r="I78" i="39" s="1"/>
  <c r="J78" i="39" s="1"/>
  <c r="E79" i="39"/>
  <c r="F79" i="39" s="1"/>
  <c r="H79" i="39" s="1"/>
  <c r="I79" i="39" s="1"/>
  <c r="J79" i="39" s="1"/>
  <c r="E118" i="39"/>
  <c r="F118" i="39" s="1"/>
  <c r="H118" i="39" s="1"/>
  <c r="I118" i="39" s="1"/>
  <c r="J118" i="39" s="1"/>
  <c r="E116" i="39"/>
  <c r="F116" i="39" s="1"/>
  <c r="H116" i="39" s="1"/>
  <c r="I116" i="39" s="1"/>
  <c r="J116" i="39" s="1"/>
  <c r="E82" i="39"/>
  <c r="F82" i="39" s="1"/>
  <c r="H82" i="39" s="1"/>
  <c r="I82" i="39" s="1"/>
  <c r="J82" i="39" s="1"/>
  <c r="E84" i="39"/>
  <c r="F84" i="39" s="1"/>
  <c r="H84" i="39" s="1"/>
  <c r="I84" i="39" s="1"/>
  <c r="J84" i="39" s="1"/>
  <c r="E75" i="39"/>
  <c r="F75" i="39" s="1"/>
  <c r="H75" i="39" s="1"/>
  <c r="I75" i="39" s="1"/>
  <c r="J75" i="39" s="1"/>
  <c r="E136" i="39"/>
  <c r="F136" i="39" s="1"/>
  <c r="H136" i="39" s="1"/>
  <c r="I136" i="39" s="1"/>
  <c r="J136" i="39" s="1"/>
  <c r="E89" i="39"/>
  <c r="F89" i="39" s="1"/>
  <c r="H89" i="39" s="1"/>
  <c r="I89" i="39" s="1"/>
  <c r="J89" i="39" s="1"/>
  <c r="E95" i="39"/>
  <c r="F95" i="39" s="1"/>
  <c r="H95" i="39" s="1"/>
  <c r="I95" i="39" s="1"/>
  <c r="J95" i="39" s="1"/>
  <c r="E86" i="39"/>
  <c r="F86" i="39" s="1"/>
  <c r="H86" i="39" s="1"/>
  <c r="I86" i="39" s="1"/>
  <c r="J86" i="39" s="1"/>
  <c r="E87" i="39"/>
  <c r="F87" i="39" s="1"/>
  <c r="H87" i="39" s="1"/>
  <c r="I87" i="39" s="1"/>
  <c r="J87" i="39" s="1"/>
  <c r="E134" i="39"/>
  <c r="F134" i="39" s="1"/>
  <c r="H134" i="39" s="1"/>
  <c r="I134" i="39" s="1"/>
  <c r="J134" i="39" s="1"/>
  <c r="E143" i="39"/>
  <c r="F143" i="39" s="1"/>
  <c r="H143" i="39" s="1"/>
  <c r="I143" i="39" s="1"/>
  <c r="J143" i="39" s="1"/>
  <c r="E145" i="39"/>
  <c r="F145" i="39" s="1"/>
  <c r="H145" i="39" s="1"/>
  <c r="I145" i="39" s="1"/>
  <c r="J145" i="39" s="1"/>
  <c r="E135" i="39"/>
  <c r="F135" i="39" s="1"/>
  <c r="H135" i="39" s="1"/>
  <c r="I135" i="39" s="1"/>
  <c r="J135" i="39" s="1"/>
  <c r="E94" i="39"/>
  <c r="F94" i="39" s="1"/>
  <c r="H94" i="39" s="1"/>
  <c r="I94" i="39" s="1"/>
  <c r="J94" i="39" s="1"/>
  <c r="E98" i="39"/>
  <c r="F98" i="39" s="1"/>
  <c r="H98" i="39" s="1"/>
  <c r="I98" i="39" s="1"/>
  <c r="J98" i="39" s="1"/>
  <c r="E104" i="39"/>
  <c r="F104" i="39" s="1"/>
  <c r="H104" i="39" s="1"/>
  <c r="I104" i="39" s="1"/>
  <c r="J104" i="39" s="1"/>
  <c r="E99" i="39"/>
  <c r="F99" i="39" s="1"/>
  <c r="H99" i="39" s="1"/>
  <c r="I99" i="39" s="1"/>
  <c r="J99" i="39" s="1"/>
  <c r="E146" i="39"/>
  <c r="F146" i="39" s="1"/>
  <c r="H146" i="39" s="1"/>
  <c r="I146" i="39" s="1"/>
  <c r="J146" i="39" s="1"/>
  <c r="E156" i="39"/>
  <c r="F156" i="39" s="1"/>
  <c r="H156" i="39" s="1"/>
  <c r="I156" i="39" s="1"/>
  <c r="J156" i="39" s="1"/>
  <c r="E149" i="39"/>
  <c r="F149" i="39" s="1"/>
  <c r="H149" i="39" s="1"/>
  <c r="I149" i="39" s="1"/>
  <c r="J149" i="39" s="1"/>
  <c r="J9" i="24"/>
  <c r="J10" i="24" s="1"/>
  <c r="C9" i="24" s="1"/>
  <c r="D9" i="24" s="1"/>
  <c r="C17" i="24" s="1"/>
  <c r="E29" i="24" s="1"/>
  <c r="E154" i="39"/>
  <c r="F154" i="39" s="1"/>
  <c r="H154" i="39" s="1"/>
  <c r="I154" i="39" s="1"/>
  <c r="J154" i="39" s="1"/>
  <c r="E152" i="39"/>
  <c r="F152" i="39" s="1"/>
  <c r="H152" i="39" s="1"/>
  <c r="I152" i="39" s="1"/>
  <c r="J152" i="39" s="1"/>
  <c r="E155" i="39"/>
  <c r="F155" i="39" s="1"/>
  <c r="H155" i="39" s="1"/>
  <c r="I155" i="39" s="1"/>
  <c r="J155" i="39" s="1"/>
  <c r="E106" i="39"/>
  <c r="F106" i="39" s="1"/>
  <c r="H106" i="39" s="1"/>
  <c r="I106" i="39" s="1"/>
  <c r="J106" i="39" s="1"/>
  <c r="E101" i="39"/>
  <c r="F101" i="39" s="1"/>
  <c r="H101" i="39" s="1"/>
  <c r="I101" i="39" s="1"/>
  <c r="J101" i="39" s="1"/>
  <c r="E150" i="39"/>
  <c r="F150" i="39" s="1"/>
  <c r="H150" i="39" s="1"/>
  <c r="I150" i="39" s="1"/>
  <c r="J150" i="39" s="1"/>
  <c r="E148" i="39"/>
  <c r="F148" i="39" s="1"/>
  <c r="H148" i="39" s="1"/>
  <c r="I148" i="39" s="1"/>
  <c r="J148" i="39" s="1"/>
  <c r="E138" i="39"/>
  <c r="F138" i="39" s="1"/>
  <c r="H138" i="39" s="1"/>
  <c r="I138" i="39" s="1"/>
  <c r="J138" i="39" s="1"/>
  <c r="E137" i="39"/>
  <c r="F137" i="39" s="1"/>
  <c r="H137" i="39" s="1"/>
  <c r="I137" i="39" s="1"/>
  <c r="J137" i="39" s="1"/>
  <c r="E141" i="39"/>
  <c r="F141" i="39" s="1"/>
  <c r="H141" i="39" s="1"/>
  <c r="I141" i="39" s="1"/>
  <c r="J141" i="39" s="1"/>
  <c r="E158" i="39"/>
  <c r="F158" i="39" s="1"/>
  <c r="H158" i="39" s="1"/>
  <c r="I158" i="39" s="1"/>
  <c r="J158" i="39" s="1"/>
  <c r="E161" i="39"/>
  <c r="F161" i="39" s="1"/>
  <c r="H161" i="39" s="1"/>
  <c r="I161" i="39" s="1"/>
  <c r="J161" i="39" s="1"/>
  <c r="E90" i="39"/>
  <c r="F90" i="39" s="1"/>
  <c r="H90" i="39" s="1"/>
  <c r="I90" i="39" s="1"/>
  <c r="J90" i="39" s="1"/>
  <c r="E97" i="39"/>
  <c r="F97" i="39" s="1"/>
  <c r="H97" i="39" s="1"/>
  <c r="I97" i="39" s="1"/>
  <c r="J97" i="39" s="1"/>
  <c r="E88" i="39"/>
  <c r="F88" i="39" s="1"/>
  <c r="H88" i="39" s="1"/>
  <c r="I88" i="39" s="1"/>
  <c r="J88" i="39" s="1"/>
  <c r="E126" i="39"/>
  <c r="F126" i="39" s="1"/>
  <c r="H126" i="39" s="1"/>
  <c r="I126" i="39" s="1"/>
  <c r="J126" i="39" s="1"/>
  <c r="E129" i="39"/>
  <c r="F129" i="39" s="1"/>
  <c r="H129" i="39" s="1"/>
  <c r="I129" i="39" s="1"/>
  <c r="J129" i="39" s="1"/>
  <c r="E125" i="39"/>
  <c r="F125" i="39" s="1"/>
  <c r="H125" i="39" s="1"/>
  <c r="I125" i="39" s="1"/>
  <c r="J125" i="39" s="1"/>
  <c r="E77" i="39"/>
  <c r="F77" i="39" s="1"/>
  <c r="H77" i="39" s="1"/>
  <c r="I77" i="39" s="1"/>
  <c r="J77" i="39" s="1"/>
  <c r="E74" i="39"/>
  <c r="F74" i="39" s="1"/>
  <c r="H74" i="39" s="1"/>
  <c r="I74" i="39" s="1"/>
  <c r="J74" i="39" s="1"/>
  <c r="E69" i="39"/>
  <c r="F69" i="39" s="1"/>
  <c r="H69" i="39" s="1"/>
  <c r="I69" i="39" s="1"/>
  <c r="J69" i="39" s="1"/>
  <c r="E65" i="39"/>
  <c r="F65" i="39" s="1"/>
  <c r="H65" i="39" s="1"/>
  <c r="I65" i="39" s="1"/>
  <c r="J65" i="39" s="1"/>
  <c r="E64" i="39"/>
  <c r="F64" i="39" s="1"/>
  <c r="H64" i="39" s="1"/>
  <c r="I64" i="39" s="1"/>
  <c r="J64" i="39" s="1"/>
  <c r="E142" i="39"/>
  <c r="F142" i="39" s="1"/>
  <c r="H142" i="39" s="1"/>
  <c r="I142" i="39" s="1"/>
  <c r="J142" i="39" s="1"/>
  <c r="E140" i="39"/>
  <c r="F140" i="39" s="1"/>
  <c r="H140" i="39" s="1"/>
  <c r="I140" i="39" s="1"/>
  <c r="J140" i="39" s="1"/>
  <c r="E93" i="39"/>
  <c r="F93" i="39" s="1"/>
  <c r="H93" i="39" s="1"/>
  <c r="I93" i="39" s="1"/>
  <c r="J93" i="39" s="1"/>
  <c r="E96" i="39"/>
  <c r="F96" i="39" s="1"/>
  <c r="H96" i="39" s="1"/>
  <c r="I96" i="39" s="1"/>
  <c r="J96" i="39" s="1"/>
  <c r="E122" i="39"/>
  <c r="F122" i="39" s="1"/>
  <c r="H122" i="39" s="1"/>
  <c r="I122" i="39" s="1"/>
  <c r="J122" i="39" s="1"/>
  <c r="E128" i="39"/>
  <c r="F128" i="39" s="1"/>
  <c r="H128" i="39" s="1"/>
  <c r="I128" i="39" s="1"/>
  <c r="J128" i="39" s="1"/>
  <c r="E73" i="39"/>
  <c r="F73" i="39" s="1"/>
  <c r="H73" i="39" s="1"/>
  <c r="I73" i="39" s="1"/>
  <c r="J73" i="39" s="1"/>
  <c r="E72" i="39"/>
  <c r="F72" i="39" s="1"/>
  <c r="H72" i="39" s="1"/>
  <c r="I72" i="39" s="1"/>
  <c r="J72" i="39" s="1"/>
  <c r="K73" i="41"/>
  <c r="L73" i="41" s="1"/>
  <c r="AB12" i="32"/>
  <c r="AC12" i="32"/>
  <c r="AD12" i="32"/>
  <c r="AE12" i="32"/>
  <c r="K63" i="40"/>
  <c r="R2" i="32"/>
  <c r="V2" i="32"/>
  <c r="Z2" i="32"/>
  <c r="S2" i="32"/>
  <c r="W2" i="32"/>
  <c r="AA2" i="32"/>
  <c r="T2" i="32"/>
  <c r="O2" i="32"/>
  <c r="U2" i="32"/>
  <c r="P2" i="32"/>
  <c r="X2" i="32"/>
  <c r="Y2" i="32"/>
  <c r="Q2" i="32"/>
  <c r="K63" i="39"/>
  <c r="L63" i="39" s="1"/>
  <c r="F2" i="32"/>
  <c r="J2" i="32"/>
  <c r="N2" i="32"/>
  <c r="H2" i="32"/>
  <c r="M2" i="32"/>
  <c r="C2" i="32"/>
  <c r="G2" i="32"/>
  <c r="K2" i="32"/>
  <c r="B2" i="32"/>
  <c r="D2" i="32"/>
  <c r="E2" i="32"/>
  <c r="L2" i="32"/>
  <c r="I2" i="32"/>
  <c r="L63" i="40"/>
  <c r="J29" i="20"/>
  <c r="I29" i="20"/>
  <c r="K29" i="20" s="1"/>
  <c r="J30" i="20"/>
  <c r="I30" i="20"/>
  <c r="K30" i="20" s="1"/>
  <c r="I17" i="24" l="1"/>
  <c r="E77" i="24" s="1"/>
  <c r="K77" i="24" s="1"/>
  <c r="F17" i="24"/>
  <c r="E53" i="24" s="1"/>
  <c r="J53" i="24" s="1"/>
  <c r="L53" i="24" s="1"/>
  <c r="D16" i="24"/>
  <c r="E36" i="24" s="1"/>
  <c r="K36" i="24" s="1"/>
  <c r="I18" i="24"/>
  <c r="E78" i="24" s="1"/>
  <c r="K78" i="24" s="1"/>
  <c r="F16" i="24"/>
  <c r="E52" i="24" s="1"/>
  <c r="K52" i="24" s="1"/>
  <c r="J17" i="24"/>
  <c r="E85" i="24" s="1"/>
  <c r="J85" i="24" s="1"/>
  <c r="L85" i="24" s="1"/>
  <c r="L18" i="24"/>
  <c r="E102" i="24" s="1"/>
  <c r="K102" i="24" s="1"/>
  <c r="E37" i="24"/>
  <c r="J37" i="24" s="1"/>
  <c r="L37" i="24" s="1"/>
  <c r="J18" i="24"/>
  <c r="E86" i="24" s="1"/>
  <c r="K86" i="24" s="1"/>
  <c r="J16" i="24"/>
  <c r="E84" i="24" s="1"/>
  <c r="K84" i="24" s="1"/>
  <c r="E16" i="24"/>
  <c r="E44" i="24" s="1"/>
  <c r="K44" i="24" s="1"/>
  <c r="E18" i="24"/>
  <c r="E46" i="24" s="1"/>
  <c r="K46" i="24" s="1"/>
  <c r="H18" i="24"/>
  <c r="E70" i="24" s="1"/>
  <c r="K70" i="24" s="1"/>
  <c r="C16" i="24"/>
  <c r="E28" i="24" s="1"/>
  <c r="J28" i="24" s="1"/>
  <c r="L28" i="24" s="1"/>
  <c r="E17" i="24"/>
  <c r="E45" i="24" s="1"/>
  <c r="J45" i="24" s="1"/>
  <c r="L45" i="24" s="1"/>
  <c r="L17" i="24"/>
  <c r="E101" i="24" s="1"/>
  <c r="K101" i="24" s="1"/>
  <c r="G18" i="24"/>
  <c r="E62" i="24" s="1"/>
  <c r="K62" i="24" s="1"/>
  <c r="F18" i="24"/>
  <c r="E54" i="24" s="1"/>
  <c r="K54" i="24" s="1"/>
  <c r="C18" i="24"/>
  <c r="E38" i="24" s="1"/>
  <c r="K17" i="24"/>
  <c r="E93" i="24" s="1"/>
  <c r="J93" i="24" s="1"/>
  <c r="L93" i="24" s="1"/>
  <c r="G17" i="24"/>
  <c r="E61" i="24" s="1"/>
  <c r="K61" i="24" s="1"/>
  <c r="H17" i="24"/>
  <c r="E69" i="24" s="1"/>
  <c r="K69" i="24" s="1"/>
  <c r="K16" i="24"/>
  <c r="E92" i="24" s="1"/>
  <c r="K92" i="24" s="1"/>
  <c r="L16" i="24"/>
  <c r="E100" i="24" s="1"/>
  <c r="K100" i="24" s="1"/>
  <c r="K18" i="24"/>
  <c r="E94" i="24" s="1"/>
  <c r="K94" i="24" s="1"/>
  <c r="D18" i="24"/>
  <c r="H16" i="24"/>
  <c r="E68" i="24" s="1"/>
  <c r="K68" i="24" s="1"/>
  <c r="I16" i="24"/>
  <c r="E76" i="24" s="1"/>
  <c r="K76" i="24" s="1"/>
  <c r="D17" i="24"/>
  <c r="G16" i="24"/>
  <c r="E60" i="24" s="1"/>
  <c r="J60" i="24" s="1"/>
  <c r="L60" i="24" s="1"/>
  <c r="K74" i="41"/>
  <c r="L74" i="41" s="1"/>
  <c r="AB13" i="32"/>
  <c r="AC13" i="32"/>
  <c r="AE13" i="32"/>
  <c r="AD13" i="32"/>
  <c r="K64" i="39"/>
  <c r="L64" i="39" s="1"/>
  <c r="C3" i="32"/>
  <c r="G3" i="32"/>
  <c r="K3" i="32"/>
  <c r="D3" i="32"/>
  <c r="H3" i="32"/>
  <c r="L3" i="32"/>
  <c r="I3" i="32"/>
  <c r="B3" i="32"/>
  <c r="J3" i="32"/>
  <c r="E3" i="32"/>
  <c r="M3" i="32"/>
  <c r="F3" i="32"/>
  <c r="N3" i="32"/>
  <c r="K64" i="40"/>
  <c r="L64" i="40" s="1"/>
  <c r="O3" i="32"/>
  <c r="S3" i="32"/>
  <c r="W3" i="32"/>
  <c r="AA3" i="32"/>
  <c r="P3" i="32"/>
  <c r="T3" i="32"/>
  <c r="X3" i="32"/>
  <c r="Q3" i="32"/>
  <c r="R3" i="32"/>
  <c r="Z3" i="32"/>
  <c r="U3" i="32"/>
  <c r="V3" i="32"/>
  <c r="Y3" i="32"/>
  <c r="L30" i="20"/>
  <c r="K34" i="20"/>
  <c r="J29" i="24"/>
  <c r="L29" i="24" s="1"/>
  <c r="K29" i="24"/>
  <c r="L29" i="20"/>
  <c r="J34" i="20"/>
  <c r="J77" i="24" l="1"/>
  <c r="L77" i="24" s="1"/>
  <c r="K93" i="24"/>
  <c r="K97" i="24" s="1"/>
  <c r="J46" i="24"/>
  <c r="L46" i="24" s="1"/>
  <c r="M46" i="24" s="1"/>
  <c r="J78" i="24"/>
  <c r="L78" i="24" s="1"/>
  <c r="J52" i="24"/>
  <c r="L52" i="24" s="1"/>
  <c r="M52" i="24" s="1"/>
  <c r="K28" i="24"/>
  <c r="M28" i="24" s="1"/>
  <c r="K85" i="24"/>
  <c r="K89" i="24" s="1"/>
  <c r="J36" i="24"/>
  <c r="L36" i="24" s="1"/>
  <c r="M36" i="24" s="1"/>
  <c r="J69" i="24"/>
  <c r="L69" i="24" s="1"/>
  <c r="M69" i="24" s="1"/>
  <c r="K53" i="24"/>
  <c r="K57" i="24" s="1"/>
  <c r="J70" i="24"/>
  <c r="L70" i="24" s="1"/>
  <c r="J62" i="24"/>
  <c r="L62" i="24" s="1"/>
  <c r="J61" i="24"/>
  <c r="L61" i="24" s="1"/>
  <c r="M61" i="24" s="1"/>
  <c r="J100" i="24"/>
  <c r="L100" i="24" s="1"/>
  <c r="M100" i="24" s="1"/>
  <c r="J101" i="24"/>
  <c r="L101" i="24" s="1"/>
  <c r="M101" i="24" s="1"/>
  <c r="J44" i="24"/>
  <c r="L44" i="24" s="1"/>
  <c r="M44" i="24" s="1"/>
  <c r="J54" i="24"/>
  <c r="L54" i="24" s="1"/>
  <c r="M54" i="24" s="1"/>
  <c r="J68" i="24"/>
  <c r="L68" i="24" s="1"/>
  <c r="M68" i="24" s="1"/>
  <c r="J102" i="24"/>
  <c r="L102" i="24" s="1"/>
  <c r="M102" i="24" s="1"/>
  <c r="J84" i="24"/>
  <c r="L84" i="24" s="1"/>
  <c r="M84" i="24" s="1"/>
  <c r="K60" i="24"/>
  <c r="M60" i="24" s="1"/>
  <c r="J76" i="24"/>
  <c r="L76" i="24" s="1"/>
  <c r="M76" i="24" s="1"/>
  <c r="J94" i="24"/>
  <c r="L94" i="24" s="1"/>
  <c r="M94" i="24" s="1"/>
  <c r="K37" i="24"/>
  <c r="M37" i="24" s="1"/>
  <c r="J86" i="24"/>
  <c r="L86" i="24" s="1"/>
  <c r="M86" i="24" s="1"/>
  <c r="E30" i="24"/>
  <c r="K30" i="24" s="1"/>
  <c r="K33" i="24" s="1"/>
  <c r="K45" i="24"/>
  <c r="K49" i="24" s="1"/>
  <c r="J92" i="24"/>
  <c r="L92" i="24" s="1"/>
  <c r="M92" i="24" s="1"/>
  <c r="K75" i="41"/>
  <c r="L75" i="41" s="1"/>
  <c r="AB14" i="32"/>
  <c r="AC14" i="32"/>
  <c r="AD14" i="32"/>
  <c r="AE14" i="32"/>
  <c r="K65" i="40"/>
  <c r="L65" i="40" s="1"/>
  <c r="R4" i="32"/>
  <c r="V4" i="32"/>
  <c r="Z4" i="32"/>
  <c r="O4" i="32"/>
  <c r="S4" i="32"/>
  <c r="W4" i="32"/>
  <c r="AA4" i="32"/>
  <c r="U4" i="32"/>
  <c r="P4" i="32"/>
  <c r="X4" i="32"/>
  <c r="Y4" i="32"/>
  <c r="Q4" i="32"/>
  <c r="T4" i="32"/>
  <c r="K65" i="39"/>
  <c r="L65" i="39" s="1"/>
  <c r="B4" i="32"/>
  <c r="F4" i="32"/>
  <c r="J4" i="32"/>
  <c r="N4" i="32"/>
  <c r="C4" i="32"/>
  <c r="G4" i="32"/>
  <c r="K4" i="32"/>
  <c r="D4" i="32"/>
  <c r="L4" i="32"/>
  <c r="E4" i="32"/>
  <c r="M4" i="32"/>
  <c r="H4" i="32"/>
  <c r="I4" i="32"/>
  <c r="L34" i="20"/>
  <c r="M34" i="20" s="1"/>
  <c r="M29" i="24"/>
  <c r="M78" i="24"/>
  <c r="K81" i="24"/>
  <c r="M93" i="24"/>
  <c r="K73" i="24"/>
  <c r="K105" i="24"/>
  <c r="M77" i="24"/>
  <c r="K38" i="24"/>
  <c r="J38" i="24"/>
  <c r="L38" i="24" s="1"/>
  <c r="M85" i="24" l="1"/>
  <c r="L57" i="24"/>
  <c r="F112" i="24" s="1"/>
  <c r="K65" i="24"/>
  <c r="G110" i="24" s="1"/>
  <c r="M13" i="28" s="1"/>
  <c r="M45" i="24"/>
  <c r="L65" i="24"/>
  <c r="G112" i="24" s="1"/>
  <c r="M53" i="24"/>
  <c r="L81" i="24"/>
  <c r="I112" i="24" s="1"/>
  <c r="L89" i="24"/>
  <c r="J112" i="24" s="1"/>
  <c r="J30" i="24"/>
  <c r="L30" i="24" s="1"/>
  <c r="L33" i="24" s="1"/>
  <c r="C112" i="24" s="1"/>
  <c r="L73" i="24"/>
  <c r="H112" i="24" s="1"/>
  <c r="M70" i="24"/>
  <c r="L105" i="24"/>
  <c r="L112" i="24" s="1"/>
  <c r="L49" i="24"/>
  <c r="E112" i="24" s="1"/>
  <c r="L41" i="24"/>
  <c r="D112" i="24" s="1"/>
  <c r="M62" i="24"/>
  <c r="K41" i="24"/>
  <c r="D110" i="24" s="1"/>
  <c r="J13" i="28" s="1"/>
  <c r="L97" i="24"/>
  <c r="K112" i="24" s="1"/>
  <c r="K76" i="41"/>
  <c r="L76" i="41" s="1"/>
  <c r="AB15" i="32"/>
  <c r="AC15" i="32"/>
  <c r="AE15" i="32"/>
  <c r="AD15" i="32"/>
  <c r="K66" i="39"/>
  <c r="L66" i="39" s="1"/>
  <c r="E5" i="32"/>
  <c r="I5" i="32"/>
  <c r="M5" i="32"/>
  <c r="B5" i="32"/>
  <c r="F5" i="32"/>
  <c r="J5" i="32"/>
  <c r="N5" i="32"/>
  <c r="G5" i="32"/>
  <c r="H5" i="32"/>
  <c r="C5" i="32"/>
  <c r="K5" i="32"/>
  <c r="D5" i="32"/>
  <c r="L5" i="32"/>
  <c r="K66" i="40"/>
  <c r="L66" i="40" s="1"/>
  <c r="Q5" i="32"/>
  <c r="U5" i="32"/>
  <c r="Y5" i="32"/>
  <c r="R5" i="32"/>
  <c r="V5" i="32"/>
  <c r="Z5" i="32"/>
  <c r="P5" i="32"/>
  <c r="X5" i="32"/>
  <c r="S5" i="32"/>
  <c r="AA5" i="32"/>
  <c r="O5" i="32"/>
  <c r="T5" i="32"/>
  <c r="W5" i="32"/>
  <c r="K110" i="24"/>
  <c r="Q13" i="28" s="1"/>
  <c r="C110" i="24"/>
  <c r="I13" i="28" s="1"/>
  <c r="M38" i="24"/>
  <c r="J110" i="24"/>
  <c r="P13" i="28" s="1"/>
  <c r="F110" i="24"/>
  <c r="L13" i="28" s="1"/>
  <c r="H110" i="24"/>
  <c r="N13" i="28" s="1"/>
  <c r="L110" i="24"/>
  <c r="E110" i="24"/>
  <c r="K13" i="28" s="1"/>
  <c r="I110" i="24"/>
  <c r="O13" i="28" s="1"/>
  <c r="M57" i="24" l="1"/>
  <c r="M89" i="24"/>
  <c r="M105" i="24"/>
  <c r="M65" i="24"/>
  <c r="M81" i="24"/>
  <c r="M33" i="24"/>
  <c r="N110" i="24"/>
  <c r="M73" i="24"/>
  <c r="M30" i="24"/>
  <c r="M49" i="24"/>
  <c r="M41" i="24"/>
  <c r="M97" i="24"/>
  <c r="H113" i="24"/>
  <c r="N14" i="28" s="1"/>
  <c r="N15" i="28" s="1"/>
  <c r="N16" i="28" s="1"/>
  <c r="F113" i="24"/>
  <c r="L113" i="24"/>
  <c r="I113" i="24"/>
  <c r="K113" i="24"/>
  <c r="Q14" i="28" s="1"/>
  <c r="Q15" i="28" s="1"/>
  <c r="Q16" i="28" s="1"/>
  <c r="D113" i="24"/>
  <c r="J14" i="28" s="1"/>
  <c r="J15" i="28" s="1"/>
  <c r="J16" i="28" s="1"/>
  <c r="G113" i="24"/>
  <c r="E113" i="24"/>
  <c r="J113" i="24"/>
  <c r="C113" i="24"/>
  <c r="R13" i="28"/>
  <c r="O20" i="28"/>
  <c r="R20" i="28"/>
  <c r="Q20" i="28"/>
  <c r="P20" i="28"/>
  <c r="N20" i="28"/>
  <c r="K77" i="41"/>
  <c r="L77" i="41" s="1"/>
  <c r="AB16" i="32"/>
  <c r="AC16" i="32"/>
  <c r="AD16" i="32"/>
  <c r="AE16" i="32"/>
  <c r="K67" i="40"/>
  <c r="L67" i="40" s="1"/>
  <c r="P6" i="32"/>
  <c r="T6" i="32"/>
  <c r="X6" i="32"/>
  <c r="Q6" i="32"/>
  <c r="U6" i="32"/>
  <c r="Y6" i="32"/>
  <c r="S6" i="32"/>
  <c r="AA6" i="32"/>
  <c r="V6" i="32"/>
  <c r="O6" i="32"/>
  <c r="R6" i="32"/>
  <c r="W6" i="32"/>
  <c r="Z6" i="32"/>
  <c r="K67" i="39"/>
  <c r="L67" i="39" s="1"/>
  <c r="D6" i="32"/>
  <c r="H6" i="32"/>
  <c r="L6" i="32"/>
  <c r="E6" i="32"/>
  <c r="I6" i="32"/>
  <c r="M6" i="32"/>
  <c r="B6" i="32"/>
  <c r="J6" i="32"/>
  <c r="C6" i="32"/>
  <c r="K6" i="32"/>
  <c r="F6" i="32"/>
  <c r="N6" i="32"/>
  <c r="G6" i="32"/>
  <c r="F111" i="24"/>
  <c r="J111" i="24"/>
  <c r="G111" i="24"/>
  <c r="D111" i="24"/>
  <c r="I111" i="24"/>
  <c r="L111" i="24"/>
  <c r="E111" i="24"/>
  <c r="H111" i="24"/>
  <c r="K111" i="24"/>
  <c r="O21" i="28" l="1"/>
  <c r="O22" i="28" s="1"/>
  <c r="O23" i="28" s="1"/>
  <c r="O24" i="28" s="1"/>
  <c r="J35" i="28"/>
  <c r="F115" i="24"/>
  <c r="L14" i="28"/>
  <c r="L15" i="28" s="1"/>
  <c r="L16" i="28" s="1"/>
  <c r="I115" i="24"/>
  <c r="O14" i="28"/>
  <c r="O15" i="28" s="1"/>
  <c r="O16" i="28" s="1"/>
  <c r="E115" i="24"/>
  <c r="K14" i="28"/>
  <c r="K15" i="28" s="1"/>
  <c r="K16" i="28" s="1"/>
  <c r="G115" i="24"/>
  <c r="M14" i="28"/>
  <c r="M15" i="28" s="1"/>
  <c r="M16" i="28" s="1"/>
  <c r="J115" i="24"/>
  <c r="P14" i="28"/>
  <c r="P15" i="28" s="1"/>
  <c r="P16" i="28" s="1"/>
  <c r="L115" i="24"/>
  <c r="R14" i="28"/>
  <c r="R15" i="28" s="1"/>
  <c r="R16" i="28" s="1"/>
  <c r="C115" i="24"/>
  <c r="I14" i="28"/>
  <c r="K114" i="24"/>
  <c r="H114" i="24"/>
  <c r="K115" i="24"/>
  <c r="D114" i="24"/>
  <c r="H115" i="24"/>
  <c r="D115" i="24"/>
  <c r="E114" i="24"/>
  <c r="J114" i="24"/>
  <c r="L114" i="24"/>
  <c r="I114" i="24"/>
  <c r="F114" i="24"/>
  <c r="G114" i="24"/>
  <c r="I34" i="28"/>
  <c r="K78" i="41"/>
  <c r="L78" i="41" s="1"/>
  <c r="AB17" i="32"/>
  <c r="AC17" i="32"/>
  <c r="AE17" i="32"/>
  <c r="AD17" i="32"/>
  <c r="K68" i="39"/>
  <c r="L68" i="39" s="1"/>
  <c r="C7" i="32"/>
  <c r="G7" i="32"/>
  <c r="K7" i="32"/>
  <c r="D7" i="32"/>
  <c r="H7" i="32"/>
  <c r="L7" i="32"/>
  <c r="E7" i="32"/>
  <c r="M7" i="32"/>
  <c r="F7" i="32"/>
  <c r="N7" i="32"/>
  <c r="I7" i="32"/>
  <c r="J7" i="32"/>
  <c r="B7" i="32"/>
  <c r="K68" i="40"/>
  <c r="L68" i="40" s="1"/>
  <c r="O7" i="32"/>
  <c r="S7" i="32"/>
  <c r="W7" i="32"/>
  <c r="AA7" i="32"/>
  <c r="P7" i="32"/>
  <c r="T7" i="32"/>
  <c r="X7" i="32"/>
  <c r="V7" i="32"/>
  <c r="Q7" i="32"/>
  <c r="Y7" i="32"/>
  <c r="R7" i="32"/>
  <c r="U7" i="32"/>
  <c r="Z7" i="32"/>
  <c r="M34" i="28"/>
  <c r="N116" i="24"/>
  <c r="K34" i="28"/>
  <c r="J34" i="28"/>
  <c r="L34" i="28"/>
  <c r="K116" i="24" l="1"/>
  <c r="N21" i="28"/>
  <c r="N22" i="28" s="1"/>
  <c r="N23" i="28" s="1"/>
  <c r="N24" i="28" s="1"/>
  <c r="I15" i="28"/>
  <c r="I16" i="28" s="1"/>
  <c r="I17" i="28" s="1"/>
  <c r="I37" i="28" s="1"/>
  <c r="P21" i="28"/>
  <c r="P22" i="28" s="1"/>
  <c r="P23" i="28" s="1"/>
  <c r="P24" i="28" s="1"/>
  <c r="Q21" i="28"/>
  <c r="Q22" i="28" s="1"/>
  <c r="Q23" i="28" s="1"/>
  <c r="Q24" i="28" s="1"/>
  <c r="R21" i="28"/>
  <c r="R22" i="28" s="1"/>
  <c r="R23" i="28" s="1"/>
  <c r="R24" i="28" s="1"/>
  <c r="F116" i="24"/>
  <c r="H116" i="24"/>
  <c r="L116" i="24"/>
  <c r="J116" i="24"/>
  <c r="D116" i="24"/>
  <c r="G116" i="24"/>
  <c r="K35" i="28"/>
  <c r="L35" i="28"/>
  <c r="M35" i="28"/>
  <c r="I35" i="28"/>
  <c r="E116" i="24"/>
  <c r="I116" i="24"/>
  <c r="K79" i="41"/>
  <c r="L79" i="41" s="1"/>
  <c r="AB18" i="32"/>
  <c r="AC18" i="32"/>
  <c r="AD18" i="32"/>
  <c r="AE18" i="32"/>
  <c r="K69" i="40"/>
  <c r="L69" i="40" s="1"/>
  <c r="R8" i="32"/>
  <c r="V8" i="32"/>
  <c r="Z8" i="32"/>
  <c r="O8" i="32"/>
  <c r="S8" i="32"/>
  <c r="W8" i="32"/>
  <c r="AA8" i="32"/>
  <c r="Q8" i="32"/>
  <c r="Y8" i="32"/>
  <c r="T8" i="32"/>
  <c r="U8" i="32"/>
  <c r="X8" i="32"/>
  <c r="P8" i="32"/>
  <c r="K69" i="39"/>
  <c r="L69" i="39" s="1"/>
  <c r="B8" i="32"/>
  <c r="F8" i="32"/>
  <c r="J8" i="32"/>
  <c r="N8" i="32"/>
  <c r="C8" i="32"/>
  <c r="G8" i="32"/>
  <c r="K8" i="32"/>
  <c r="H8" i="32"/>
  <c r="I8" i="32"/>
  <c r="D8" i="32"/>
  <c r="L8" i="32"/>
  <c r="E8" i="32"/>
  <c r="M8" i="32"/>
  <c r="J5" i="28"/>
  <c r="I36" i="28" l="1"/>
  <c r="J6" i="28"/>
  <c r="K80" i="41"/>
  <c r="L80" i="41" s="1"/>
  <c r="AB19" i="32"/>
  <c r="AC19" i="32"/>
  <c r="AE19" i="32"/>
  <c r="AD19" i="32"/>
  <c r="K70" i="39"/>
  <c r="L70" i="39" s="1"/>
  <c r="E9" i="32"/>
  <c r="I9" i="32"/>
  <c r="M9" i="32"/>
  <c r="B9" i="32"/>
  <c r="F9" i="32"/>
  <c r="J9" i="32"/>
  <c r="N9" i="32"/>
  <c r="C9" i="32"/>
  <c r="K9" i="32"/>
  <c r="D9" i="32"/>
  <c r="L9" i="32"/>
  <c r="G9" i="32"/>
  <c r="H9" i="32"/>
  <c r="K70" i="40"/>
  <c r="L70" i="40" s="1"/>
  <c r="Q9" i="32"/>
  <c r="U9" i="32"/>
  <c r="Y9" i="32"/>
  <c r="R9" i="32"/>
  <c r="V9" i="32"/>
  <c r="Z9" i="32"/>
  <c r="T9" i="32"/>
  <c r="O9" i="32"/>
  <c r="W9" i="32"/>
  <c r="X9" i="32"/>
  <c r="AA9" i="32"/>
  <c r="P9" i="32"/>
  <c r="S9" i="32"/>
  <c r="J17" i="28" l="1"/>
  <c r="J37" i="28" s="1"/>
  <c r="J36" i="28"/>
  <c r="K81" i="41"/>
  <c r="L81" i="41" s="1"/>
  <c r="AB20" i="32"/>
  <c r="AC20" i="32"/>
  <c r="AD20" i="32"/>
  <c r="AE20" i="32"/>
  <c r="K71" i="40"/>
  <c r="L71" i="40" s="1"/>
  <c r="P10" i="32"/>
  <c r="T10" i="32"/>
  <c r="X10" i="32"/>
  <c r="Q10" i="32"/>
  <c r="U10" i="32"/>
  <c r="Y10" i="32"/>
  <c r="O10" i="32"/>
  <c r="W10" i="32"/>
  <c r="R10" i="32"/>
  <c r="Z10" i="32"/>
  <c r="AA10" i="32"/>
  <c r="S10" i="32"/>
  <c r="V10" i="32"/>
  <c r="K71" i="39"/>
  <c r="L71" i="39" s="1"/>
  <c r="D10" i="32"/>
  <c r="H10" i="32"/>
  <c r="L10" i="32"/>
  <c r="E10" i="32"/>
  <c r="I10" i="32"/>
  <c r="M10" i="32"/>
  <c r="F10" i="32"/>
  <c r="N10" i="32"/>
  <c r="G10" i="32"/>
  <c r="B10" i="32"/>
  <c r="J10" i="32"/>
  <c r="C10" i="32"/>
  <c r="K10" i="32"/>
  <c r="K36" i="28" l="1"/>
  <c r="K82" i="41"/>
  <c r="L82" i="41" s="1"/>
  <c r="AB21" i="32"/>
  <c r="AC21" i="32"/>
  <c r="AE21" i="32"/>
  <c r="AD21" i="32"/>
  <c r="K72" i="39"/>
  <c r="L72" i="39" s="1"/>
  <c r="C11" i="32"/>
  <c r="G11" i="32"/>
  <c r="K11" i="32"/>
  <c r="D11" i="32"/>
  <c r="H11" i="32"/>
  <c r="L11" i="32"/>
  <c r="I11" i="32"/>
  <c r="B11" i="32"/>
  <c r="J11" i="32"/>
  <c r="E11" i="32"/>
  <c r="M11" i="32"/>
  <c r="N11" i="32"/>
  <c r="F11" i="32"/>
  <c r="K72" i="40"/>
  <c r="L72" i="40" s="1"/>
  <c r="O11" i="32"/>
  <c r="S11" i="32"/>
  <c r="W11" i="32"/>
  <c r="AA11" i="32"/>
  <c r="P11" i="32"/>
  <c r="T11" i="32"/>
  <c r="X11" i="32"/>
  <c r="R11" i="32"/>
  <c r="Z11" i="32"/>
  <c r="U11" i="32"/>
  <c r="Q11" i="32"/>
  <c r="V11" i="32"/>
  <c r="Y11" i="32"/>
  <c r="K17" i="28" l="1"/>
  <c r="K37" i="28" s="1"/>
  <c r="K83" i="41"/>
  <c r="L83" i="41" s="1"/>
  <c r="AB22" i="32"/>
  <c r="AC22" i="32"/>
  <c r="AD22" i="32"/>
  <c r="AE22" i="32"/>
  <c r="K73" i="40"/>
  <c r="L73" i="40" s="1"/>
  <c r="R12" i="32"/>
  <c r="V12" i="32"/>
  <c r="Z12" i="32"/>
  <c r="O12" i="32"/>
  <c r="S12" i="32"/>
  <c r="W12" i="32"/>
  <c r="AA12" i="32"/>
  <c r="U12" i="32"/>
  <c r="P12" i="32"/>
  <c r="X12" i="32"/>
  <c r="Q12" i="32"/>
  <c r="T12" i="32"/>
  <c r="Y12" i="32"/>
  <c r="K73" i="39"/>
  <c r="L73" i="39" s="1"/>
  <c r="B12" i="32"/>
  <c r="F12" i="32"/>
  <c r="J12" i="32"/>
  <c r="N12" i="32"/>
  <c r="C12" i="32"/>
  <c r="G12" i="32"/>
  <c r="K12" i="32"/>
  <c r="D12" i="32"/>
  <c r="L12" i="32"/>
  <c r="E12" i="32"/>
  <c r="M12" i="32"/>
  <c r="H12" i="32"/>
  <c r="I12" i="32"/>
  <c r="L36" i="28" l="1"/>
  <c r="K84" i="41"/>
  <c r="L84" i="41" s="1"/>
  <c r="AB23" i="32"/>
  <c r="AC23" i="32"/>
  <c r="AE23" i="32"/>
  <c r="AD23" i="32"/>
  <c r="K74" i="39"/>
  <c r="L74" i="39" s="1"/>
  <c r="E13" i="32"/>
  <c r="I13" i="32"/>
  <c r="M13" i="32"/>
  <c r="B13" i="32"/>
  <c r="F13" i="32"/>
  <c r="J13" i="32"/>
  <c r="N13" i="32"/>
  <c r="G13" i="32"/>
  <c r="H13" i="32"/>
  <c r="C13" i="32"/>
  <c r="K13" i="32"/>
  <c r="D13" i="32"/>
  <c r="L13" i="32"/>
  <c r="K74" i="40"/>
  <c r="L74" i="40" s="1"/>
  <c r="Q13" i="32"/>
  <c r="U13" i="32"/>
  <c r="Y13" i="32"/>
  <c r="R13" i="32"/>
  <c r="V13" i="32"/>
  <c r="Z13" i="32"/>
  <c r="P13" i="32"/>
  <c r="X13" i="32"/>
  <c r="S13" i="32"/>
  <c r="AA13" i="32"/>
  <c r="T13" i="32"/>
  <c r="W13" i="32"/>
  <c r="O13" i="32"/>
  <c r="L17" i="28" l="1"/>
  <c r="L37" i="28" s="1"/>
  <c r="K85" i="41"/>
  <c r="L85" i="41" s="1"/>
  <c r="AB24" i="32"/>
  <c r="AC24" i="32"/>
  <c r="AD24" i="32"/>
  <c r="AE24" i="32"/>
  <c r="K75" i="40"/>
  <c r="L75" i="40" s="1"/>
  <c r="P14" i="32"/>
  <c r="T14" i="32"/>
  <c r="X14" i="32"/>
  <c r="Q14" i="32"/>
  <c r="U14" i="32"/>
  <c r="Y14" i="32"/>
  <c r="S14" i="32"/>
  <c r="AA14" i="32"/>
  <c r="V14" i="32"/>
  <c r="W14" i="32"/>
  <c r="Z14" i="32"/>
  <c r="O14" i="32"/>
  <c r="R14" i="32"/>
  <c r="K75" i="39"/>
  <c r="L75" i="39" s="1"/>
  <c r="D14" i="32"/>
  <c r="H14" i="32"/>
  <c r="L14" i="32"/>
  <c r="E14" i="32"/>
  <c r="I14" i="32"/>
  <c r="M14" i="32"/>
  <c r="B14" i="32"/>
  <c r="J14" i="32"/>
  <c r="C14" i="32"/>
  <c r="K14" i="32"/>
  <c r="F14" i="32"/>
  <c r="N14" i="32"/>
  <c r="G14" i="32"/>
  <c r="M17" i="28" l="1"/>
  <c r="M37" i="28" s="1"/>
  <c r="K86" i="41"/>
  <c r="L86" i="41" s="1"/>
  <c r="AB25" i="32"/>
  <c r="AC25" i="32"/>
  <c r="AE25" i="32"/>
  <c r="AD25" i="32"/>
  <c r="K76" i="39"/>
  <c r="L76" i="39" s="1"/>
  <c r="C15" i="32"/>
  <c r="G15" i="32"/>
  <c r="K15" i="32"/>
  <c r="D15" i="32"/>
  <c r="H15" i="32"/>
  <c r="L15" i="32"/>
  <c r="E15" i="32"/>
  <c r="M15" i="32"/>
  <c r="F15" i="32"/>
  <c r="N15" i="32"/>
  <c r="I15" i="32"/>
  <c r="B15" i="32"/>
  <c r="J15" i="32"/>
  <c r="K76" i="40"/>
  <c r="L76" i="40" s="1"/>
  <c r="O15" i="32"/>
  <c r="S15" i="32"/>
  <c r="W15" i="32"/>
  <c r="AA15" i="32"/>
  <c r="P15" i="32"/>
  <c r="T15" i="32"/>
  <c r="X15" i="32"/>
  <c r="V15" i="32"/>
  <c r="Q15" i="32"/>
  <c r="Y15" i="32"/>
  <c r="Z15" i="32"/>
  <c r="R15" i="32"/>
  <c r="U15" i="32"/>
  <c r="M36" i="28" l="1"/>
  <c r="J7" i="28" s="1"/>
  <c r="O27" i="28" s="1"/>
  <c r="K87" i="41"/>
  <c r="L87" i="41" s="1"/>
  <c r="AB26" i="32"/>
  <c r="AC26" i="32"/>
  <c r="AD26" i="32"/>
  <c r="AE26" i="32"/>
  <c r="K77" i="40"/>
  <c r="L77" i="40" s="1"/>
  <c r="R16" i="32"/>
  <c r="V16" i="32"/>
  <c r="Z16" i="32"/>
  <c r="O16" i="32"/>
  <c r="S16" i="32"/>
  <c r="W16" i="32"/>
  <c r="AA16" i="32"/>
  <c r="Q16" i="32"/>
  <c r="Y16" i="32"/>
  <c r="T16" i="32"/>
  <c r="P16" i="32"/>
  <c r="U16" i="32"/>
  <c r="X16" i="32"/>
  <c r="K77" i="39"/>
  <c r="L77" i="39" s="1"/>
  <c r="B16" i="32"/>
  <c r="F16" i="32"/>
  <c r="J16" i="32"/>
  <c r="N16" i="32"/>
  <c r="C16" i="32"/>
  <c r="G16" i="32"/>
  <c r="K16" i="32"/>
  <c r="H16" i="32"/>
  <c r="I16" i="32"/>
  <c r="D16" i="32"/>
  <c r="L16" i="32"/>
  <c r="E16" i="32"/>
  <c r="M16" i="32"/>
  <c r="R27" i="28" l="1"/>
  <c r="P27" i="28"/>
  <c r="Q27" i="28"/>
  <c r="N27" i="28"/>
  <c r="O8" i="28"/>
  <c r="N28" i="28" s="1"/>
  <c r="N17" i="28"/>
  <c r="K88" i="41"/>
  <c r="L88" i="41" s="1"/>
  <c r="AB27" i="32"/>
  <c r="AC27" i="32"/>
  <c r="AE27" i="32"/>
  <c r="AD27" i="32"/>
  <c r="K78" i="39"/>
  <c r="L78" i="39" s="1"/>
  <c r="E17" i="32"/>
  <c r="I17" i="32"/>
  <c r="M17" i="32"/>
  <c r="B17" i="32"/>
  <c r="F17" i="32"/>
  <c r="J17" i="32"/>
  <c r="N17" i="32"/>
  <c r="C17" i="32"/>
  <c r="K17" i="32"/>
  <c r="D17" i="32"/>
  <c r="L17" i="32"/>
  <c r="G17" i="32"/>
  <c r="H17" i="32"/>
  <c r="K78" i="40"/>
  <c r="L78" i="40" s="1"/>
  <c r="Q17" i="32"/>
  <c r="U17" i="32"/>
  <c r="Y17" i="32"/>
  <c r="S17" i="32"/>
  <c r="X17" i="32"/>
  <c r="O17" i="32"/>
  <c r="T17" i="32"/>
  <c r="Z17" i="32"/>
  <c r="P17" i="32"/>
  <c r="AA17" i="32"/>
  <c r="R17" i="32"/>
  <c r="V17" i="32"/>
  <c r="W17" i="32"/>
  <c r="O17" i="28" l="1"/>
  <c r="R34" i="28"/>
  <c r="O34" i="28"/>
  <c r="P34" i="28"/>
  <c r="E9" i="48" s="1"/>
  <c r="Q34" i="28"/>
  <c r="N34" i="28"/>
  <c r="N29" i="28"/>
  <c r="N30" i="28" s="1"/>
  <c r="N31" i="28" s="1"/>
  <c r="N37" i="28" s="1"/>
  <c r="P28" i="28"/>
  <c r="P29" i="28" s="1"/>
  <c r="P30" i="28" s="1"/>
  <c r="P31" i="28" s="1"/>
  <c r="R28" i="28"/>
  <c r="R29" i="28" s="1"/>
  <c r="R30" i="28" s="1"/>
  <c r="R31" i="28" s="1"/>
  <c r="O28" i="28"/>
  <c r="O29" i="28" s="1"/>
  <c r="O30" i="28" s="1"/>
  <c r="O31" i="28" s="1"/>
  <c r="Q28" i="28"/>
  <c r="Q29" i="28" s="1"/>
  <c r="Q30" i="28" s="1"/>
  <c r="Q31" i="28" s="1"/>
  <c r="K89" i="41"/>
  <c r="L89" i="41" s="1"/>
  <c r="AB28" i="32"/>
  <c r="AC28" i="32"/>
  <c r="AD28" i="32"/>
  <c r="AE28" i="32"/>
  <c r="K79" i="40"/>
  <c r="L79" i="40" s="1"/>
  <c r="P18" i="32"/>
  <c r="T18" i="32"/>
  <c r="X18" i="32"/>
  <c r="Q18" i="32"/>
  <c r="V18" i="32"/>
  <c r="AA18" i="32"/>
  <c r="R18" i="32"/>
  <c r="W18" i="32"/>
  <c r="Y18" i="32"/>
  <c r="O18" i="32"/>
  <c r="Z18" i="32"/>
  <c r="S18" i="32"/>
  <c r="U18" i="32"/>
  <c r="K79" i="39"/>
  <c r="L79" i="39" s="1"/>
  <c r="D18" i="32"/>
  <c r="H18" i="32"/>
  <c r="L18" i="32"/>
  <c r="E18" i="32"/>
  <c r="I18" i="32"/>
  <c r="M18" i="32"/>
  <c r="F18" i="32"/>
  <c r="N18" i="32"/>
  <c r="G18" i="32"/>
  <c r="B18" i="32"/>
  <c r="J18" i="32"/>
  <c r="C18" i="32"/>
  <c r="K18" i="32"/>
  <c r="T34" i="28" l="1"/>
  <c r="O43" i="28" s="1"/>
  <c r="O37" i="28"/>
  <c r="Q35" i="28"/>
  <c r="R35" i="28"/>
  <c r="P17" i="28"/>
  <c r="P37" i="28" s="1"/>
  <c r="E11" i="48" s="1"/>
  <c r="O5" i="28"/>
  <c r="N35" i="28"/>
  <c r="P35" i="28"/>
  <c r="O35" i="28"/>
  <c r="K90" i="41"/>
  <c r="L90" i="41" s="1"/>
  <c r="AB29" i="32"/>
  <c r="AC29" i="32"/>
  <c r="AE29" i="32"/>
  <c r="AD29" i="32"/>
  <c r="K80" i="39"/>
  <c r="L80" i="39" s="1"/>
  <c r="C19" i="32"/>
  <c r="G19" i="32"/>
  <c r="K19" i="32"/>
  <c r="D19" i="32"/>
  <c r="H19" i="32"/>
  <c r="L19" i="32"/>
  <c r="I19" i="32"/>
  <c r="B19" i="32"/>
  <c r="J19" i="32"/>
  <c r="E19" i="32"/>
  <c r="M19" i="32"/>
  <c r="N19" i="32"/>
  <c r="F19" i="32"/>
  <c r="K80" i="40"/>
  <c r="L80" i="40" s="1"/>
  <c r="O19" i="32"/>
  <c r="S19" i="32"/>
  <c r="W19" i="32"/>
  <c r="AA19" i="32"/>
  <c r="T19" i="32"/>
  <c r="Y19" i="32"/>
  <c r="P19" i="32"/>
  <c r="U19" i="32"/>
  <c r="Z19" i="32"/>
  <c r="V19" i="32"/>
  <c r="X19" i="32"/>
  <c r="Q19" i="32"/>
  <c r="R19" i="32"/>
  <c r="Q17" i="28" l="1"/>
  <c r="Q37" i="28" s="1"/>
  <c r="O6" i="28"/>
  <c r="N36" i="28"/>
  <c r="K91" i="41"/>
  <c r="L91" i="41" s="1"/>
  <c r="AB30" i="32"/>
  <c r="AC30" i="32"/>
  <c r="AD30" i="32"/>
  <c r="AE30" i="32"/>
  <c r="K81" i="40"/>
  <c r="L81" i="40" s="1"/>
  <c r="R20" i="32"/>
  <c r="V20" i="32"/>
  <c r="Z20" i="32"/>
  <c r="Q20" i="32"/>
  <c r="W20" i="32"/>
  <c r="S20" i="32"/>
  <c r="X20" i="32"/>
  <c r="T20" i="32"/>
  <c r="U20" i="32"/>
  <c r="O20" i="32"/>
  <c r="Y20" i="32"/>
  <c r="P20" i="32"/>
  <c r="AA20" i="32"/>
  <c r="K81" i="39"/>
  <c r="L81" i="39" s="1"/>
  <c r="B20" i="32"/>
  <c r="F20" i="32"/>
  <c r="J20" i="32"/>
  <c r="N20" i="32"/>
  <c r="C20" i="32"/>
  <c r="G20" i="32"/>
  <c r="K20" i="32"/>
  <c r="D20" i="32"/>
  <c r="L20" i="32"/>
  <c r="E20" i="32"/>
  <c r="M20" i="32"/>
  <c r="H20" i="32"/>
  <c r="I20" i="32"/>
  <c r="R17" i="28" l="1"/>
  <c r="R37" i="28" s="1"/>
  <c r="E12" i="48" s="1"/>
  <c r="K92" i="41"/>
  <c r="L92" i="41" s="1"/>
  <c r="AB31" i="32"/>
  <c r="AC31" i="32"/>
  <c r="AE31" i="32"/>
  <c r="AD31" i="32"/>
  <c r="K82" i="39"/>
  <c r="L82" i="39" s="1"/>
  <c r="E21" i="32"/>
  <c r="I21" i="32"/>
  <c r="M21" i="32"/>
  <c r="B21" i="32"/>
  <c r="F21" i="32"/>
  <c r="J21" i="32"/>
  <c r="N21" i="32"/>
  <c r="G21" i="32"/>
  <c r="H21" i="32"/>
  <c r="C21" i="32"/>
  <c r="K21" i="32"/>
  <c r="L21" i="32"/>
  <c r="D21" i="32"/>
  <c r="K82" i="40"/>
  <c r="L82" i="40" s="1"/>
  <c r="Q21" i="32"/>
  <c r="U21" i="32"/>
  <c r="Y21" i="32"/>
  <c r="O21" i="32"/>
  <c r="T21" i="32"/>
  <c r="Z21" i="32"/>
  <c r="P21" i="32"/>
  <c r="V21" i="32"/>
  <c r="AA21" i="32"/>
  <c r="R21" i="32"/>
  <c r="S21" i="32"/>
  <c r="W21" i="32"/>
  <c r="X21" i="32"/>
  <c r="O36" i="28" l="1"/>
  <c r="K93" i="41"/>
  <c r="L93" i="41" s="1"/>
  <c r="AB32" i="32"/>
  <c r="AC32" i="32"/>
  <c r="AD32" i="32"/>
  <c r="AE32" i="32"/>
  <c r="K83" i="40"/>
  <c r="L83" i="40" s="1"/>
  <c r="P22" i="32"/>
  <c r="T22" i="32"/>
  <c r="X22" i="32"/>
  <c r="R22" i="32"/>
  <c r="W22" i="32"/>
  <c r="S22" i="32"/>
  <c r="Y22" i="32"/>
  <c r="O22" i="32"/>
  <c r="Z22" i="32"/>
  <c r="Q22" i="32"/>
  <c r="AA22" i="32"/>
  <c r="U22" i="32"/>
  <c r="V22" i="32"/>
  <c r="K83" i="39"/>
  <c r="L83" i="39" s="1"/>
  <c r="D22" i="32"/>
  <c r="H22" i="32"/>
  <c r="E22" i="32"/>
  <c r="B22" i="32"/>
  <c r="I22" i="32"/>
  <c r="M22" i="32"/>
  <c r="C22" i="32"/>
  <c r="J22" i="32"/>
  <c r="N22" i="32"/>
  <c r="F22" i="32"/>
  <c r="K22" i="32"/>
  <c r="G22" i="32"/>
  <c r="L22" i="32"/>
  <c r="K94" i="41" l="1"/>
  <c r="L94" i="41" s="1"/>
  <c r="AB33" i="32"/>
  <c r="AC33" i="32"/>
  <c r="AE33" i="32"/>
  <c r="AD33" i="32"/>
  <c r="K84" i="39"/>
  <c r="L84" i="39" s="1"/>
  <c r="D23" i="32"/>
  <c r="H23" i="32"/>
  <c r="L23" i="32"/>
  <c r="E23" i="32"/>
  <c r="I23" i="32"/>
  <c r="M23" i="32"/>
  <c r="B23" i="32"/>
  <c r="F23" i="32"/>
  <c r="J23" i="32"/>
  <c r="N23" i="32"/>
  <c r="K23" i="32"/>
  <c r="C23" i="32"/>
  <c r="G23" i="32"/>
  <c r="K84" i="40"/>
  <c r="L84" i="40" s="1"/>
  <c r="O23" i="32"/>
  <c r="S23" i="32"/>
  <c r="W23" i="32"/>
  <c r="AA23" i="32"/>
  <c r="P23" i="32"/>
  <c r="U23" i="32"/>
  <c r="Z23" i="32"/>
  <c r="Q23" i="32"/>
  <c r="V23" i="32"/>
  <c r="X23" i="32"/>
  <c r="Y23" i="32"/>
  <c r="R23" i="32"/>
  <c r="T23" i="32"/>
  <c r="P36" i="28" l="1"/>
  <c r="E10" i="48" s="1"/>
  <c r="K95" i="41"/>
  <c r="L95" i="41" s="1"/>
  <c r="AB34" i="32"/>
  <c r="AC34" i="32"/>
  <c r="AD34" i="32"/>
  <c r="AE34" i="32"/>
  <c r="K85" i="40"/>
  <c r="L85" i="40" s="1"/>
  <c r="R24" i="32"/>
  <c r="V24" i="32"/>
  <c r="Z24" i="32"/>
  <c r="S24" i="32"/>
  <c r="X24" i="32"/>
  <c r="O24" i="32"/>
  <c r="T24" i="32"/>
  <c r="Y24" i="32"/>
  <c r="U24" i="32"/>
  <c r="W24" i="32"/>
  <c r="P24" i="32"/>
  <c r="AA24" i="32"/>
  <c r="Q24" i="32"/>
  <c r="K85" i="39"/>
  <c r="L85" i="39" s="1"/>
  <c r="C24" i="32"/>
  <c r="G24" i="32"/>
  <c r="K24" i="32"/>
  <c r="D24" i="32"/>
  <c r="H24" i="32"/>
  <c r="L24" i="32"/>
  <c r="E24" i="32"/>
  <c r="I24" i="32"/>
  <c r="M24" i="32"/>
  <c r="N24" i="32"/>
  <c r="B24" i="32"/>
  <c r="F24" i="32"/>
  <c r="J24" i="32"/>
  <c r="K96" i="41" l="1"/>
  <c r="L96" i="41" s="1"/>
  <c r="AB35" i="32"/>
  <c r="AC35" i="32"/>
  <c r="AE35" i="32"/>
  <c r="AD35" i="32"/>
  <c r="K86" i="39"/>
  <c r="L86" i="39" s="1"/>
  <c r="B25" i="32"/>
  <c r="F25" i="32"/>
  <c r="J25" i="32"/>
  <c r="N25" i="32"/>
  <c r="C25" i="32"/>
  <c r="G25" i="32"/>
  <c r="K25" i="32"/>
  <c r="D25" i="32"/>
  <c r="H25" i="32"/>
  <c r="L25" i="32"/>
  <c r="M25" i="32"/>
  <c r="E25" i="32"/>
  <c r="I25" i="32"/>
  <c r="K86" i="40"/>
  <c r="L86" i="40" s="1"/>
  <c r="Q25" i="32"/>
  <c r="U25" i="32"/>
  <c r="Y25" i="32"/>
  <c r="P25" i="32"/>
  <c r="V25" i="32"/>
  <c r="AA25" i="32"/>
  <c r="R25" i="32"/>
  <c r="W25" i="32"/>
  <c r="S25" i="32"/>
  <c r="T25" i="32"/>
  <c r="X25" i="32"/>
  <c r="O25" i="32"/>
  <c r="Z25" i="32"/>
  <c r="Q36" i="28" l="1"/>
  <c r="K97" i="41"/>
  <c r="L97" i="41" s="1"/>
  <c r="AB36" i="32"/>
  <c r="AC36" i="32"/>
  <c r="AD36" i="32"/>
  <c r="AE36" i="32"/>
  <c r="K87" i="40"/>
  <c r="L87" i="40" s="1"/>
  <c r="P26" i="32"/>
  <c r="T26" i="32"/>
  <c r="X26" i="32"/>
  <c r="S26" i="32"/>
  <c r="Y26" i="32"/>
  <c r="O26" i="32"/>
  <c r="U26" i="32"/>
  <c r="Z26" i="32"/>
  <c r="Q26" i="32"/>
  <c r="AA26" i="32"/>
  <c r="R26" i="32"/>
  <c r="V26" i="32"/>
  <c r="W26" i="32"/>
  <c r="K87" i="39"/>
  <c r="L87" i="39" s="1"/>
  <c r="E26" i="32"/>
  <c r="I26" i="32"/>
  <c r="M26" i="32"/>
  <c r="B26" i="32"/>
  <c r="F26" i="32"/>
  <c r="J26" i="32"/>
  <c r="N26" i="32"/>
  <c r="C26" i="32"/>
  <c r="G26" i="32"/>
  <c r="K26" i="32"/>
  <c r="D26" i="32"/>
  <c r="H26" i="32"/>
  <c r="L26" i="32"/>
  <c r="K98" i="41" l="1"/>
  <c r="L98" i="41" s="1"/>
  <c r="AB37" i="32"/>
  <c r="AC37" i="32"/>
  <c r="AE37" i="32"/>
  <c r="AD37" i="32"/>
  <c r="K88" i="39"/>
  <c r="L88" i="39" s="1"/>
  <c r="D27" i="32"/>
  <c r="H27" i="32"/>
  <c r="L27" i="32"/>
  <c r="E27" i="32"/>
  <c r="I27" i="32"/>
  <c r="M27" i="32"/>
  <c r="B27" i="32"/>
  <c r="F27" i="32"/>
  <c r="J27" i="32"/>
  <c r="N27" i="32"/>
  <c r="G27" i="32"/>
  <c r="K27" i="32"/>
  <c r="C27" i="32"/>
  <c r="K88" i="40"/>
  <c r="L88" i="40" s="1"/>
  <c r="O27" i="32"/>
  <c r="S27" i="32"/>
  <c r="W27" i="32"/>
  <c r="AA27" i="32"/>
  <c r="Q27" i="32"/>
  <c r="V27" i="32"/>
  <c r="R27" i="32"/>
  <c r="X27" i="32"/>
  <c r="Y27" i="32"/>
  <c r="P27" i="32"/>
  <c r="Z27" i="32"/>
  <c r="T27" i="32"/>
  <c r="U27" i="32"/>
  <c r="R36" i="28" l="1"/>
  <c r="K99" i="41"/>
  <c r="L99" i="41" s="1"/>
  <c r="AB38" i="32"/>
  <c r="AC38" i="32"/>
  <c r="AD38" i="32"/>
  <c r="AE38" i="32"/>
  <c r="K89" i="40"/>
  <c r="L89" i="40" s="1"/>
  <c r="R28" i="32"/>
  <c r="V28" i="32"/>
  <c r="Z28" i="32"/>
  <c r="O28" i="32"/>
  <c r="T28" i="32"/>
  <c r="Y28" i="32"/>
  <c r="P28" i="32"/>
  <c r="U28" i="32"/>
  <c r="AA28" i="32"/>
  <c r="W28" i="32"/>
  <c r="X28" i="32"/>
  <c r="Q28" i="32"/>
  <c r="S28" i="32"/>
  <c r="K89" i="39"/>
  <c r="L89" i="39" s="1"/>
  <c r="C28" i="32"/>
  <c r="G28" i="32"/>
  <c r="K28" i="32"/>
  <c r="D28" i="32"/>
  <c r="H28" i="32"/>
  <c r="L28" i="32"/>
  <c r="E28" i="32"/>
  <c r="I28" i="32"/>
  <c r="M28" i="32"/>
  <c r="J28" i="32"/>
  <c r="N28" i="32"/>
  <c r="B28" i="32"/>
  <c r="F28" i="32"/>
  <c r="O7" i="28" l="1"/>
  <c r="K100" i="41"/>
  <c r="L100" i="41" s="1"/>
  <c r="AB39" i="32"/>
  <c r="AC39" i="32"/>
  <c r="AE39" i="32"/>
  <c r="AD39" i="32"/>
  <c r="K90" i="39"/>
  <c r="L90" i="39" s="1"/>
  <c r="B29" i="32"/>
  <c r="F29" i="32"/>
  <c r="J29" i="32"/>
  <c r="N29" i="32"/>
  <c r="C29" i="32"/>
  <c r="G29" i="32"/>
  <c r="K29" i="32"/>
  <c r="D29" i="32"/>
  <c r="H29" i="32"/>
  <c r="L29" i="32"/>
  <c r="M29" i="32"/>
  <c r="E29" i="32"/>
  <c r="I29" i="32"/>
  <c r="K90" i="40"/>
  <c r="L90" i="40" s="1"/>
  <c r="Q29" i="32"/>
  <c r="U29" i="32"/>
  <c r="Y29" i="32"/>
  <c r="R29" i="32"/>
  <c r="V29" i="32"/>
  <c r="Z29" i="32"/>
  <c r="S29" i="32"/>
  <c r="AA29" i="32"/>
  <c r="T29" i="32"/>
  <c r="O29" i="32"/>
  <c r="W29" i="32"/>
  <c r="P29" i="32"/>
  <c r="X29" i="32"/>
  <c r="K101" i="41" l="1"/>
  <c r="L101" i="41" s="1"/>
  <c r="AB40" i="32"/>
  <c r="AC40" i="32"/>
  <c r="AD40" i="32"/>
  <c r="AE40" i="32"/>
  <c r="K91" i="40"/>
  <c r="L91" i="40" s="1"/>
  <c r="P30" i="32"/>
  <c r="T30" i="32"/>
  <c r="X30" i="32"/>
  <c r="Q30" i="32"/>
  <c r="U30" i="32"/>
  <c r="Y30" i="32"/>
  <c r="V30" i="32"/>
  <c r="O30" i="32"/>
  <c r="W30" i="32"/>
  <c r="R30" i="32"/>
  <c r="Z30" i="32"/>
  <c r="AA30" i="32"/>
  <c r="S30" i="32"/>
  <c r="K91" i="39"/>
  <c r="L91" i="39" s="1"/>
  <c r="E30" i="32"/>
  <c r="I30" i="32"/>
  <c r="M30" i="32"/>
  <c r="B30" i="32"/>
  <c r="F30" i="32"/>
  <c r="J30" i="32"/>
  <c r="N30" i="32"/>
  <c r="C30" i="32"/>
  <c r="G30" i="32"/>
  <c r="K30" i="32"/>
  <c r="L30" i="32"/>
  <c r="D30" i="32"/>
  <c r="H30" i="32"/>
  <c r="K102" i="41" l="1"/>
  <c r="L102" i="41" s="1"/>
  <c r="AB41" i="32"/>
  <c r="AC41" i="32"/>
  <c r="AE41" i="32"/>
  <c r="AD41" i="32"/>
  <c r="K92" i="39"/>
  <c r="L92" i="39" s="1"/>
  <c r="D31" i="32"/>
  <c r="H31" i="32"/>
  <c r="L31" i="32"/>
  <c r="E31" i="32"/>
  <c r="I31" i="32"/>
  <c r="M31" i="32"/>
  <c r="B31" i="32"/>
  <c r="F31" i="32"/>
  <c r="J31" i="32"/>
  <c r="N31" i="32"/>
  <c r="C31" i="32"/>
  <c r="G31" i="32"/>
  <c r="K31" i="32"/>
  <c r="K92" i="40"/>
  <c r="L92" i="40" s="1"/>
  <c r="O31" i="32"/>
  <c r="S31" i="32"/>
  <c r="W31" i="32"/>
  <c r="AA31" i="32"/>
  <c r="P31" i="32"/>
  <c r="T31" i="32"/>
  <c r="X31" i="32"/>
  <c r="Q31" i="32"/>
  <c r="Y31" i="32"/>
  <c r="R31" i="32"/>
  <c r="Z31" i="32"/>
  <c r="U31" i="32"/>
  <c r="V31" i="32"/>
  <c r="K103" i="41" l="1"/>
  <c r="L103" i="41" s="1"/>
  <c r="AB42" i="32"/>
  <c r="AC42" i="32"/>
  <c r="AD42" i="32"/>
  <c r="AE42" i="32"/>
  <c r="K93" i="40"/>
  <c r="L93" i="40" s="1"/>
  <c r="R32" i="32"/>
  <c r="V32" i="32"/>
  <c r="Z32" i="32"/>
  <c r="O32" i="32"/>
  <c r="S32" i="32"/>
  <c r="W32" i="32"/>
  <c r="AA32" i="32"/>
  <c r="T32" i="32"/>
  <c r="U32" i="32"/>
  <c r="P32" i="32"/>
  <c r="X32" i="32"/>
  <c r="Q32" i="32"/>
  <c r="Y32" i="32"/>
  <c r="K93" i="39"/>
  <c r="L93" i="39" s="1"/>
  <c r="C32" i="32"/>
  <c r="G32" i="32"/>
  <c r="K32" i="32"/>
  <c r="D32" i="32"/>
  <c r="H32" i="32"/>
  <c r="L32" i="32"/>
  <c r="E32" i="32"/>
  <c r="I32" i="32"/>
  <c r="M32" i="32"/>
  <c r="F32" i="32"/>
  <c r="J32" i="32"/>
  <c r="B32" i="32"/>
  <c r="N32" i="32"/>
  <c r="K104" i="41" l="1"/>
  <c r="L104" i="41" s="1"/>
  <c r="AB43" i="32"/>
  <c r="AC43" i="32"/>
  <c r="AE43" i="32"/>
  <c r="AD43" i="32"/>
  <c r="K94" i="39"/>
  <c r="L94" i="39" s="1"/>
  <c r="B33" i="32"/>
  <c r="F33" i="32"/>
  <c r="J33" i="32"/>
  <c r="N33" i="32"/>
  <c r="C33" i="32"/>
  <c r="G33" i="32"/>
  <c r="K33" i="32"/>
  <c r="D33" i="32"/>
  <c r="H33" i="32"/>
  <c r="L33" i="32"/>
  <c r="I33" i="32"/>
  <c r="M33" i="32"/>
  <c r="E33" i="32"/>
  <c r="K94" i="40"/>
  <c r="L94" i="40" s="1"/>
  <c r="Q33" i="32"/>
  <c r="U33" i="32"/>
  <c r="Y33" i="32"/>
  <c r="R33" i="32"/>
  <c r="V33" i="32"/>
  <c r="Z33" i="32"/>
  <c r="O33" i="32"/>
  <c r="W33" i="32"/>
  <c r="P33" i="32"/>
  <c r="X33" i="32"/>
  <c r="S33" i="32"/>
  <c r="AA33" i="32"/>
  <c r="T33" i="32"/>
  <c r="K105" i="41" l="1"/>
  <c r="L105" i="41" s="1"/>
  <c r="AB44" i="32"/>
  <c r="AC44" i="32"/>
  <c r="AD44" i="32"/>
  <c r="AE44" i="32"/>
  <c r="K95" i="40"/>
  <c r="L95" i="40" s="1"/>
  <c r="P34" i="32"/>
  <c r="T34" i="32"/>
  <c r="X34" i="32"/>
  <c r="Q34" i="32"/>
  <c r="U34" i="32"/>
  <c r="Y34" i="32"/>
  <c r="R34" i="32"/>
  <c r="Z34" i="32"/>
  <c r="S34" i="32"/>
  <c r="AA34" i="32"/>
  <c r="V34" i="32"/>
  <c r="O34" i="32"/>
  <c r="W34" i="32"/>
  <c r="K95" i="39"/>
  <c r="L95" i="39" s="1"/>
  <c r="E34" i="32"/>
  <c r="I34" i="32"/>
  <c r="M34" i="32"/>
  <c r="B34" i="32"/>
  <c r="F34" i="32"/>
  <c r="J34" i="32"/>
  <c r="N34" i="32"/>
  <c r="C34" i="32"/>
  <c r="G34" i="32"/>
  <c r="K34" i="32"/>
  <c r="L34" i="32"/>
  <c r="H34" i="32"/>
  <c r="D34" i="32"/>
  <c r="K106" i="41" l="1"/>
  <c r="L106" i="41" s="1"/>
  <c r="AB45" i="32"/>
  <c r="AC45" i="32"/>
  <c r="AE45" i="32"/>
  <c r="AD45" i="32"/>
  <c r="K96" i="39"/>
  <c r="L96" i="39" s="1"/>
  <c r="D35" i="32"/>
  <c r="H35" i="32"/>
  <c r="L35" i="32"/>
  <c r="E35" i="32"/>
  <c r="I35" i="32"/>
  <c r="M35" i="32"/>
  <c r="B35" i="32"/>
  <c r="F35" i="32"/>
  <c r="J35" i="32"/>
  <c r="N35" i="32"/>
  <c r="C35" i="32"/>
  <c r="K35" i="32"/>
  <c r="G35" i="32"/>
  <c r="K96" i="40"/>
  <c r="L96" i="40" s="1"/>
  <c r="O35" i="32"/>
  <c r="S35" i="32"/>
  <c r="W35" i="32"/>
  <c r="AA35" i="32"/>
  <c r="P35" i="32"/>
  <c r="T35" i="32"/>
  <c r="X35" i="32"/>
  <c r="U35" i="32"/>
  <c r="V35" i="32"/>
  <c r="Q35" i="32"/>
  <c r="Y35" i="32"/>
  <c r="Z35" i="32"/>
  <c r="R35" i="32"/>
  <c r="K107" i="41" l="1"/>
  <c r="L107" i="41" s="1"/>
  <c r="AB46" i="32"/>
  <c r="AC46" i="32"/>
  <c r="AD46" i="32"/>
  <c r="AE46" i="32"/>
  <c r="K97" i="40"/>
  <c r="L97" i="40" s="1"/>
  <c r="R36" i="32"/>
  <c r="V36" i="32"/>
  <c r="Z36" i="32"/>
  <c r="O36" i="32"/>
  <c r="S36" i="32"/>
  <c r="W36" i="32"/>
  <c r="AA36" i="32"/>
  <c r="P36" i="32"/>
  <c r="X36" i="32"/>
  <c r="Q36" i="32"/>
  <c r="Y36" i="32"/>
  <c r="T36" i="32"/>
  <c r="U36" i="32"/>
  <c r="K97" i="39"/>
  <c r="L97" i="39" s="1"/>
  <c r="C36" i="32"/>
  <c r="G36" i="32"/>
  <c r="K36" i="32"/>
  <c r="D36" i="32"/>
  <c r="H36" i="32"/>
  <c r="L36" i="32"/>
  <c r="E36" i="32"/>
  <c r="I36" i="32"/>
  <c r="M36" i="32"/>
  <c r="B36" i="32"/>
  <c r="F36" i="32"/>
  <c r="J36" i="32"/>
  <c r="N36" i="32"/>
  <c r="K108" i="41" l="1"/>
  <c r="L108" i="41" s="1"/>
  <c r="AB47" i="32"/>
  <c r="AC47" i="32"/>
  <c r="AE47" i="32"/>
  <c r="AD47" i="32"/>
  <c r="K98" i="39"/>
  <c r="L98" i="39" s="1"/>
  <c r="B37" i="32"/>
  <c r="F37" i="32"/>
  <c r="J37" i="32"/>
  <c r="N37" i="32"/>
  <c r="C37" i="32"/>
  <c r="G37" i="32"/>
  <c r="K37" i="32"/>
  <c r="D37" i="32"/>
  <c r="H37" i="32"/>
  <c r="L37" i="32"/>
  <c r="E37" i="32"/>
  <c r="I37" i="32"/>
  <c r="M37" i="32"/>
  <c r="K98" i="40"/>
  <c r="L98" i="40" s="1"/>
  <c r="Q37" i="32"/>
  <c r="U37" i="32"/>
  <c r="Y37" i="32"/>
  <c r="R37" i="32"/>
  <c r="V37" i="32"/>
  <c r="Z37" i="32"/>
  <c r="S37" i="32"/>
  <c r="AA37" i="32"/>
  <c r="T37" i="32"/>
  <c r="O37" i="32"/>
  <c r="W37" i="32"/>
  <c r="P37" i="32"/>
  <c r="X37" i="32"/>
  <c r="K109" i="41" l="1"/>
  <c r="L109" i="41" s="1"/>
  <c r="AB48" i="32"/>
  <c r="AC48" i="32"/>
  <c r="AD48" i="32"/>
  <c r="AE48" i="32"/>
  <c r="K99" i="40"/>
  <c r="L99" i="40" s="1"/>
  <c r="P38" i="32"/>
  <c r="T38" i="32"/>
  <c r="X38" i="32"/>
  <c r="Q38" i="32"/>
  <c r="U38" i="32"/>
  <c r="Y38" i="32"/>
  <c r="V38" i="32"/>
  <c r="O38" i="32"/>
  <c r="W38" i="32"/>
  <c r="R38" i="32"/>
  <c r="Z38" i="32"/>
  <c r="S38" i="32"/>
  <c r="AA38" i="32"/>
  <c r="K99" i="39"/>
  <c r="L99" i="39" s="1"/>
  <c r="E38" i="32"/>
  <c r="I38" i="32"/>
  <c r="M38" i="32"/>
  <c r="B38" i="32"/>
  <c r="F38" i="32"/>
  <c r="J38" i="32"/>
  <c r="N38" i="32"/>
  <c r="C38" i="32"/>
  <c r="G38" i="32"/>
  <c r="K38" i="32"/>
  <c r="H38" i="32"/>
  <c r="D38" i="32"/>
  <c r="L38" i="32"/>
  <c r="K110" i="41" l="1"/>
  <c r="L110" i="41" s="1"/>
  <c r="AB49" i="32"/>
  <c r="AC49" i="32"/>
  <c r="AE49" i="32"/>
  <c r="AD49" i="32"/>
  <c r="K100" i="39"/>
  <c r="L100" i="39" s="1"/>
  <c r="D39" i="32"/>
  <c r="H39" i="32"/>
  <c r="L39" i="32"/>
  <c r="E39" i="32"/>
  <c r="I39" i="32"/>
  <c r="M39" i="32"/>
  <c r="B39" i="32"/>
  <c r="F39" i="32"/>
  <c r="J39" i="32"/>
  <c r="N39" i="32"/>
  <c r="K39" i="32"/>
  <c r="G39" i="32"/>
  <c r="C39" i="32"/>
  <c r="K100" i="40"/>
  <c r="L100" i="40" s="1"/>
  <c r="O39" i="32"/>
  <c r="S39" i="32"/>
  <c r="P39" i="32"/>
  <c r="Q39" i="32"/>
  <c r="V39" i="32"/>
  <c r="Z39" i="32"/>
  <c r="R39" i="32"/>
  <c r="W39" i="32"/>
  <c r="AA39" i="32"/>
  <c r="T39" i="32"/>
  <c r="X39" i="32"/>
  <c r="U39" i="32"/>
  <c r="Y39" i="32"/>
  <c r="K111" i="41" l="1"/>
  <c r="L111" i="41" s="1"/>
  <c r="AB50" i="32"/>
  <c r="AC50" i="32"/>
  <c r="AD50" i="32"/>
  <c r="AE50" i="32"/>
  <c r="K101" i="40"/>
  <c r="L101" i="40" s="1"/>
  <c r="Q40" i="32"/>
  <c r="U40" i="32"/>
  <c r="Y40" i="32"/>
  <c r="R40" i="32"/>
  <c r="V40" i="32"/>
  <c r="Z40" i="32"/>
  <c r="O40" i="32"/>
  <c r="S40" i="32"/>
  <c r="W40" i="32"/>
  <c r="AA40" i="32"/>
  <c r="P40" i="32"/>
  <c r="T40" i="32"/>
  <c r="X40" i="32"/>
  <c r="K101" i="39"/>
  <c r="L101" i="39" s="1"/>
  <c r="C40" i="32"/>
  <c r="G40" i="32"/>
  <c r="K40" i="32"/>
  <c r="D40" i="32"/>
  <c r="H40" i="32"/>
  <c r="L40" i="32"/>
  <c r="E40" i="32"/>
  <c r="I40" i="32"/>
  <c r="M40" i="32"/>
  <c r="N40" i="32"/>
  <c r="B40" i="32"/>
  <c r="F40" i="32"/>
  <c r="J40" i="32"/>
  <c r="K112" i="41" l="1"/>
  <c r="L112" i="41" s="1"/>
  <c r="AB51" i="32"/>
  <c r="AC51" i="32"/>
  <c r="AE51" i="32"/>
  <c r="AD51" i="32"/>
  <c r="K102" i="39"/>
  <c r="L102" i="39" s="1"/>
  <c r="B41" i="32"/>
  <c r="F41" i="32"/>
  <c r="J41" i="32"/>
  <c r="N41" i="32"/>
  <c r="C41" i="32"/>
  <c r="G41" i="32"/>
  <c r="K41" i="32"/>
  <c r="D41" i="32"/>
  <c r="H41" i="32"/>
  <c r="L41" i="32"/>
  <c r="M41" i="32"/>
  <c r="E41" i="32"/>
  <c r="I41" i="32"/>
  <c r="K102" i="40"/>
  <c r="L102" i="40" s="1"/>
  <c r="P41" i="32"/>
  <c r="T41" i="32"/>
  <c r="X41" i="32"/>
  <c r="Q41" i="32"/>
  <c r="U41" i="32"/>
  <c r="Y41" i="32"/>
  <c r="R41" i="32"/>
  <c r="V41" i="32"/>
  <c r="Z41" i="32"/>
  <c r="S41" i="32"/>
  <c r="W41" i="32"/>
  <c r="AA41" i="32"/>
  <c r="O41" i="32"/>
  <c r="K113" i="41" l="1"/>
  <c r="L113" i="41" s="1"/>
  <c r="AB52" i="32"/>
  <c r="AC52" i="32"/>
  <c r="AD52" i="32"/>
  <c r="AE52" i="32"/>
  <c r="K103" i="40"/>
  <c r="L103" i="40" s="1"/>
  <c r="O42" i="32"/>
  <c r="S42" i="32"/>
  <c r="W42" i="32"/>
  <c r="AA42" i="32"/>
  <c r="P42" i="32"/>
  <c r="T42" i="32"/>
  <c r="X42" i="32"/>
  <c r="Q42" i="32"/>
  <c r="U42" i="32"/>
  <c r="Y42" i="32"/>
  <c r="V42" i="32"/>
  <c r="Z42" i="32"/>
  <c r="R42" i="32"/>
  <c r="K103" i="39"/>
  <c r="L103" i="39" s="1"/>
  <c r="E42" i="32"/>
  <c r="I42" i="32"/>
  <c r="M42" i="32"/>
  <c r="B42" i="32"/>
  <c r="F42" i="32"/>
  <c r="J42" i="32"/>
  <c r="N42" i="32"/>
  <c r="C42" i="32"/>
  <c r="G42" i="32"/>
  <c r="K42" i="32"/>
  <c r="D42" i="32"/>
  <c r="H42" i="32"/>
  <c r="L42" i="32"/>
  <c r="K114" i="41" l="1"/>
  <c r="L114" i="41" s="1"/>
  <c r="AB53" i="32"/>
  <c r="AC53" i="32"/>
  <c r="AE53" i="32"/>
  <c r="AD53" i="32"/>
  <c r="K104" i="39"/>
  <c r="L104" i="39" s="1"/>
  <c r="D43" i="32"/>
  <c r="H43" i="32"/>
  <c r="L43" i="32"/>
  <c r="E43" i="32"/>
  <c r="I43" i="32"/>
  <c r="M43" i="32"/>
  <c r="B43" i="32"/>
  <c r="F43" i="32"/>
  <c r="J43" i="32"/>
  <c r="N43" i="32"/>
  <c r="G43" i="32"/>
  <c r="K43" i="32"/>
  <c r="C43" i="32"/>
  <c r="K104" i="40"/>
  <c r="L104" i="40" s="1"/>
  <c r="R43" i="32"/>
  <c r="V43" i="32"/>
  <c r="Z43" i="32"/>
  <c r="O43" i="32"/>
  <c r="S43" i="32"/>
  <c r="W43" i="32"/>
  <c r="AA43" i="32"/>
  <c r="P43" i="32"/>
  <c r="T43" i="32"/>
  <c r="X43" i="32"/>
  <c r="Y43" i="32"/>
  <c r="Q43" i="32"/>
  <c r="U43" i="32"/>
  <c r="K115" i="41" l="1"/>
  <c r="L115" i="41" s="1"/>
  <c r="AB54" i="32"/>
  <c r="AC54" i="32"/>
  <c r="AD54" i="32"/>
  <c r="AE54" i="32"/>
  <c r="K105" i="40"/>
  <c r="L105" i="40" s="1"/>
  <c r="Q44" i="32"/>
  <c r="U44" i="32"/>
  <c r="Y44" i="32"/>
  <c r="R44" i="32"/>
  <c r="V44" i="32"/>
  <c r="Z44" i="32"/>
  <c r="O44" i="32"/>
  <c r="S44" i="32"/>
  <c r="W44" i="32"/>
  <c r="AA44" i="32"/>
  <c r="P44" i="32"/>
  <c r="T44" i="32"/>
  <c r="X44" i="32"/>
  <c r="K105" i="39"/>
  <c r="L105" i="39" s="1"/>
  <c r="C44" i="32"/>
  <c r="G44" i="32"/>
  <c r="K44" i="32"/>
  <c r="D44" i="32"/>
  <c r="H44" i="32"/>
  <c r="L44" i="32"/>
  <c r="E44" i="32"/>
  <c r="I44" i="32"/>
  <c r="M44" i="32"/>
  <c r="J44" i="32"/>
  <c r="F44" i="32"/>
  <c r="N44" i="32"/>
  <c r="B44" i="32"/>
  <c r="K116" i="41" l="1"/>
  <c r="L116" i="41" s="1"/>
  <c r="AB55" i="32"/>
  <c r="AC55" i="32"/>
  <c r="AE55" i="32"/>
  <c r="AD55" i="32"/>
  <c r="K106" i="39"/>
  <c r="L106" i="39" s="1"/>
  <c r="B45" i="32"/>
  <c r="F45" i="32"/>
  <c r="J45" i="32"/>
  <c r="N45" i="32"/>
  <c r="C45" i="32"/>
  <c r="G45" i="32"/>
  <c r="K45" i="32"/>
  <c r="D45" i="32"/>
  <c r="H45" i="32"/>
  <c r="L45" i="32"/>
  <c r="M45" i="32"/>
  <c r="E45" i="32"/>
  <c r="I45" i="32"/>
  <c r="K106" i="40"/>
  <c r="L106" i="40" s="1"/>
  <c r="P45" i="32"/>
  <c r="T45" i="32"/>
  <c r="X45" i="32"/>
  <c r="Q45" i="32"/>
  <c r="U45" i="32"/>
  <c r="Y45" i="32"/>
  <c r="R45" i="32"/>
  <c r="V45" i="32"/>
  <c r="Z45" i="32"/>
  <c r="O45" i="32"/>
  <c r="S45" i="32"/>
  <c r="W45" i="32"/>
  <c r="AA45" i="32"/>
  <c r="K117" i="41" l="1"/>
  <c r="L117" i="41" s="1"/>
  <c r="AB56" i="32"/>
  <c r="AC56" i="32"/>
  <c r="AD56" i="32"/>
  <c r="AE56" i="32"/>
  <c r="K107" i="40"/>
  <c r="L107" i="40" s="1"/>
  <c r="O46" i="32"/>
  <c r="S46" i="32"/>
  <c r="W46" i="32"/>
  <c r="AA46" i="32"/>
  <c r="P46" i="32"/>
  <c r="T46" i="32"/>
  <c r="X46" i="32"/>
  <c r="Q46" i="32"/>
  <c r="U46" i="32"/>
  <c r="Y46" i="32"/>
  <c r="R46" i="32"/>
  <c r="V46" i="32"/>
  <c r="Z46" i="32"/>
  <c r="K107" i="39"/>
  <c r="L107" i="39" s="1"/>
  <c r="E46" i="32"/>
  <c r="I46" i="32"/>
  <c r="M46" i="32"/>
  <c r="B46" i="32"/>
  <c r="F46" i="32"/>
  <c r="J46" i="32"/>
  <c r="N46" i="32"/>
  <c r="C46" i="32"/>
  <c r="G46" i="32"/>
  <c r="K46" i="32"/>
  <c r="D46" i="32"/>
  <c r="L46" i="32"/>
  <c r="H46" i="32"/>
  <c r="K118" i="41" l="1"/>
  <c r="L118" i="41" s="1"/>
  <c r="AB57" i="32"/>
  <c r="AC57" i="32"/>
  <c r="AE57" i="32"/>
  <c r="AD57" i="32"/>
  <c r="K108" i="39"/>
  <c r="L108" i="39" s="1"/>
  <c r="D47" i="32"/>
  <c r="H47" i="32"/>
  <c r="L47" i="32"/>
  <c r="E47" i="32"/>
  <c r="I47" i="32"/>
  <c r="M47" i="32"/>
  <c r="B47" i="32"/>
  <c r="F47" i="32"/>
  <c r="J47" i="32"/>
  <c r="N47" i="32"/>
  <c r="C47" i="32"/>
  <c r="G47" i="32"/>
  <c r="K47" i="32"/>
  <c r="K108" i="40"/>
  <c r="L108" i="40" s="1"/>
  <c r="R47" i="32"/>
  <c r="V47" i="32"/>
  <c r="Z47" i="32"/>
  <c r="O47" i="32"/>
  <c r="S47" i="32"/>
  <c r="W47" i="32"/>
  <c r="AA47" i="32"/>
  <c r="P47" i="32"/>
  <c r="T47" i="32"/>
  <c r="X47" i="32"/>
  <c r="U47" i="32"/>
  <c r="Y47" i="32"/>
  <c r="Q47" i="32"/>
  <c r="K119" i="41" l="1"/>
  <c r="L119" i="41" s="1"/>
  <c r="AB58" i="32"/>
  <c r="AC58" i="32"/>
  <c r="AD58" i="32"/>
  <c r="AE58" i="32"/>
  <c r="K109" i="40"/>
  <c r="L109" i="40" s="1"/>
  <c r="Q48" i="32"/>
  <c r="U48" i="32"/>
  <c r="Y48" i="32"/>
  <c r="R48" i="32"/>
  <c r="V48" i="32"/>
  <c r="Z48" i="32"/>
  <c r="O48" i="32"/>
  <c r="S48" i="32"/>
  <c r="W48" i="32"/>
  <c r="AA48" i="32"/>
  <c r="X48" i="32"/>
  <c r="P48" i="32"/>
  <c r="T48" i="32"/>
  <c r="K109" i="39"/>
  <c r="L109" i="39" s="1"/>
  <c r="C48" i="32"/>
  <c r="G48" i="32"/>
  <c r="K48" i="32"/>
  <c r="D48" i="32"/>
  <c r="H48" i="32"/>
  <c r="L48" i="32"/>
  <c r="E48" i="32"/>
  <c r="I48" i="32"/>
  <c r="M48" i="32"/>
  <c r="F48" i="32"/>
  <c r="B48" i="32"/>
  <c r="J48" i="32"/>
  <c r="N48" i="32"/>
  <c r="K120" i="41" l="1"/>
  <c r="L120" i="41" s="1"/>
  <c r="AB59" i="32"/>
  <c r="AC59" i="32"/>
  <c r="AE59" i="32"/>
  <c r="AD59" i="32"/>
  <c r="K110" i="39"/>
  <c r="L110" i="39" s="1"/>
  <c r="B49" i="32"/>
  <c r="F49" i="32"/>
  <c r="J49" i="32"/>
  <c r="N49" i="32"/>
  <c r="C49" i="32"/>
  <c r="G49" i="32"/>
  <c r="K49" i="32"/>
  <c r="D49" i="32"/>
  <c r="H49" i="32"/>
  <c r="L49" i="32"/>
  <c r="I49" i="32"/>
  <c r="M49" i="32"/>
  <c r="E49" i="32"/>
  <c r="K110" i="40"/>
  <c r="L110" i="40" s="1"/>
  <c r="P49" i="32"/>
  <c r="T49" i="32"/>
  <c r="X49" i="32"/>
  <c r="Q49" i="32"/>
  <c r="U49" i="32"/>
  <c r="Y49" i="32"/>
  <c r="R49" i="32"/>
  <c r="V49" i="32"/>
  <c r="Z49" i="32"/>
  <c r="AA49" i="32"/>
  <c r="O49" i="32"/>
  <c r="S49" i="32"/>
  <c r="W49" i="32"/>
  <c r="K121" i="41" l="1"/>
  <c r="L121" i="41" s="1"/>
  <c r="AB60" i="32"/>
  <c r="AC60" i="32"/>
  <c r="AD60" i="32"/>
  <c r="AE60" i="32"/>
  <c r="K111" i="40"/>
  <c r="L111" i="40" s="1"/>
  <c r="O50" i="32"/>
  <c r="S50" i="32"/>
  <c r="W50" i="32"/>
  <c r="AA50" i="32"/>
  <c r="P50" i="32"/>
  <c r="T50" i="32"/>
  <c r="X50" i="32"/>
  <c r="Q50" i="32"/>
  <c r="U50" i="32"/>
  <c r="Y50" i="32"/>
  <c r="R50" i="32"/>
  <c r="V50" i="32"/>
  <c r="Z50" i="32"/>
  <c r="K111" i="39"/>
  <c r="L111" i="39" s="1"/>
  <c r="E50" i="32"/>
  <c r="I50" i="32"/>
  <c r="M50" i="32"/>
  <c r="B50" i="32"/>
  <c r="F50" i="32"/>
  <c r="J50" i="32"/>
  <c r="N50" i="32"/>
  <c r="C50" i="32"/>
  <c r="G50" i="32"/>
  <c r="K50" i="32"/>
  <c r="L50" i="32"/>
  <c r="D50" i="32"/>
  <c r="H50" i="32"/>
  <c r="K122" i="41" l="1"/>
  <c r="L122" i="41" s="1"/>
  <c r="AB61" i="32"/>
  <c r="AC61" i="32"/>
  <c r="AE61" i="32"/>
  <c r="AD61" i="32"/>
  <c r="K112" i="39"/>
  <c r="L112" i="39" s="1"/>
  <c r="D51" i="32"/>
  <c r="H51" i="32"/>
  <c r="L51" i="32"/>
  <c r="E51" i="32"/>
  <c r="I51" i="32"/>
  <c r="M51" i="32"/>
  <c r="B51" i="32"/>
  <c r="J51" i="32"/>
  <c r="G51" i="32"/>
  <c r="C51" i="32"/>
  <c r="K51" i="32"/>
  <c r="F51" i="32"/>
  <c r="N51" i="32"/>
  <c r="K112" i="40"/>
  <c r="L112" i="40" s="1"/>
  <c r="R51" i="32"/>
  <c r="V51" i="32"/>
  <c r="Z51" i="32"/>
  <c r="O51" i="32"/>
  <c r="S51" i="32"/>
  <c r="W51" i="32"/>
  <c r="AA51" i="32"/>
  <c r="P51" i="32"/>
  <c r="T51" i="32"/>
  <c r="X51" i="32"/>
  <c r="Q51" i="32"/>
  <c r="U51" i="32"/>
  <c r="Y51" i="32"/>
  <c r="K123" i="41" l="1"/>
  <c r="L123" i="41" s="1"/>
  <c r="AB62" i="32"/>
  <c r="AC62" i="32"/>
  <c r="AD62" i="32"/>
  <c r="AE62" i="32"/>
  <c r="K113" i="40"/>
  <c r="L113" i="40" s="1"/>
  <c r="Q52" i="32"/>
  <c r="U52" i="32"/>
  <c r="Y52" i="32"/>
  <c r="R52" i="32"/>
  <c r="V52" i="32"/>
  <c r="Z52" i="32"/>
  <c r="O52" i="32"/>
  <c r="S52" i="32"/>
  <c r="T52" i="32"/>
  <c r="W52" i="32"/>
  <c r="X52" i="32"/>
  <c r="P52" i="32"/>
  <c r="AA52" i="32"/>
  <c r="K113" i="39"/>
  <c r="L113" i="39" s="1"/>
  <c r="C52" i="32"/>
  <c r="G52" i="32"/>
  <c r="K52" i="32"/>
  <c r="D52" i="32"/>
  <c r="H52" i="32"/>
  <c r="L52" i="32"/>
  <c r="E52" i="32"/>
  <c r="M52" i="32"/>
  <c r="J52" i="32"/>
  <c r="F52" i="32"/>
  <c r="N52" i="32"/>
  <c r="B52" i="32"/>
  <c r="I52" i="32"/>
  <c r="K124" i="41" l="1"/>
  <c r="L124" i="41" s="1"/>
  <c r="AB63" i="32"/>
  <c r="AC63" i="32"/>
  <c r="AE63" i="32"/>
  <c r="AD63" i="32"/>
  <c r="K114" i="39"/>
  <c r="L114" i="39" s="1"/>
  <c r="B53" i="32"/>
  <c r="F53" i="32"/>
  <c r="J53" i="32"/>
  <c r="N53" i="32"/>
  <c r="C53" i="32"/>
  <c r="G53" i="32"/>
  <c r="K53" i="32"/>
  <c r="H53" i="32"/>
  <c r="I53" i="32"/>
  <c r="M53" i="32"/>
  <c r="D53" i="32"/>
  <c r="L53" i="32"/>
  <c r="E53" i="32"/>
  <c r="K114" i="40"/>
  <c r="L114" i="40" s="1"/>
  <c r="P53" i="32"/>
  <c r="T53" i="32"/>
  <c r="X53" i="32"/>
  <c r="Q53" i="32"/>
  <c r="U53" i="32"/>
  <c r="Y53" i="32"/>
  <c r="O53" i="32"/>
  <c r="W53" i="32"/>
  <c r="R53" i="32"/>
  <c r="Z53" i="32"/>
  <c r="S53" i="32"/>
  <c r="AA53" i="32"/>
  <c r="V53" i="32"/>
  <c r="K125" i="41" l="1"/>
  <c r="L125" i="41" s="1"/>
  <c r="AB64" i="32"/>
  <c r="AC64" i="32"/>
  <c r="AD64" i="32"/>
  <c r="AE64" i="32"/>
  <c r="K115" i="40"/>
  <c r="L115" i="40" s="1"/>
  <c r="O54" i="32"/>
  <c r="S54" i="32"/>
  <c r="W54" i="32"/>
  <c r="AA54" i="32"/>
  <c r="P54" i="32"/>
  <c r="T54" i="32"/>
  <c r="X54" i="32"/>
  <c r="R54" i="32"/>
  <c r="Z54" i="32"/>
  <c r="U54" i="32"/>
  <c r="V54" i="32"/>
  <c r="Y54" i="32"/>
  <c r="Q54" i="32"/>
  <c r="K115" i="39"/>
  <c r="L115" i="39" s="1"/>
  <c r="E54" i="32"/>
  <c r="I54" i="32"/>
  <c r="M54" i="32"/>
  <c r="B54" i="32"/>
  <c r="F54" i="32"/>
  <c r="J54" i="32"/>
  <c r="N54" i="32"/>
  <c r="C54" i="32"/>
  <c r="K54" i="32"/>
  <c r="H54" i="32"/>
  <c r="D54" i="32"/>
  <c r="L54" i="32"/>
  <c r="G54" i="32"/>
  <c r="K126" i="41" l="1"/>
  <c r="L126" i="41" s="1"/>
  <c r="AC65" i="32"/>
  <c r="AD65" i="32"/>
  <c r="AE65" i="32"/>
  <c r="AB65" i="32"/>
  <c r="K116" i="39"/>
  <c r="L116" i="39" s="1"/>
  <c r="D55" i="32"/>
  <c r="H55" i="32"/>
  <c r="L55" i="32"/>
  <c r="E55" i="32"/>
  <c r="I55" i="32"/>
  <c r="M55" i="32"/>
  <c r="F55" i="32"/>
  <c r="N55" i="32"/>
  <c r="G55" i="32"/>
  <c r="J55" i="32"/>
  <c r="C55" i="32"/>
  <c r="B55" i="32"/>
  <c r="K55" i="32"/>
  <c r="K116" i="40"/>
  <c r="L116" i="40" s="1"/>
  <c r="R55" i="32"/>
  <c r="V55" i="32"/>
  <c r="Z55" i="32"/>
  <c r="O55" i="32"/>
  <c r="S55" i="32"/>
  <c r="W55" i="32"/>
  <c r="AA55" i="32"/>
  <c r="U55" i="32"/>
  <c r="P55" i="32"/>
  <c r="X55" i="32"/>
  <c r="Q55" i="32"/>
  <c r="Y55" i="32"/>
  <c r="T55" i="32"/>
  <c r="K127" i="41" l="1"/>
  <c r="L127" i="41" s="1"/>
  <c r="AC66" i="32"/>
  <c r="AE66" i="32"/>
  <c r="AB66" i="32"/>
  <c r="AD66" i="32"/>
  <c r="K117" i="40"/>
  <c r="L117" i="40" s="1"/>
  <c r="Q56" i="32"/>
  <c r="U56" i="32"/>
  <c r="Y56" i="32"/>
  <c r="R56" i="32"/>
  <c r="V56" i="32"/>
  <c r="Z56" i="32"/>
  <c r="P56" i="32"/>
  <c r="X56" i="32"/>
  <c r="S56" i="32"/>
  <c r="AA56" i="32"/>
  <c r="T56" i="32"/>
  <c r="O56" i="32"/>
  <c r="W56" i="32"/>
  <c r="K117" i="39"/>
  <c r="L117" i="39" s="1"/>
  <c r="C56" i="32"/>
  <c r="G56" i="32"/>
  <c r="K56" i="32"/>
  <c r="D56" i="32"/>
  <c r="H56" i="32"/>
  <c r="L56" i="32"/>
  <c r="I56" i="32"/>
  <c r="E56" i="32"/>
  <c r="F56" i="32"/>
  <c r="B56" i="32"/>
  <c r="J56" i="32"/>
  <c r="N56" i="32"/>
  <c r="M56" i="32"/>
  <c r="K128" i="41" l="1"/>
  <c r="L128" i="41" s="1"/>
  <c r="AC67" i="32"/>
  <c r="AB67" i="32"/>
  <c r="AE67" i="32"/>
  <c r="AD67" i="32"/>
  <c r="K118" i="39"/>
  <c r="L118" i="39" s="1"/>
  <c r="B57" i="32"/>
  <c r="F57" i="32"/>
  <c r="J57" i="32"/>
  <c r="N57" i="32"/>
  <c r="C57" i="32"/>
  <c r="G57" i="32"/>
  <c r="K57" i="32"/>
  <c r="D57" i="32"/>
  <c r="L57" i="32"/>
  <c r="I57" i="32"/>
  <c r="E57" i="32"/>
  <c r="M57" i="32"/>
  <c r="H57" i="32"/>
  <c r="K118" i="40"/>
  <c r="L118" i="40" s="1"/>
  <c r="P57" i="32"/>
  <c r="T57" i="32"/>
  <c r="X57" i="32"/>
  <c r="Q57" i="32"/>
  <c r="U57" i="32"/>
  <c r="Y57" i="32"/>
  <c r="S57" i="32"/>
  <c r="AA57" i="32"/>
  <c r="V57" i="32"/>
  <c r="O57" i="32"/>
  <c r="W57" i="32"/>
  <c r="R57" i="32"/>
  <c r="Z57" i="32"/>
  <c r="K129" i="41" l="1"/>
  <c r="L129" i="41" s="1"/>
  <c r="AC68" i="32"/>
  <c r="AB68" i="32"/>
  <c r="AD68" i="32"/>
  <c r="AE68" i="32"/>
  <c r="K119" i="40"/>
  <c r="L119" i="40" s="1"/>
  <c r="O58" i="32"/>
  <c r="S58" i="32"/>
  <c r="W58" i="32"/>
  <c r="AA58" i="32"/>
  <c r="P58" i="32"/>
  <c r="T58" i="32"/>
  <c r="X58" i="32"/>
  <c r="V58" i="32"/>
  <c r="Q58" i="32"/>
  <c r="Y58" i="32"/>
  <c r="R58" i="32"/>
  <c r="Z58" i="32"/>
  <c r="U58" i="32"/>
  <c r="K119" i="39"/>
  <c r="L119" i="39" s="1"/>
  <c r="E58" i="32"/>
  <c r="I58" i="32"/>
  <c r="M58" i="32"/>
  <c r="B58" i="32"/>
  <c r="F58" i="32"/>
  <c r="J58" i="32"/>
  <c r="N58" i="32"/>
  <c r="G58" i="32"/>
  <c r="H58" i="32"/>
  <c r="D58" i="32"/>
  <c r="C58" i="32"/>
  <c r="K58" i="32"/>
  <c r="L58" i="32"/>
  <c r="K130" i="41" l="1"/>
  <c r="L130" i="41" s="1"/>
  <c r="AC69" i="32"/>
  <c r="AD69" i="32"/>
  <c r="AE69" i="32"/>
  <c r="AB69" i="32"/>
  <c r="K120" i="39"/>
  <c r="L120" i="39" s="1"/>
  <c r="D59" i="32"/>
  <c r="H59" i="32"/>
  <c r="L59" i="32"/>
  <c r="E59" i="32"/>
  <c r="I59" i="32"/>
  <c r="M59" i="32"/>
  <c r="B59" i="32"/>
  <c r="J59" i="32"/>
  <c r="G59" i="32"/>
  <c r="C59" i="32"/>
  <c r="K59" i="32"/>
  <c r="F59" i="32"/>
  <c r="N59" i="32"/>
  <c r="K120" i="40"/>
  <c r="L120" i="40" s="1"/>
  <c r="R59" i="32"/>
  <c r="V59" i="32"/>
  <c r="Z59" i="32"/>
  <c r="O59" i="32"/>
  <c r="S59" i="32"/>
  <c r="W59" i="32"/>
  <c r="AA59" i="32"/>
  <c r="Q59" i="32"/>
  <c r="Y59" i="32"/>
  <c r="T59" i="32"/>
  <c r="U59" i="32"/>
  <c r="X59" i="32"/>
  <c r="P59" i="32"/>
  <c r="K131" i="41" l="1"/>
  <c r="L131" i="41" s="1"/>
  <c r="AC70" i="32"/>
  <c r="AE70" i="32"/>
  <c r="AD70" i="32"/>
  <c r="AB70" i="32"/>
  <c r="K121" i="40"/>
  <c r="L121" i="40" s="1"/>
  <c r="Q60" i="32"/>
  <c r="U60" i="32"/>
  <c r="Y60" i="32"/>
  <c r="R60" i="32"/>
  <c r="V60" i="32"/>
  <c r="Z60" i="32"/>
  <c r="T60" i="32"/>
  <c r="O60" i="32"/>
  <c r="W60" i="32"/>
  <c r="P60" i="32"/>
  <c r="X60" i="32"/>
  <c r="S60" i="32"/>
  <c r="AA60" i="32"/>
  <c r="K121" i="39"/>
  <c r="L121" i="39" s="1"/>
  <c r="C60" i="32"/>
  <c r="G60" i="32"/>
  <c r="K60" i="32"/>
  <c r="D60" i="32"/>
  <c r="H60" i="32"/>
  <c r="L60" i="32"/>
  <c r="E60" i="32"/>
  <c r="M60" i="32"/>
  <c r="F60" i="32"/>
  <c r="N60" i="32"/>
  <c r="B60" i="32"/>
  <c r="I60" i="32"/>
  <c r="J60" i="32"/>
  <c r="K132" i="41" l="1"/>
  <c r="L132" i="41" s="1"/>
  <c r="AC71" i="32"/>
  <c r="AB71" i="32"/>
  <c r="AD71" i="32"/>
  <c r="AE71" i="32"/>
  <c r="K122" i="39"/>
  <c r="L122" i="39" s="1"/>
  <c r="B61" i="32"/>
  <c r="F61" i="32"/>
  <c r="J61" i="32"/>
  <c r="N61" i="32"/>
  <c r="C61" i="32"/>
  <c r="G61" i="32"/>
  <c r="K61" i="32"/>
  <c r="H61" i="32"/>
  <c r="E61" i="32"/>
  <c r="I61" i="32"/>
  <c r="M61" i="32"/>
  <c r="D61" i="32"/>
  <c r="L61" i="32"/>
  <c r="K122" i="40"/>
  <c r="L122" i="40" s="1"/>
  <c r="P61" i="32"/>
  <c r="T61" i="32"/>
  <c r="X61" i="32"/>
  <c r="Q61" i="32"/>
  <c r="U61" i="32"/>
  <c r="Y61" i="32"/>
  <c r="O61" i="32"/>
  <c r="W61" i="32"/>
  <c r="R61" i="32"/>
  <c r="Z61" i="32"/>
  <c r="S61" i="32"/>
  <c r="AA61" i="32"/>
  <c r="V61" i="32"/>
  <c r="K133" i="41" l="1"/>
  <c r="L133" i="41" s="1"/>
  <c r="AC72" i="32"/>
  <c r="AB72" i="32"/>
  <c r="AD72" i="32"/>
  <c r="AE72" i="32"/>
  <c r="K123" i="40"/>
  <c r="L123" i="40" s="1"/>
  <c r="O62" i="32"/>
  <c r="S62" i="32"/>
  <c r="W62" i="32"/>
  <c r="AA62" i="32"/>
  <c r="P62" i="32"/>
  <c r="T62" i="32"/>
  <c r="X62" i="32"/>
  <c r="R62" i="32"/>
  <c r="Z62" i="32"/>
  <c r="U62" i="32"/>
  <c r="V62" i="32"/>
  <c r="Q62" i="32"/>
  <c r="Y62" i="32"/>
  <c r="K123" i="39"/>
  <c r="L123" i="39" s="1"/>
  <c r="E62" i="32"/>
  <c r="I62" i="32"/>
  <c r="M62" i="32"/>
  <c r="B62" i="32"/>
  <c r="F62" i="32"/>
  <c r="J62" i="32"/>
  <c r="N62" i="32"/>
  <c r="C62" i="32"/>
  <c r="K62" i="32"/>
  <c r="D62" i="32"/>
  <c r="L62" i="32"/>
  <c r="G62" i="32"/>
  <c r="H62" i="32"/>
  <c r="K134" i="41" l="1"/>
  <c r="L134" i="41" s="1"/>
  <c r="AC73" i="32"/>
  <c r="AD73" i="32"/>
  <c r="AE73" i="32"/>
  <c r="AB73" i="32"/>
  <c r="K124" i="39"/>
  <c r="L124" i="39" s="1"/>
  <c r="D63" i="32"/>
  <c r="H63" i="32"/>
  <c r="L63" i="32"/>
  <c r="E63" i="32"/>
  <c r="I63" i="32"/>
  <c r="M63" i="32"/>
  <c r="F63" i="32"/>
  <c r="N63" i="32"/>
  <c r="K63" i="32"/>
  <c r="G63" i="32"/>
  <c r="C63" i="32"/>
  <c r="B63" i="32"/>
  <c r="J63" i="32"/>
  <c r="K124" i="40"/>
  <c r="L124" i="40" s="1"/>
  <c r="R63" i="32"/>
  <c r="V63" i="32"/>
  <c r="Z63" i="32"/>
  <c r="O63" i="32"/>
  <c r="S63" i="32"/>
  <c r="W63" i="32"/>
  <c r="AA63" i="32"/>
  <c r="U63" i="32"/>
  <c r="P63" i="32"/>
  <c r="X63" i="32"/>
  <c r="Q63" i="32"/>
  <c r="Y63" i="32"/>
  <c r="T63" i="32"/>
  <c r="K135" i="41" l="1"/>
  <c r="L135" i="41" s="1"/>
  <c r="AC74" i="32"/>
  <c r="AE74" i="32"/>
  <c r="AD74" i="32"/>
  <c r="AB74" i="32"/>
  <c r="K125" i="40"/>
  <c r="L125" i="40" s="1"/>
  <c r="Q64" i="32"/>
  <c r="U64" i="32"/>
  <c r="Y64" i="32"/>
  <c r="R64" i="32"/>
  <c r="V64" i="32"/>
  <c r="Z64" i="32"/>
  <c r="P64" i="32"/>
  <c r="X64" i="32"/>
  <c r="S64" i="32"/>
  <c r="AA64" i="32"/>
  <c r="T64" i="32"/>
  <c r="W64" i="32"/>
  <c r="O64" i="32"/>
  <c r="K125" i="39"/>
  <c r="L125" i="39" s="1"/>
  <c r="C64" i="32"/>
  <c r="G64" i="32"/>
  <c r="K64" i="32"/>
  <c r="D64" i="32"/>
  <c r="H64" i="32"/>
  <c r="L64" i="32"/>
  <c r="I64" i="32"/>
  <c r="B64" i="32"/>
  <c r="J64" i="32"/>
  <c r="N64" i="32"/>
  <c r="E64" i="32"/>
  <c r="M64" i="32"/>
  <c r="F64" i="32"/>
  <c r="K136" i="41" l="1"/>
  <c r="L136" i="41" s="1"/>
  <c r="AC75" i="32"/>
  <c r="AB75" i="32"/>
  <c r="AE75" i="32"/>
  <c r="AD75" i="32"/>
  <c r="K126" i="39"/>
  <c r="L126" i="39" s="1"/>
  <c r="B65" i="32"/>
  <c r="F65" i="32"/>
  <c r="J65" i="32"/>
  <c r="N65" i="32"/>
  <c r="C65" i="32"/>
  <c r="G65" i="32"/>
  <c r="K65" i="32"/>
  <c r="D65" i="32"/>
  <c r="L65" i="32"/>
  <c r="I65" i="32"/>
  <c r="E65" i="32"/>
  <c r="M65" i="32"/>
  <c r="H65" i="32"/>
  <c r="K126" i="40"/>
  <c r="L126" i="40" s="1"/>
  <c r="P65" i="32"/>
  <c r="T65" i="32"/>
  <c r="X65" i="32"/>
  <c r="Q65" i="32"/>
  <c r="U65" i="32"/>
  <c r="Y65" i="32"/>
  <c r="S65" i="32"/>
  <c r="AA65" i="32"/>
  <c r="V65" i="32"/>
  <c r="O65" i="32"/>
  <c r="W65" i="32"/>
  <c r="R65" i="32"/>
  <c r="Z65" i="32"/>
  <c r="K137" i="41" l="1"/>
  <c r="L137" i="41" s="1"/>
  <c r="AC76" i="32"/>
  <c r="AB76" i="32"/>
  <c r="AD76" i="32"/>
  <c r="AE76" i="32"/>
  <c r="K127" i="40"/>
  <c r="L127" i="40" s="1"/>
  <c r="O66" i="32"/>
  <c r="S66" i="32"/>
  <c r="W66" i="32"/>
  <c r="AA66" i="32"/>
  <c r="P66" i="32"/>
  <c r="T66" i="32"/>
  <c r="X66" i="32"/>
  <c r="V66" i="32"/>
  <c r="Q66" i="32"/>
  <c r="Y66" i="32"/>
  <c r="R66" i="32"/>
  <c r="Z66" i="32"/>
  <c r="U66" i="32"/>
  <c r="K127" i="39"/>
  <c r="L127" i="39" s="1"/>
  <c r="E66" i="32"/>
  <c r="I66" i="32"/>
  <c r="M66" i="32"/>
  <c r="B66" i="32"/>
  <c r="F66" i="32"/>
  <c r="J66" i="32"/>
  <c r="N66" i="32"/>
  <c r="G66" i="32"/>
  <c r="L66" i="32"/>
  <c r="H66" i="32"/>
  <c r="C66" i="32"/>
  <c r="K66" i="32"/>
  <c r="D66" i="32"/>
  <c r="K138" i="41" l="1"/>
  <c r="L138" i="41" s="1"/>
  <c r="AC77" i="32"/>
  <c r="AD77" i="32"/>
  <c r="AE77" i="32"/>
  <c r="AB77" i="32"/>
  <c r="K128" i="39"/>
  <c r="L128" i="39" s="1"/>
  <c r="D67" i="32"/>
  <c r="H67" i="32"/>
  <c r="L67" i="32"/>
  <c r="E67" i="32"/>
  <c r="I67" i="32"/>
  <c r="M67" i="32"/>
  <c r="B67" i="32"/>
  <c r="J67" i="32"/>
  <c r="C67" i="32"/>
  <c r="K67" i="32"/>
  <c r="G67" i="32"/>
  <c r="F67" i="32"/>
  <c r="N67" i="32"/>
  <c r="K128" i="40"/>
  <c r="L128" i="40" s="1"/>
  <c r="R67" i="32"/>
  <c r="V67" i="32"/>
  <c r="Z67" i="32"/>
  <c r="O67" i="32"/>
  <c r="S67" i="32"/>
  <c r="W67" i="32"/>
  <c r="AA67" i="32"/>
  <c r="Q67" i="32"/>
  <c r="Y67" i="32"/>
  <c r="T67" i="32"/>
  <c r="U67" i="32"/>
  <c r="P67" i="32"/>
  <c r="X67" i="32"/>
  <c r="K139" i="41" l="1"/>
  <c r="L139" i="41" s="1"/>
  <c r="AC78" i="32"/>
  <c r="AE78" i="32"/>
  <c r="AD78" i="32"/>
  <c r="AB78" i="32"/>
  <c r="K129" i="40"/>
  <c r="L129" i="40" s="1"/>
  <c r="Q68" i="32"/>
  <c r="U68" i="32"/>
  <c r="Y68" i="32"/>
  <c r="R68" i="32"/>
  <c r="V68" i="32"/>
  <c r="Z68" i="32"/>
  <c r="T68" i="32"/>
  <c r="O68" i="32"/>
  <c r="W68" i="32"/>
  <c r="P68" i="32"/>
  <c r="X68" i="32"/>
  <c r="S68" i="32"/>
  <c r="AA68" i="32"/>
  <c r="K129" i="39"/>
  <c r="L129" i="39" s="1"/>
  <c r="C68" i="32"/>
  <c r="G68" i="32"/>
  <c r="K68" i="32"/>
  <c r="D68" i="32"/>
  <c r="H68" i="32"/>
  <c r="L68" i="32"/>
  <c r="E68" i="32"/>
  <c r="M68" i="32"/>
  <c r="B68" i="32"/>
  <c r="F68" i="32"/>
  <c r="N68" i="32"/>
  <c r="I68" i="32"/>
  <c r="J68" i="32"/>
  <c r="K140" i="41" l="1"/>
  <c r="L140" i="41" s="1"/>
  <c r="AC79" i="32"/>
  <c r="AB79" i="32"/>
  <c r="AE79" i="32"/>
  <c r="AD79" i="32"/>
  <c r="K130" i="39"/>
  <c r="L130" i="39" s="1"/>
  <c r="B69" i="32"/>
  <c r="F69" i="32"/>
  <c r="J69" i="32"/>
  <c r="N69" i="32"/>
  <c r="C69" i="32"/>
  <c r="G69" i="32"/>
  <c r="K69" i="32"/>
  <c r="H69" i="32"/>
  <c r="D69" i="32"/>
  <c r="M69" i="32"/>
  <c r="I69" i="32"/>
  <c r="E69" i="32"/>
  <c r="L69" i="32"/>
  <c r="K130" i="40"/>
  <c r="L130" i="40" s="1"/>
  <c r="P69" i="32"/>
  <c r="T69" i="32"/>
  <c r="X69" i="32"/>
  <c r="Q69" i="32"/>
  <c r="U69" i="32"/>
  <c r="Y69" i="32"/>
  <c r="O69" i="32"/>
  <c r="W69" i="32"/>
  <c r="R69" i="32"/>
  <c r="Z69" i="32"/>
  <c r="S69" i="32"/>
  <c r="AA69" i="32"/>
  <c r="V69" i="32"/>
  <c r="K141" i="41" l="1"/>
  <c r="L141" i="41" s="1"/>
  <c r="AC80" i="32"/>
  <c r="AB80" i="32"/>
  <c r="AD80" i="32"/>
  <c r="AE80" i="32"/>
  <c r="K131" i="40"/>
  <c r="L131" i="40" s="1"/>
  <c r="O70" i="32"/>
  <c r="S70" i="32"/>
  <c r="W70" i="32"/>
  <c r="AA70" i="32"/>
  <c r="P70" i="32"/>
  <c r="T70" i="32"/>
  <c r="X70" i="32"/>
  <c r="R70" i="32"/>
  <c r="Z70" i="32"/>
  <c r="U70" i="32"/>
  <c r="V70" i="32"/>
  <c r="Q70" i="32"/>
  <c r="Y70" i="32"/>
  <c r="K131" i="39"/>
  <c r="L131" i="39" s="1"/>
  <c r="E70" i="32"/>
  <c r="I70" i="32"/>
  <c r="M70" i="32"/>
  <c r="B70" i="32"/>
  <c r="F70" i="32"/>
  <c r="J70" i="32"/>
  <c r="N70" i="32"/>
  <c r="C70" i="32"/>
  <c r="K70" i="32"/>
  <c r="D70" i="32"/>
  <c r="L70" i="32"/>
  <c r="G70" i="32"/>
  <c r="H70" i="32"/>
  <c r="K142" i="41" l="1"/>
  <c r="L142" i="41" s="1"/>
  <c r="AC81" i="32"/>
  <c r="AD81" i="32"/>
  <c r="AE81" i="32"/>
  <c r="AB81" i="32"/>
  <c r="K132" i="39"/>
  <c r="L132" i="39" s="1"/>
  <c r="D71" i="32"/>
  <c r="H71" i="32"/>
  <c r="L71" i="32"/>
  <c r="E71" i="32"/>
  <c r="I71" i="32"/>
  <c r="M71" i="32"/>
  <c r="F71" i="32"/>
  <c r="N71" i="32"/>
  <c r="B71" i="32"/>
  <c r="K71" i="32"/>
  <c r="G71" i="32"/>
  <c r="J71" i="32"/>
  <c r="C71" i="32"/>
  <c r="K132" i="40"/>
  <c r="L132" i="40" s="1"/>
  <c r="R71" i="32"/>
  <c r="V71" i="32"/>
  <c r="Z71" i="32"/>
  <c r="O71" i="32"/>
  <c r="S71" i="32"/>
  <c r="W71" i="32"/>
  <c r="AA71" i="32"/>
  <c r="U71" i="32"/>
  <c r="P71" i="32"/>
  <c r="X71" i="32"/>
  <c r="Q71" i="32"/>
  <c r="Y71" i="32"/>
  <c r="T71" i="32"/>
  <c r="K143" i="41" l="1"/>
  <c r="L143" i="41" s="1"/>
  <c r="AC82" i="32"/>
  <c r="AE82" i="32"/>
  <c r="AD82" i="32"/>
  <c r="AB82" i="32"/>
  <c r="K133" i="40"/>
  <c r="L133" i="40" s="1"/>
  <c r="Q72" i="32"/>
  <c r="U72" i="32"/>
  <c r="Y72" i="32"/>
  <c r="R72" i="32"/>
  <c r="V72" i="32"/>
  <c r="Z72" i="32"/>
  <c r="P72" i="32"/>
  <c r="X72" i="32"/>
  <c r="S72" i="32"/>
  <c r="AA72" i="32"/>
  <c r="T72" i="32"/>
  <c r="O72" i="32"/>
  <c r="W72" i="32"/>
  <c r="K133" i="39"/>
  <c r="L133" i="39" s="1"/>
  <c r="C72" i="32"/>
  <c r="G72" i="32"/>
  <c r="K72" i="32"/>
  <c r="D72" i="32"/>
  <c r="H72" i="32"/>
  <c r="L72" i="32"/>
  <c r="I72" i="32"/>
  <c r="M72" i="32"/>
  <c r="B72" i="32"/>
  <c r="J72" i="32"/>
  <c r="N72" i="32"/>
  <c r="E72" i="32"/>
  <c r="F72" i="32"/>
  <c r="K144" i="41" l="1"/>
  <c r="L144" i="41" s="1"/>
  <c r="AC83" i="32"/>
  <c r="AB83" i="32"/>
  <c r="AE83" i="32"/>
  <c r="AD83" i="32"/>
  <c r="K134" i="39"/>
  <c r="L134" i="39" s="1"/>
  <c r="B73" i="32"/>
  <c r="F73" i="32"/>
  <c r="J73" i="32"/>
  <c r="N73" i="32"/>
  <c r="C73" i="32"/>
  <c r="G73" i="32"/>
  <c r="K73" i="32"/>
  <c r="D73" i="32"/>
  <c r="L73" i="32"/>
  <c r="I73" i="32"/>
  <c r="E73" i="32"/>
  <c r="M73" i="32"/>
  <c r="H73" i="32"/>
  <c r="K134" i="40"/>
  <c r="L134" i="40" s="1"/>
  <c r="P73" i="32"/>
  <c r="T73" i="32"/>
  <c r="X73" i="32"/>
  <c r="Q73" i="32"/>
  <c r="U73" i="32"/>
  <c r="Y73" i="32"/>
  <c r="S73" i="32"/>
  <c r="AA73" i="32"/>
  <c r="V73" i="32"/>
  <c r="O73" i="32"/>
  <c r="W73" i="32"/>
  <c r="R73" i="32"/>
  <c r="Z73" i="32"/>
  <c r="K145" i="41" l="1"/>
  <c r="L145" i="41" s="1"/>
  <c r="AC84" i="32"/>
  <c r="AB84" i="32"/>
  <c r="AD84" i="32"/>
  <c r="AE84" i="32"/>
  <c r="K135" i="40"/>
  <c r="L135" i="40" s="1"/>
  <c r="O74" i="32"/>
  <c r="S74" i="32"/>
  <c r="W74" i="32"/>
  <c r="AA74" i="32"/>
  <c r="P74" i="32"/>
  <c r="T74" i="32"/>
  <c r="X74" i="32"/>
  <c r="V74" i="32"/>
  <c r="Q74" i="32"/>
  <c r="Y74" i="32"/>
  <c r="R74" i="32"/>
  <c r="Z74" i="32"/>
  <c r="U74" i="32"/>
  <c r="K135" i="39"/>
  <c r="L135" i="39" s="1"/>
  <c r="E74" i="32"/>
  <c r="I74" i="32"/>
  <c r="M74" i="32"/>
  <c r="B74" i="32"/>
  <c r="F74" i="32"/>
  <c r="J74" i="32"/>
  <c r="N74" i="32"/>
  <c r="G74" i="32"/>
  <c r="K74" i="32"/>
  <c r="H74" i="32"/>
  <c r="L74" i="32"/>
  <c r="C74" i="32"/>
  <c r="D74" i="32"/>
  <c r="K146" i="41" l="1"/>
  <c r="L146" i="41" s="1"/>
  <c r="AC85" i="32"/>
  <c r="AD85" i="32"/>
  <c r="AE85" i="32"/>
  <c r="AB85" i="32"/>
  <c r="K136" i="39"/>
  <c r="L136" i="39" s="1"/>
  <c r="D75" i="32"/>
  <c r="H75" i="32"/>
  <c r="L75" i="32"/>
  <c r="E75" i="32"/>
  <c r="I75" i="32"/>
  <c r="M75" i="32"/>
  <c r="B75" i="32"/>
  <c r="J75" i="32"/>
  <c r="N75" i="32"/>
  <c r="G75" i="32"/>
  <c r="C75" i="32"/>
  <c r="K75" i="32"/>
  <c r="F75" i="32"/>
  <c r="K136" i="40"/>
  <c r="L136" i="40" s="1"/>
  <c r="R75" i="32"/>
  <c r="V75" i="32"/>
  <c r="Z75" i="32"/>
  <c r="O75" i="32"/>
  <c r="S75" i="32"/>
  <c r="W75" i="32"/>
  <c r="AA75" i="32"/>
  <c r="Q75" i="32"/>
  <c r="Y75" i="32"/>
  <c r="T75" i="32"/>
  <c r="U75" i="32"/>
  <c r="P75" i="32"/>
  <c r="X75" i="32"/>
  <c r="K147" i="41" l="1"/>
  <c r="L147" i="41" s="1"/>
  <c r="AC86" i="32"/>
  <c r="AE86" i="32"/>
  <c r="AD86" i="32"/>
  <c r="AB86" i="32"/>
  <c r="K137" i="40"/>
  <c r="L137" i="40" s="1"/>
  <c r="Q76" i="32"/>
  <c r="U76" i="32"/>
  <c r="Y76" i="32"/>
  <c r="R76" i="32"/>
  <c r="V76" i="32"/>
  <c r="Z76" i="32"/>
  <c r="T76" i="32"/>
  <c r="O76" i="32"/>
  <c r="W76" i="32"/>
  <c r="P76" i="32"/>
  <c r="X76" i="32"/>
  <c r="AA76" i="32"/>
  <c r="S76" i="32"/>
  <c r="K137" i="39"/>
  <c r="L137" i="39" s="1"/>
  <c r="C76" i="32"/>
  <c r="G76" i="32"/>
  <c r="K76" i="32"/>
  <c r="D76" i="32"/>
  <c r="H76" i="32"/>
  <c r="L76" i="32"/>
  <c r="E76" i="32"/>
  <c r="M76" i="32"/>
  <c r="F76" i="32"/>
  <c r="N76" i="32"/>
  <c r="I76" i="32"/>
  <c r="J76" i="32"/>
  <c r="B76" i="32"/>
  <c r="K148" i="41" l="1"/>
  <c r="L148" i="41" s="1"/>
  <c r="AC87" i="32"/>
  <c r="AB87" i="32"/>
  <c r="AE87" i="32"/>
  <c r="AD87" i="32"/>
  <c r="K138" i="39"/>
  <c r="L138" i="39" s="1"/>
  <c r="B77" i="32"/>
  <c r="F77" i="32"/>
  <c r="J77" i="32"/>
  <c r="N77" i="32"/>
  <c r="C77" i="32"/>
  <c r="G77" i="32"/>
  <c r="K77" i="32"/>
  <c r="H77" i="32"/>
  <c r="L77" i="32"/>
  <c r="E77" i="32"/>
  <c r="I77" i="32"/>
  <c r="D77" i="32"/>
  <c r="M77" i="32"/>
  <c r="K138" i="40"/>
  <c r="L138" i="40" s="1"/>
  <c r="P77" i="32"/>
  <c r="T77" i="32"/>
  <c r="X77" i="32"/>
  <c r="Q77" i="32"/>
  <c r="U77" i="32"/>
  <c r="O77" i="32"/>
  <c r="W77" i="32"/>
  <c r="R77" i="32"/>
  <c r="Y77" i="32"/>
  <c r="S77" i="32"/>
  <c r="Z77" i="32"/>
  <c r="V77" i="32"/>
  <c r="AA77" i="32"/>
  <c r="K149" i="41" l="1"/>
  <c r="L149" i="41" s="1"/>
  <c r="AB88" i="32"/>
  <c r="AC88" i="32"/>
  <c r="AE88" i="32"/>
  <c r="AD88" i="32"/>
  <c r="K139" i="40"/>
  <c r="L139" i="40" s="1"/>
  <c r="O78" i="32"/>
  <c r="S78" i="32"/>
  <c r="W78" i="32"/>
  <c r="AA78" i="32"/>
  <c r="P78" i="32"/>
  <c r="T78" i="32"/>
  <c r="X78" i="32"/>
  <c r="Q78" i="32"/>
  <c r="U78" i="32"/>
  <c r="Y78" i="32"/>
  <c r="V78" i="32"/>
  <c r="Z78" i="32"/>
  <c r="R78" i="32"/>
  <c r="K139" i="39"/>
  <c r="L139" i="39" s="1"/>
  <c r="E78" i="32"/>
  <c r="I78" i="32"/>
  <c r="M78" i="32"/>
  <c r="B78" i="32"/>
  <c r="F78" i="32"/>
  <c r="J78" i="32"/>
  <c r="N78" i="32"/>
  <c r="C78" i="32"/>
  <c r="K78" i="32"/>
  <c r="D78" i="32"/>
  <c r="L78" i="32"/>
  <c r="G78" i="32"/>
  <c r="H78" i="32"/>
  <c r="K150" i="41" l="1"/>
  <c r="L150" i="41" s="1"/>
  <c r="AB89" i="32"/>
  <c r="AC89" i="32"/>
  <c r="AD89" i="32"/>
  <c r="AE89" i="32"/>
  <c r="K140" i="39"/>
  <c r="L140" i="39" s="1"/>
  <c r="D79" i="32"/>
  <c r="H79" i="32"/>
  <c r="L79" i="32"/>
  <c r="E79" i="32"/>
  <c r="I79" i="32"/>
  <c r="M79" i="32"/>
  <c r="F79" i="32"/>
  <c r="N79" i="32"/>
  <c r="B79" i="32"/>
  <c r="C79" i="32"/>
  <c r="G79" i="32"/>
  <c r="J79" i="32"/>
  <c r="K79" i="32"/>
  <c r="K140" i="40"/>
  <c r="L140" i="40" s="1"/>
  <c r="R79" i="32"/>
  <c r="V79" i="32"/>
  <c r="Z79" i="32"/>
  <c r="O79" i="32"/>
  <c r="S79" i="32"/>
  <c r="W79" i="32"/>
  <c r="AA79" i="32"/>
  <c r="P79" i="32"/>
  <c r="T79" i="32"/>
  <c r="X79" i="32"/>
  <c r="Y79" i="32"/>
  <c r="Q79" i="32"/>
  <c r="U79" i="32"/>
  <c r="K151" i="41" l="1"/>
  <c r="L151" i="41" s="1"/>
  <c r="AB90" i="32"/>
  <c r="AC90" i="32"/>
  <c r="AE90" i="32"/>
  <c r="AD90" i="32"/>
  <c r="K141" i="40"/>
  <c r="L141" i="40" s="1"/>
  <c r="Q80" i="32"/>
  <c r="U80" i="32"/>
  <c r="Y80" i="32"/>
  <c r="R80" i="32"/>
  <c r="V80" i="32"/>
  <c r="Z80" i="32"/>
  <c r="O80" i="32"/>
  <c r="W80" i="32"/>
  <c r="P80" i="32"/>
  <c r="X80" i="32"/>
  <c r="S80" i="32"/>
  <c r="AA80" i="32"/>
  <c r="T80" i="32"/>
  <c r="K141" i="39"/>
  <c r="L141" i="39" s="1"/>
  <c r="C80" i="32"/>
  <c r="G80" i="32"/>
  <c r="K80" i="32"/>
  <c r="D80" i="32"/>
  <c r="H80" i="32"/>
  <c r="L80" i="32"/>
  <c r="I80" i="32"/>
  <c r="E80" i="32"/>
  <c r="N80" i="32"/>
  <c r="B80" i="32"/>
  <c r="J80" i="32"/>
  <c r="M80" i="32"/>
  <c r="F80" i="32"/>
  <c r="K152" i="41" l="1"/>
  <c r="L152" i="41" s="1"/>
  <c r="AB91" i="32"/>
  <c r="AC91" i="32"/>
  <c r="AE91" i="32"/>
  <c r="AD91" i="32"/>
  <c r="K142" i="39"/>
  <c r="L142" i="39" s="1"/>
  <c r="B81" i="32"/>
  <c r="F81" i="32"/>
  <c r="J81" i="32"/>
  <c r="N81" i="32"/>
  <c r="C81" i="32"/>
  <c r="G81" i="32"/>
  <c r="K81" i="32"/>
  <c r="D81" i="32"/>
  <c r="L81" i="32"/>
  <c r="E81" i="32"/>
  <c r="M81" i="32"/>
  <c r="H81" i="32"/>
  <c r="I81" i="32"/>
  <c r="K142" i="40"/>
  <c r="L142" i="40" s="1"/>
  <c r="P81" i="32"/>
  <c r="T81" i="32"/>
  <c r="X81" i="32"/>
  <c r="Q81" i="32"/>
  <c r="U81" i="32"/>
  <c r="Y81" i="32"/>
  <c r="R81" i="32"/>
  <c r="Z81" i="32"/>
  <c r="S81" i="32"/>
  <c r="AA81" i="32"/>
  <c r="V81" i="32"/>
  <c r="O81" i="32"/>
  <c r="W81" i="32"/>
  <c r="K153" i="41" l="1"/>
  <c r="L153" i="41" s="1"/>
  <c r="AB92" i="32"/>
  <c r="AC92" i="32"/>
  <c r="AE92" i="32"/>
  <c r="AD92" i="32"/>
  <c r="K143" i="40"/>
  <c r="L143" i="40" s="1"/>
  <c r="O82" i="32"/>
  <c r="S82" i="32"/>
  <c r="W82" i="32"/>
  <c r="AA82" i="32"/>
  <c r="P82" i="32"/>
  <c r="T82" i="32"/>
  <c r="X82" i="32"/>
  <c r="U82" i="32"/>
  <c r="V82" i="32"/>
  <c r="Q82" i="32"/>
  <c r="Y82" i="32"/>
  <c r="R82" i="32"/>
  <c r="Z82" i="32"/>
  <c r="K143" i="39"/>
  <c r="L143" i="39" s="1"/>
  <c r="E82" i="32"/>
  <c r="I82" i="32"/>
  <c r="M82" i="32"/>
  <c r="B82" i="32"/>
  <c r="F82" i="32"/>
  <c r="J82" i="32"/>
  <c r="N82" i="32"/>
  <c r="G82" i="32"/>
  <c r="C82" i="32"/>
  <c r="L82" i="32"/>
  <c r="H82" i="32"/>
  <c r="K82" i="32"/>
  <c r="D82" i="32"/>
  <c r="K154" i="41" l="1"/>
  <c r="L154" i="41" s="1"/>
  <c r="AB93" i="32"/>
  <c r="AC93" i="32"/>
  <c r="AD93" i="32"/>
  <c r="AE93" i="32"/>
  <c r="K144" i="39"/>
  <c r="L144" i="39" s="1"/>
  <c r="D83" i="32"/>
  <c r="H83" i="32"/>
  <c r="L83" i="32"/>
  <c r="E83" i="32"/>
  <c r="I83" i="32"/>
  <c r="M83" i="32"/>
  <c r="B83" i="32"/>
  <c r="J83" i="32"/>
  <c r="N83" i="32"/>
  <c r="C83" i="32"/>
  <c r="K83" i="32"/>
  <c r="F83" i="32"/>
  <c r="G83" i="32"/>
  <c r="K144" i="40"/>
  <c r="L144" i="40" s="1"/>
  <c r="R83" i="32"/>
  <c r="V83" i="32"/>
  <c r="Z83" i="32"/>
  <c r="O83" i="32"/>
  <c r="S83" i="32"/>
  <c r="W83" i="32"/>
  <c r="AA83" i="32"/>
  <c r="P83" i="32"/>
  <c r="X83" i="32"/>
  <c r="Q83" i="32"/>
  <c r="Y83" i="32"/>
  <c r="T83" i="32"/>
  <c r="U83" i="32"/>
  <c r="K155" i="41" l="1"/>
  <c r="L155" i="41" s="1"/>
  <c r="AB94" i="32"/>
  <c r="AC94" i="32"/>
  <c r="AE94" i="32"/>
  <c r="AD94" i="32"/>
  <c r="K145" i="40"/>
  <c r="L145" i="40" s="1"/>
  <c r="Q84" i="32"/>
  <c r="U84" i="32"/>
  <c r="Y84" i="32"/>
  <c r="R84" i="32"/>
  <c r="V84" i="32"/>
  <c r="Z84" i="32"/>
  <c r="S84" i="32"/>
  <c r="AA84" i="32"/>
  <c r="T84" i="32"/>
  <c r="O84" i="32"/>
  <c r="W84" i="32"/>
  <c r="X84" i="32"/>
  <c r="P84" i="32"/>
  <c r="K145" i="39"/>
  <c r="L145" i="39" s="1"/>
  <c r="C84" i="32"/>
  <c r="G84" i="32"/>
  <c r="K84" i="32"/>
  <c r="D84" i="32"/>
  <c r="H84" i="32"/>
  <c r="L84" i="32"/>
  <c r="E84" i="32"/>
  <c r="M84" i="32"/>
  <c r="J84" i="32"/>
  <c r="F84" i="32"/>
  <c r="N84" i="32"/>
  <c r="I84" i="32"/>
  <c r="B84" i="32"/>
  <c r="K156" i="41" l="1"/>
  <c r="L156" i="41" s="1"/>
  <c r="AB95" i="32"/>
  <c r="AC95" i="32"/>
  <c r="AE95" i="32"/>
  <c r="AD95" i="32"/>
  <c r="K146" i="39"/>
  <c r="L146" i="39" s="1"/>
  <c r="B85" i="32"/>
  <c r="F85" i="32"/>
  <c r="J85" i="32"/>
  <c r="N85" i="32"/>
  <c r="C85" i="32"/>
  <c r="G85" i="32"/>
  <c r="K85" i="32"/>
  <c r="H85" i="32"/>
  <c r="D85" i="32"/>
  <c r="M85" i="32"/>
  <c r="I85" i="32"/>
  <c r="L85" i="32"/>
  <c r="E85" i="32"/>
  <c r="K146" i="40"/>
  <c r="L146" i="40" s="1"/>
  <c r="P85" i="32"/>
  <c r="T85" i="32"/>
  <c r="X85" i="32"/>
  <c r="Q85" i="32"/>
  <c r="U85" i="32"/>
  <c r="Y85" i="32"/>
  <c r="V85" i="32"/>
  <c r="O85" i="32"/>
  <c r="W85" i="32"/>
  <c r="R85" i="32"/>
  <c r="Z85" i="32"/>
  <c r="S85" i="32"/>
  <c r="AA85" i="32"/>
  <c r="K157" i="41" l="1"/>
  <c r="L157" i="41" s="1"/>
  <c r="AB96" i="32"/>
  <c r="AC96" i="32"/>
  <c r="AE96" i="32"/>
  <c r="AD96" i="32"/>
  <c r="K147" i="40"/>
  <c r="L147" i="40" s="1"/>
  <c r="O86" i="32"/>
  <c r="S86" i="32"/>
  <c r="W86" i="32"/>
  <c r="AA86" i="32"/>
  <c r="P86" i="32"/>
  <c r="T86" i="32"/>
  <c r="X86" i="32"/>
  <c r="Q86" i="32"/>
  <c r="Y86" i="32"/>
  <c r="R86" i="32"/>
  <c r="Z86" i="32"/>
  <c r="U86" i="32"/>
  <c r="V86" i="32"/>
  <c r="K147" i="39"/>
  <c r="L147" i="39" s="1"/>
  <c r="E86" i="32"/>
  <c r="I86" i="32"/>
  <c r="M86" i="32"/>
  <c r="B86" i="32"/>
  <c r="F86" i="32"/>
  <c r="J86" i="32"/>
  <c r="N86" i="32"/>
  <c r="C86" i="32"/>
  <c r="K86" i="32"/>
  <c r="D86" i="32"/>
  <c r="L86" i="32"/>
  <c r="G86" i="32"/>
  <c r="H86" i="32"/>
  <c r="K158" i="41" l="1"/>
  <c r="L158" i="41" s="1"/>
  <c r="AB97" i="32"/>
  <c r="AC97" i="32"/>
  <c r="AD97" i="32"/>
  <c r="AE97" i="32"/>
  <c r="K148" i="39"/>
  <c r="L148" i="39" s="1"/>
  <c r="D87" i="32"/>
  <c r="H87" i="32"/>
  <c r="L87" i="32"/>
  <c r="E87" i="32"/>
  <c r="I87" i="32"/>
  <c r="M87" i="32"/>
  <c r="F87" i="32"/>
  <c r="N87" i="32"/>
  <c r="B87" i="32"/>
  <c r="C87" i="32"/>
  <c r="G87" i="32"/>
  <c r="J87" i="32"/>
  <c r="K87" i="32"/>
  <c r="K148" i="40"/>
  <c r="L148" i="40" s="1"/>
  <c r="R87" i="32"/>
  <c r="V87" i="32"/>
  <c r="Z87" i="32"/>
  <c r="O87" i="32"/>
  <c r="S87" i="32"/>
  <c r="W87" i="32"/>
  <c r="AA87" i="32"/>
  <c r="T87" i="32"/>
  <c r="U87" i="32"/>
  <c r="P87" i="32"/>
  <c r="X87" i="32"/>
  <c r="Q87" i="32"/>
  <c r="Y87" i="32"/>
  <c r="K159" i="41" l="1"/>
  <c r="L159" i="41" s="1"/>
  <c r="AB98" i="32"/>
  <c r="AC98" i="32"/>
  <c r="AE98" i="32"/>
  <c r="AD98" i="32"/>
  <c r="K149" i="40"/>
  <c r="L149" i="40" s="1"/>
  <c r="Q88" i="32"/>
  <c r="U88" i="32"/>
  <c r="Y88" i="32"/>
  <c r="R88" i="32"/>
  <c r="V88" i="32"/>
  <c r="Z88" i="32"/>
  <c r="O88" i="32"/>
  <c r="W88" i="32"/>
  <c r="P88" i="32"/>
  <c r="X88" i="32"/>
  <c r="S88" i="32"/>
  <c r="AA88" i="32"/>
  <c r="T88" i="32"/>
  <c r="K149" i="39"/>
  <c r="L149" i="39" s="1"/>
  <c r="C88" i="32"/>
  <c r="G88" i="32"/>
  <c r="K88" i="32"/>
  <c r="D88" i="32"/>
  <c r="H88" i="32"/>
  <c r="L88" i="32"/>
  <c r="I88" i="32"/>
  <c r="E88" i="32"/>
  <c r="N88" i="32"/>
  <c r="B88" i="32"/>
  <c r="J88" i="32"/>
  <c r="M88" i="32"/>
  <c r="F88" i="32"/>
  <c r="K160" i="41" l="1"/>
  <c r="L160" i="41" s="1"/>
  <c r="AB99" i="32"/>
  <c r="AC99" i="32"/>
  <c r="AD99" i="32"/>
  <c r="AE99" i="32"/>
  <c r="K150" i="39"/>
  <c r="L150" i="39" s="1"/>
  <c r="B89" i="32"/>
  <c r="F89" i="32"/>
  <c r="J89" i="32"/>
  <c r="N89" i="32"/>
  <c r="C89" i="32"/>
  <c r="G89" i="32"/>
  <c r="K89" i="32"/>
  <c r="D89" i="32"/>
  <c r="L89" i="32"/>
  <c r="H89" i="32"/>
  <c r="E89" i="32"/>
  <c r="M89" i="32"/>
  <c r="I89" i="32"/>
  <c r="K150" i="40"/>
  <c r="L150" i="40" s="1"/>
  <c r="P89" i="32"/>
  <c r="T89" i="32"/>
  <c r="X89" i="32"/>
  <c r="Q89" i="32"/>
  <c r="U89" i="32"/>
  <c r="Y89" i="32"/>
  <c r="R89" i="32"/>
  <c r="Z89" i="32"/>
  <c r="S89" i="32"/>
  <c r="AA89" i="32"/>
  <c r="V89" i="32"/>
  <c r="W89" i="32"/>
  <c r="O89" i="32"/>
  <c r="K161" i="41" l="1"/>
  <c r="L161" i="41" s="1"/>
  <c r="AB100" i="32"/>
  <c r="AC100" i="32"/>
  <c r="AE100" i="32"/>
  <c r="AD100" i="32"/>
  <c r="K151" i="40"/>
  <c r="L151" i="40" s="1"/>
  <c r="O90" i="32"/>
  <c r="S90" i="32"/>
  <c r="W90" i="32"/>
  <c r="AA90" i="32"/>
  <c r="P90" i="32"/>
  <c r="T90" i="32"/>
  <c r="X90" i="32"/>
  <c r="U90" i="32"/>
  <c r="V90" i="32"/>
  <c r="Y90" i="32"/>
  <c r="Z90" i="32"/>
  <c r="Q90" i="32"/>
  <c r="R90" i="32"/>
  <c r="K151" i="39"/>
  <c r="L151" i="39" s="1"/>
  <c r="B90" i="32"/>
  <c r="E90" i="32"/>
  <c r="I90" i="32"/>
  <c r="M90" i="32"/>
  <c r="K90" i="32"/>
  <c r="D90" i="32"/>
  <c r="L90" i="32"/>
  <c r="F90" i="32"/>
  <c r="J90" i="32"/>
  <c r="N90" i="32"/>
  <c r="C90" i="32"/>
  <c r="H90" i="32"/>
  <c r="G90" i="32"/>
  <c r="K162" i="41" l="1"/>
  <c r="L162" i="41" s="1"/>
  <c r="AB101" i="32"/>
  <c r="AC101" i="32"/>
  <c r="AD101" i="32"/>
  <c r="AE101" i="32"/>
  <c r="K152" i="39"/>
  <c r="L152" i="39" s="1"/>
  <c r="D91" i="32"/>
  <c r="H91" i="32"/>
  <c r="L91" i="32"/>
  <c r="F91" i="32"/>
  <c r="N91" i="32"/>
  <c r="K91" i="32"/>
  <c r="E91" i="32"/>
  <c r="I91" i="32"/>
  <c r="M91" i="32"/>
  <c r="B91" i="32"/>
  <c r="J91" i="32"/>
  <c r="C91" i="32"/>
  <c r="G91" i="32"/>
  <c r="K152" i="40"/>
  <c r="L152" i="40" s="1"/>
  <c r="R91" i="32"/>
  <c r="V91" i="32"/>
  <c r="Z91" i="32"/>
  <c r="O91" i="32"/>
  <c r="S91" i="32"/>
  <c r="W91" i="32"/>
  <c r="AA91" i="32"/>
  <c r="P91" i="32"/>
  <c r="X91" i="32"/>
  <c r="Q91" i="32"/>
  <c r="Y91" i="32"/>
  <c r="T91" i="32"/>
  <c r="U91" i="32"/>
  <c r="K163" i="41" l="1"/>
  <c r="L163" i="41" s="1"/>
  <c r="AB102" i="32"/>
  <c r="AC102" i="32"/>
  <c r="AE102" i="32"/>
  <c r="AD102" i="32"/>
  <c r="K153" i="40"/>
  <c r="L153" i="40" s="1"/>
  <c r="Q92" i="32"/>
  <c r="U92" i="32"/>
  <c r="Y92" i="32"/>
  <c r="R92" i="32"/>
  <c r="V92" i="32"/>
  <c r="Z92" i="32"/>
  <c r="S92" i="32"/>
  <c r="AA92" i="32"/>
  <c r="T92" i="32"/>
  <c r="O92" i="32"/>
  <c r="P92" i="32"/>
  <c r="W92" i="32"/>
  <c r="X92" i="32"/>
  <c r="K153" i="39"/>
  <c r="L153" i="39" s="1"/>
  <c r="C92" i="32"/>
  <c r="G92" i="32"/>
  <c r="K92" i="32"/>
  <c r="I92" i="32"/>
  <c r="J92" i="32"/>
  <c r="D92" i="32"/>
  <c r="H92" i="32"/>
  <c r="L92" i="32"/>
  <c r="E92" i="32"/>
  <c r="M92" i="32"/>
  <c r="B92" i="32"/>
  <c r="N92" i="32"/>
  <c r="F92" i="32"/>
  <c r="K164" i="41" l="1"/>
  <c r="L164" i="41" s="1"/>
  <c r="AB103" i="32"/>
  <c r="AC103" i="32"/>
  <c r="AD103" i="32"/>
  <c r="AE103" i="32"/>
  <c r="K154" i="39"/>
  <c r="L154" i="39" s="1"/>
  <c r="B93" i="32"/>
  <c r="F93" i="32"/>
  <c r="J93" i="32"/>
  <c r="N93" i="32"/>
  <c r="H93" i="32"/>
  <c r="M93" i="32"/>
  <c r="C93" i="32"/>
  <c r="G93" i="32"/>
  <c r="K93" i="32"/>
  <c r="L93" i="32"/>
  <c r="E93" i="32"/>
  <c r="D93" i="32"/>
  <c r="I93" i="32"/>
  <c r="K154" i="40"/>
  <c r="L154" i="40" s="1"/>
  <c r="P93" i="32"/>
  <c r="T93" i="32"/>
  <c r="X93" i="32"/>
  <c r="Q93" i="32"/>
  <c r="U93" i="32"/>
  <c r="Y93" i="32"/>
  <c r="V93" i="32"/>
  <c r="O93" i="32"/>
  <c r="W93" i="32"/>
  <c r="R93" i="32"/>
  <c r="S93" i="32"/>
  <c r="Z93" i="32"/>
  <c r="AA93" i="32"/>
  <c r="K165" i="41" l="1"/>
  <c r="L165" i="41" s="1"/>
  <c r="AB104" i="32"/>
  <c r="AC104" i="32"/>
  <c r="AE104" i="32"/>
  <c r="AD104" i="32"/>
  <c r="K155" i="40"/>
  <c r="L155" i="40" s="1"/>
  <c r="O94" i="32"/>
  <c r="S94" i="32"/>
  <c r="W94" i="32"/>
  <c r="AA94" i="32"/>
  <c r="P94" i="32"/>
  <c r="T94" i="32"/>
  <c r="X94" i="32"/>
  <c r="Q94" i="32"/>
  <c r="Y94" i="32"/>
  <c r="R94" i="32"/>
  <c r="Z94" i="32"/>
  <c r="U94" i="32"/>
  <c r="V94" i="32"/>
  <c r="K155" i="39"/>
  <c r="L155" i="39" s="1"/>
  <c r="E94" i="32"/>
  <c r="I94" i="32"/>
  <c r="M94" i="32"/>
  <c r="C94" i="32"/>
  <c r="K94" i="32"/>
  <c r="H94" i="32"/>
  <c r="B94" i="32"/>
  <c r="F94" i="32"/>
  <c r="J94" i="32"/>
  <c r="N94" i="32"/>
  <c r="G94" i="32"/>
  <c r="D94" i="32"/>
  <c r="L94" i="32"/>
  <c r="K166" i="41" l="1"/>
  <c r="L166" i="41" s="1"/>
  <c r="AB105" i="32"/>
  <c r="AC105" i="32"/>
  <c r="AD105" i="32"/>
  <c r="AE105" i="32"/>
  <c r="K156" i="39"/>
  <c r="L156" i="39" s="1"/>
  <c r="D95" i="32"/>
  <c r="H95" i="32"/>
  <c r="L95" i="32"/>
  <c r="J95" i="32"/>
  <c r="G95" i="32"/>
  <c r="E95" i="32"/>
  <c r="I95" i="32"/>
  <c r="M95" i="32"/>
  <c r="B95" i="32"/>
  <c r="N95" i="32"/>
  <c r="C95" i="32"/>
  <c r="K95" i="32"/>
  <c r="F95" i="32"/>
  <c r="K156" i="40"/>
  <c r="L156" i="40" s="1"/>
  <c r="R95" i="32"/>
  <c r="V95" i="32"/>
  <c r="Z95" i="32"/>
  <c r="O95" i="32"/>
  <c r="S95" i="32"/>
  <c r="W95" i="32"/>
  <c r="AA95" i="32"/>
  <c r="T95" i="32"/>
  <c r="U95" i="32"/>
  <c r="X95" i="32"/>
  <c r="Y95" i="32"/>
  <c r="P95" i="32"/>
  <c r="Q95" i="32"/>
  <c r="K167" i="41" l="1"/>
  <c r="L167" i="41" s="1"/>
  <c r="AB106" i="32"/>
  <c r="AC106" i="32"/>
  <c r="AE106" i="32"/>
  <c r="AD106" i="32"/>
  <c r="K157" i="40"/>
  <c r="L157" i="40" s="1"/>
  <c r="Q96" i="32"/>
  <c r="U96" i="32"/>
  <c r="Y96" i="32"/>
  <c r="R96" i="32"/>
  <c r="V96" i="32"/>
  <c r="Z96" i="32"/>
  <c r="O96" i="32"/>
  <c r="W96" i="32"/>
  <c r="P96" i="32"/>
  <c r="X96" i="32"/>
  <c r="AA96" i="32"/>
  <c r="S96" i="32"/>
  <c r="T96" i="32"/>
  <c r="K157" i="39"/>
  <c r="L157" i="39" s="1"/>
  <c r="C96" i="32"/>
  <c r="G96" i="32"/>
  <c r="K96" i="32"/>
  <c r="E96" i="32"/>
  <c r="B96" i="32"/>
  <c r="N96" i="32"/>
  <c r="D96" i="32"/>
  <c r="H96" i="32"/>
  <c r="L96" i="32"/>
  <c r="M96" i="32"/>
  <c r="J96" i="32"/>
  <c r="I96" i="32"/>
  <c r="F96" i="32"/>
  <c r="K168" i="41" l="1"/>
  <c r="L168" i="41" s="1"/>
  <c r="AB107" i="32"/>
  <c r="AC107" i="32"/>
  <c r="AD107" i="32"/>
  <c r="AE107" i="32"/>
  <c r="K158" i="39"/>
  <c r="L158" i="39" s="1"/>
  <c r="B97" i="32"/>
  <c r="F97" i="32"/>
  <c r="J97" i="32"/>
  <c r="N97" i="32"/>
  <c r="D97" i="32"/>
  <c r="M97" i="32"/>
  <c r="C97" i="32"/>
  <c r="G97" i="32"/>
  <c r="K97" i="32"/>
  <c r="H97" i="32"/>
  <c r="I97" i="32"/>
  <c r="L97" i="32"/>
  <c r="E97" i="32"/>
  <c r="K158" i="40"/>
  <c r="L158" i="40" s="1"/>
  <c r="P97" i="32"/>
  <c r="T97" i="32"/>
  <c r="X97" i="32"/>
  <c r="Q97" i="32"/>
  <c r="U97" i="32"/>
  <c r="Y97" i="32"/>
  <c r="R97" i="32"/>
  <c r="Z97" i="32"/>
  <c r="S97" i="32"/>
  <c r="AA97" i="32"/>
  <c r="O97" i="32"/>
  <c r="V97" i="32"/>
  <c r="W97" i="32"/>
  <c r="K169" i="41" l="1"/>
  <c r="L169" i="41" s="1"/>
  <c r="AB108" i="32"/>
  <c r="AC108" i="32"/>
  <c r="AE108" i="32"/>
  <c r="AD108" i="32"/>
  <c r="K159" i="40"/>
  <c r="L159" i="40" s="1"/>
  <c r="O98" i="32"/>
  <c r="S98" i="32"/>
  <c r="W98" i="32"/>
  <c r="AA98" i="32"/>
  <c r="P98" i="32"/>
  <c r="T98" i="32"/>
  <c r="X98" i="32"/>
  <c r="U98" i="32"/>
  <c r="V98" i="32"/>
  <c r="Q98" i="32"/>
  <c r="R98" i="32"/>
  <c r="Y98" i="32"/>
  <c r="Z98" i="32"/>
  <c r="K159" i="39"/>
  <c r="L159" i="39" s="1"/>
  <c r="E98" i="32"/>
  <c r="I98" i="32"/>
  <c r="M98" i="32"/>
  <c r="C98" i="32"/>
  <c r="K98" i="32"/>
  <c r="L98" i="32"/>
  <c r="B98" i="32"/>
  <c r="F98" i="32"/>
  <c r="J98" i="32"/>
  <c r="N98" i="32"/>
  <c r="G98" i="32"/>
  <c r="H98" i="32"/>
  <c r="D98" i="32"/>
  <c r="K170" i="41" l="1"/>
  <c r="L170" i="41" s="1"/>
  <c r="AB109" i="32"/>
  <c r="AC109" i="32"/>
  <c r="AD109" i="32"/>
  <c r="AE109" i="32"/>
  <c r="K160" i="39"/>
  <c r="L160" i="39" s="1"/>
  <c r="D99" i="32"/>
  <c r="H99" i="32"/>
  <c r="L99" i="32"/>
  <c r="J99" i="32"/>
  <c r="G99" i="32"/>
  <c r="E99" i="32"/>
  <c r="I99" i="32"/>
  <c r="M99" i="32"/>
  <c r="B99" i="32"/>
  <c r="N99" i="32"/>
  <c r="K99" i="32"/>
  <c r="F99" i="32"/>
  <c r="C99" i="32"/>
  <c r="K160" i="40"/>
  <c r="L160" i="40" s="1"/>
  <c r="R99" i="32"/>
  <c r="V99" i="32"/>
  <c r="Z99" i="32"/>
  <c r="O99" i="32"/>
  <c r="S99" i="32"/>
  <c r="W99" i="32"/>
  <c r="AA99" i="32"/>
  <c r="P99" i="32"/>
  <c r="X99" i="32"/>
  <c r="Q99" i="32"/>
  <c r="Y99" i="32"/>
  <c r="T99" i="32"/>
  <c r="U99" i="32"/>
  <c r="K171" i="41" l="1"/>
  <c r="L171" i="41" s="1"/>
  <c r="AB110" i="32"/>
  <c r="AC110" i="32"/>
  <c r="AE110" i="32"/>
  <c r="AD110" i="32"/>
  <c r="K161" i="40"/>
  <c r="L161" i="40" s="1"/>
  <c r="Q100" i="32"/>
  <c r="U100" i="32"/>
  <c r="Y100" i="32"/>
  <c r="R100" i="32"/>
  <c r="V100" i="32"/>
  <c r="Z100" i="32"/>
  <c r="S100" i="32"/>
  <c r="AA100" i="32"/>
  <c r="T100" i="32"/>
  <c r="W100" i="32"/>
  <c r="X100" i="32"/>
  <c r="O100" i="32"/>
  <c r="P100" i="32"/>
  <c r="K161" i="39"/>
  <c r="L161" i="39" s="1"/>
  <c r="C100" i="32"/>
  <c r="G100" i="32"/>
  <c r="K100" i="32"/>
  <c r="E100" i="32"/>
  <c r="F100" i="32"/>
  <c r="D100" i="32"/>
  <c r="H100" i="32"/>
  <c r="L100" i="32"/>
  <c r="M100" i="32"/>
  <c r="J100" i="32"/>
  <c r="I100" i="32"/>
  <c r="B100" i="32"/>
  <c r="N100" i="32"/>
  <c r="K172" i="41" l="1"/>
  <c r="L172" i="41" s="1"/>
  <c r="AB111" i="32"/>
  <c r="AC111" i="32"/>
  <c r="AD111" i="32"/>
  <c r="AE111" i="32"/>
  <c r="K162" i="39"/>
  <c r="L162" i="39" s="1"/>
  <c r="B101" i="32"/>
  <c r="F101" i="32"/>
  <c r="J101" i="32"/>
  <c r="N101" i="32"/>
  <c r="D101" i="32"/>
  <c r="E101" i="32"/>
  <c r="C101" i="32"/>
  <c r="G101" i="32"/>
  <c r="K101" i="32"/>
  <c r="H101" i="32"/>
  <c r="I101" i="32"/>
  <c r="L101" i="32"/>
  <c r="M101" i="32"/>
  <c r="K162" i="40"/>
  <c r="L162" i="40" s="1"/>
  <c r="P101" i="32"/>
  <c r="T101" i="32"/>
  <c r="X101" i="32"/>
  <c r="Q101" i="32"/>
  <c r="U101" i="32"/>
  <c r="Y101" i="32"/>
  <c r="V101" i="32"/>
  <c r="O101" i="32"/>
  <c r="W101" i="32"/>
  <c r="Z101" i="32"/>
  <c r="AA101" i="32"/>
  <c r="R101" i="32"/>
  <c r="S101" i="32"/>
  <c r="K173" i="41" l="1"/>
  <c r="L173" i="41" s="1"/>
  <c r="AB112" i="32"/>
  <c r="AC112" i="32"/>
  <c r="AE112" i="32"/>
  <c r="AD112" i="32"/>
  <c r="K163" i="40"/>
  <c r="L163" i="40" s="1"/>
  <c r="O102" i="32"/>
  <c r="S102" i="32"/>
  <c r="W102" i="32"/>
  <c r="AA102" i="32"/>
  <c r="P102" i="32"/>
  <c r="T102" i="32"/>
  <c r="X102" i="32"/>
  <c r="Q102" i="32"/>
  <c r="Y102" i="32"/>
  <c r="R102" i="32"/>
  <c r="Z102" i="32"/>
  <c r="U102" i="32"/>
  <c r="V102" i="32"/>
  <c r="K163" i="39"/>
  <c r="L163" i="39" s="1"/>
  <c r="E102" i="32"/>
  <c r="I102" i="32"/>
  <c r="M102" i="32"/>
  <c r="C102" i="32"/>
  <c r="K102" i="32"/>
  <c r="D102" i="32"/>
  <c r="B102" i="32"/>
  <c r="F102" i="32"/>
  <c r="J102" i="32"/>
  <c r="N102" i="32"/>
  <c r="G102" i="32"/>
  <c r="H102" i="32"/>
  <c r="L102" i="32"/>
  <c r="K174" i="41" l="1"/>
  <c r="L174" i="41" s="1"/>
  <c r="AB113" i="32"/>
  <c r="AC113" i="32"/>
  <c r="AD113" i="32"/>
  <c r="AE113" i="32"/>
  <c r="K164" i="39"/>
  <c r="L164" i="39" s="1"/>
  <c r="D103" i="32"/>
  <c r="H103" i="32"/>
  <c r="L103" i="32"/>
  <c r="J103" i="32"/>
  <c r="C103" i="32"/>
  <c r="E103" i="32"/>
  <c r="I103" i="32"/>
  <c r="M103" i="32"/>
  <c r="B103" i="32"/>
  <c r="N103" i="32"/>
  <c r="G103" i="32"/>
  <c r="F103" i="32"/>
  <c r="K103" i="32"/>
  <c r="K164" i="40"/>
  <c r="L164" i="40" s="1"/>
  <c r="R103" i="32"/>
  <c r="V103" i="32"/>
  <c r="Z103" i="32"/>
  <c r="O103" i="32"/>
  <c r="S103" i="32"/>
  <c r="W103" i="32"/>
  <c r="AA103" i="32"/>
  <c r="T103" i="32"/>
  <c r="U103" i="32"/>
  <c r="P103" i="32"/>
  <c r="Q103" i="32"/>
  <c r="X103" i="32"/>
  <c r="Y103" i="32"/>
  <c r="K175" i="41" l="1"/>
  <c r="L175" i="41" s="1"/>
  <c r="AB114" i="32"/>
  <c r="AC114" i="32"/>
  <c r="AE114" i="32"/>
  <c r="AD114" i="32"/>
  <c r="K165" i="40"/>
  <c r="L165" i="40" s="1"/>
  <c r="Q104" i="32"/>
  <c r="U104" i="32"/>
  <c r="Y104" i="32"/>
  <c r="R104" i="32"/>
  <c r="V104" i="32"/>
  <c r="Z104" i="32"/>
  <c r="O104" i="32"/>
  <c r="W104" i="32"/>
  <c r="P104" i="32"/>
  <c r="X104" i="32"/>
  <c r="S104" i="32"/>
  <c r="T104" i="32"/>
  <c r="AA104" i="32"/>
  <c r="K165" i="39"/>
  <c r="L165" i="39" s="1"/>
  <c r="C104" i="32"/>
  <c r="G104" i="32"/>
  <c r="K104" i="32"/>
  <c r="E104" i="32"/>
  <c r="F104" i="32"/>
  <c r="D104" i="32"/>
  <c r="H104" i="32"/>
  <c r="L104" i="32"/>
  <c r="M104" i="32"/>
  <c r="J104" i="32"/>
  <c r="I104" i="32"/>
  <c r="B104" i="32"/>
  <c r="N104" i="32"/>
  <c r="K176" i="41" l="1"/>
  <c r="L176" i="41" s="1"/>
  <c r="AB115" i="32"/>
  <c r="AC115" i="32"/>
  <c r="AD115" i="32"/>
  <c r="AE115" i="32"/>
  <c r="K166" i="39"/>
  <c r="L166" i="39" s="1"/>
  <c r="B105" i="32"/>
  <c r="F105" i="32"/>
  <c r="J105" i="32"/>
  <c r="N105" i="32"/>
  <c r="D105" i="32"/>
  <c r="E105" i="32"/>
  <c r="C105" i="32"/>
  <c r="G105" i="32"/>
  <c r="K105" i="32"/>
  <c r="H105" i="32"/>
  <c r="I105" i="32"/>
  <c r="L105" i="32"/>
  <c r="M105" i="32"/>
  <c r="K166" i="40"/>
  <c r="L166" i="40" s="1"/>
  <c r="P105" i="32"/>
  <c r="T105" i="32"/>
  <c r="X105" i="32"/>
  <c r="Q105" i="32"/>
  <c r="U105" i="32"/>
  <c r="Y105" i="32"/>
  <c r="R105" i="32"/>
  <c r="Z105" i="32"/>
  <c r="S105" i="32"/>
  <c r="AA105" i="32"/>
  <c r="V105" i="32"/>
  <c r="W105" i="32"/>
  <c r="O105" i="32"/>
  <c r="K177" i="41" l="1"/>
  <c r="L177" i="41" s="1"/>
  <c r="AB116" i="32"/>
  <c r="AC116" i="32"/>
  <c r="AE116" i="32"/>
  <c r="AD116" i="32"/>
  <c r="K167" i="40"/>
  <c r="L167" i="40" s="1"/>
  <c r="O106" i="32"/>
  <c r="S106" i="32"/>
  <c r="W106" i="32"/>
  <c r="AA106" i="32"/>
  <c r="P106" i="32"/>
  <c r="T106" i="32"/>
  <c r="X106" i="32"/>
  <c r="U106" i="32"/>
  <c r="V106" i="32"/>
  <c r="Y106" i="32"/>
  <c r="Z106" i="32"/>
  <c r="Q106" i="32"/>
  <c r="R106" i="32"/>
  <c r="K167" i="39"/>
  <c r="L167" i="39" s="1"/>
  <c r="E106" i="32"/>
  <c r="I106" i="32"/>
  <c r="M106" i="32"/>
  <c r="C106" i="32"/>
  <c r="K106" i="32"/>
  <c r="H106" i="32"/>
  <c r="B106" i="32"/>
  <c r="F106" i="32"/>
  <c r="J106" i="32"/>
  <c r="N106" i="32"/>
  <c r="G106" i="32"/>
  <c r="L106" i="32"/>
  <c r="D106" i="32"/>
  <c r="K178" i="41" l="1"/>
  <c r="L178" i="41" s="1"/>
  <c r="AB117" i="32"/>
  <c r="AC117" i="32"/>
  <c r="AD117" i="32"/>
  <c r="AE117" i="32"/>
  <c r="K168" i="39"/>
  <c r="L168" i="39" s="1"/>
  <c r="D107" i="32"/>
  <c r="H107" i="32"/>
  <c r="L107" i="32"/>
  <c r="J107" i="32"/>
  <c r="G107" i="32"/>
  <c r="E107" i="32"/>
  <c r="I107" i="32"/>
  <c r="M107" i="32"/>
  <c r="F107" i="32"/>
  <c r="N107" i="32"/>
  <c r="K107" i="32"/>
  <c r="B107" i="32"/>
  <c r="C107" i="32"/>
  <c r="K168" i="40"/>
  <c r="L168" i="40" s="1"/>
  <c r="R107" i="32"/>
  <c r="V107" i="32"/>
  <c r="Z107" i="32"/>
  <c r="O107" i="32"/>
  <c r="S107" i="32"/>
  <c r="W107" i="32"/>
  <c r="AA107" i="32"/>
  <c r="P107" i="32"/>
  <c r="X107" i="32"/>
  <c r="Q107" i="32"/>
  <c r="Y107" i="32"/>
  <c r="T107" i="32"/>
  <c r="U107" i="32"/>
  <c r="K179" i="41" l="1"/>
  <c r="L179" i="41" s="1"/>
  <c r="AB118" i="32"/>
  <c r="AC118" i="32"/>
  <c r="AE118" i="32"/>
  <c r="AD118" i="32"/>
  <c r="K169" i="40"/>
  <c r="L169" i="40" s="1"/>
  <c r="Q108" i="32"/>
  <c r="U108" i="32"/>
  <c r="Y108" i="32"/>
  <c r="R108" i="32"/>
  <c r="V108" i="32"/>
  <c r="Z108" i="32"/>
  <c r="S108" i="32"/>
  <c r="AA108" i="32"/>
  <c r="T108" i="32"/>
  <c r="O108" i="32"/>
  <c r="P108" i="32"/>
  <c r="W108" i="32"/>
  <c r="X108" i="32"/>
  <c r="K169" i="39"/>
  <c r="L169" i="39" s="1"/>
  <c r="C108" i="32"/>
  <c r="G108" i="32"/>
  <c r="K108" i="32"/>
  <c r="I108" i="32"/>
  <c r="F108" i="32"/>
  <c r="D108" i="32"/>
  <c r="H108" i="32"/>
  <c r="L108" i="32"/>
  <c r="M108" i="32"/>
  <c r="J108" i="32"/>
  <c r="E108" i="32"/>
  <c r="B108" i="32"/>
  <c r="N108" i="32"/>
  <c r="K180" i="41" l="1"/>
  <c r="L180" i="41" s="1"/>
  <c r="AB119" i="32"/>
  <c r="AC119" i="32"/>
  <c r="AD119" i="32"/>
  <c r="AE119" i="32"/>
  <c r="K170" i="39"/>
  <c r="L170" i="39" s="1"/>
  <c r="B109" i="32"/>
  <c r="F109" i="32"/>
  <c r="J109" i="32"/>
  <c r="N109" i="32"/>
  <c r="L109" i="32"/>
  <c r="E109" i="32"/>
  <c r="C109" i="32"/>
  <c r="G109" i="32"/>
  <c r="K109" i="32"/>
  <c r="H109" i="32"/>
  <c r="I109" i="32"/>
  <c r="D109" i="32"/>
  <c r="M109" i="32"/>
  <c r="K170" i="40"/>
  <c r="L170" i="40" s="1"/>
  <c r="P109" i="32"/>
  <c r="T109" i="32"/>
  <c r="X109" i="32"/>
  <c r="Q109" i="32"/>
  <c r="U109" i="32"/>
  <c r="Y109" i="32"/>
  <c r="V109" i="32"/>
  <c r="O109" i="32"/>
  <c r="W109" i="32"/>
  <c r="R109" i="32"/>
  <c r="S109" i="32"/>
  <c r="Z109" i="32"/>
  <c r="AA109" i="32"/>
  <c r="K181" i="41" l="1"/>
  <c r="L181" i="41" s="1"/>
  <c r="AB120" i="32"/>
  <c r="AC120" i="32"/>
  <c r="AE120" i="32"/>
  <c r="AD120" i="32"/>
  <c r="K171" i="40"/>
  <c r="L171" i="40" s="1"/>
  <c r="O110" i="32"/>
  <c r="S110" i="32"/>
  <c r="W110" i="32"/>
  <c r="P110" i="32"/>
  <c r="T110" i="32"/>
  <c r="X110" i="32"/>
  <c r="Q110" i="32"/>
  <c r="Y110" i="32"/>
  <c r="R110" i="32"/>
  <c r="Z110" i="32"/>
  <c r="U110" i="32"/>
  <c r="V110" i="32"/>
  <c r="AA110" i="32"/>
  <c r="K171" i="39"/>
  <c r="L171" i="39" s="1"/>
  <c r="E110" i="32"/>
  <c r="I110" i="32"/>
  <c r="M110" i="32"/>
  <c r="K110" i="32"/>
  <c r="H110" i="32"/>
  <c r="B110" i="32"/>
  <c r="F110" i="32"/>
  <c r="J110" i="32"/>
  <c r="N110" i="32"/>
  <c r="C110" i="32"/>
  <c r="D110" i="32"/>
  <c r="G110" i="32"/>
  <c r="L110" i="32"/>
  <c r="L182" i="41" l="1"/>
  <c r="K183" i="41" s="1"/>
  <c r="L183" i="41" s="1"/>
  <c r="K184" i="41" s="1"/>
  <c r="L184" i="41" s="1"/>
  <c r="K185" i="41" s="1"/>
  <c r="L185" i="41" s="1"/>
  <c r="K186" i="41" s="1"/>
  <c r="L186" i="41" s="1"/>
  <c r="K187" i="41" s="1"/>
  <c r="L187" i="41" s="1"/>
  <c r="K188" i="41" s="1"/>
  <c r="L188" i="41" s="1"/>
  <c r="K189" i="41" s="1"/>
  <c r="L189" i="41" s="1"/>
  <c r="K190" i="41" s="1"/>
  <c r="L190" i="41" s="1"/>
  <c r="K191" i="41" s="1"/>
  <c r="L191" i="41" s="1"/>
  <c r="K192" i="41" s="1"/>
  <c r="L192" i="41" s="1"/>
  <c r="K193" i="41" s="1"/>
  <c r="L193" i="41" s="1"/>
  <c r="K194" i="41" s="1"/>
  <c r="L194" i="41" s="1"/>
  <c r="K195" i="41" s="1"/>
  <c r="L195" i="41" s="1"/>
  <c r="K196" i="41" s="1"/>
  <c r="L196" i="41" s="1"/>
  <c r="K197" i="41" s="1"/>
  <c r="L197" i="41" s="1"/>
  <c r="K198" i="41" s="1"/>
  <c r="L198" i="41" s="1"/>
  <c r="K199" i="41" s="1"/>
  <c r="L199" i="41" s="1"/>
  <c r="K200" i="41" s="1"/>
  <c r="L200" i="41" s="1"/>
  <c r="K201" i="41" s="1"/>
  <c r="L201" i="41" s="1"/>
  <c r="K202" i="41" s="1"/>
  <c r="L202" i="41" s="1"/>
  <c r="K203" i="41" s="1"/>
  <c r="L203" i="41" s="1"/>
  <c r="K204" i="41" s="1"/>
  <c r="L204" i="41" s="1"/>
  <c r="K205" i="41" s="1"/>
  <c r="L205" i="41" s="1"/>
  <c r="AB121" i="32"/>
  <c r="AC121" i="32"/>
  <c r="AD121" i="32"/>
  <c r="AE121" i="32"/>
  <c r="K172" i="39"/>
  <c r="L172" i="39" s="1"/>
  <c r="D111" i="32"/>
  <c r="H111" i="32"/>
  <c r="L111" i="32"/>
  <c r="F111" i="32"/>
  <c r="C111" i="32"/>
  <c r="E111" i="32"/>
  <c r="I111" i="32"/>
  <c r="M111" i="32"/>
  <c r="B111" i="32"/>
  <c r="N111" i="32"/>
  <c r="G111" i="32"/>
  <c r="J111" i="32"/>
  <c r="K111" i="32"/>
  <c r="K172" i="40"/>
  <c r="L172" i="40" s="1"/>
  <c r="P111" i="32"/>
  <c r="T111" i="32"/>
  <c r="X111" i="32"/>
  <c r="Q111" i="32"/>
  <c r="U111" i="32"/>
  <c r="Y111" i="32"/>
  <c r="R111" i="32"/>
  <c r="Z111" i="32"/>
  <c r="S111" i="32"/>
  <c r="AA111" i="32"/>
  <c r="V111" i="32"/>
  <c r="O111" i="32"/>
  <c r="W111" i="32"/>
  <c r="K173" i="40" l="1"/>
  <c r="L173" i="40" s="1"/>
  <c r="O112" i="32"/>
  <c r="S112" i="32"/>
  <c r="W112" i="32"/>
  <c r="AA112" i="32"/>
  <c r="P112" i="32"/>
  <c r="T112" i="32"/>
  <c r="X112" i="32"/>
  <c r="U112" i="32"/>
  <c r="V112" i="32"/>
  <c r="Q112" i="32"/>
  <c r="Y112" i="32"/>
  <c r="Z112" i="32"/>
  <c r="R112" i="32"/>
  <c r="K173" i="39"/>
  <c r="L173" i="39" s="1"/>
  <c r="C112" i="32"/>
  <c r="G112" i="32"/>
  <c r="K112" i="32"/>
  <c r="E112" i="32"/>
  <c r="I112" i="32"/>
  <c r="B112" i="32"/>
  <c r="N112" i="32"/>
  <c r="D112" i="32"/>
  <c r="H112" i="32"/>
  <c r="L112" i="32"/>
  <c r="M112" i="32"/>
  <c r="J112" i="32"/>
  <c r="F112" i="32"/>
  <c r="K174" i="39" l="1"/>
  <c r="L174" i="39" s="1"/>
  <c r="B113" i="32"/>
  <c r="F113" i="32"/>
  <c r="J113" i="32"/>
  <c r="N113" i="32"/>
  <c r="H113" i="32"/>
  <c r="M113" i="32"/>
  <c r="C113" i="32"/>
  <c r="G113" i="32"/>
  <c r="K113" i="32"/>
  <c r="L113" i="32"/>
  <c r="I113" i="32"/>
  <c r="D113" i="32"/>
  <c r="E113" i="32"/>
  <c r="K174" i="40"/>
  <c r="L174" i="40" s="1"/>
  <c r="R113" i="32"/>
  <c r="V113" i="32"/>
  <c r="Z113" i="32"/>
  <c r="O113" i="32"/>
  <c r="S113" i="32"/>
  <c r="W113" i="32"/>
  <c r="AA113" i="32"/>
  <c r="P113" i="32"/>
  <c r="X113" i="32"/>
  <c r="Q113" i="32"/>
  <c r="Y113" i="32"/>
  <c r="T113" i="32"/>
  <c r="U113" i="32"/>
  <c r="K175" i="40" l="1"/>
  <c r="L175" i="40" s="1"/>
  <c r="Q114" i="32"/>
  <c r="U114" i="32"/>
  <c r="Y114" i="32"/>
  <c r="R114" i="32"/>
  <c r="V114" i="32"/>
  <c r="Z114" i="32"/>
  <c r="S114" i="32"/>
  <c r="AA114" i="32"/>
  <c r="T114" i="32"/>
  <c r="O114" i="32"/>
  <c r="W114" i="32"/>
  <c r="X114" i="32"/>
  <c r="P114" i="32"/>
  <c r="K175" i="39"/>
  <c r="L175" i="39" s="1"/>
  <c r="E114" i="32"/>
  <c r="I114" i="32"/>
  <c r="M114" i="32"/>
  <c r="C114" i="32"/>
  <c r="L114" i="32"/>
  <c r="B114" i="32"/>
  <c r="F114" i="32"/>
  <c r="J114" i="32"/>
  <c r="N114" i="32"/>
  <c r="K114" i="32"/>
  <c r="H114" i="32"/>
  <c r="G114" i="32"/>
  <c r="D114" i="32"/>
  <c r="K176" i="39" l="1"/>
  <c r="L176" i="39" s="1"/>
  <c r="D115" i="32"/>
  <c r="H115" i="32"/>
  <c r="L115" i="32"/>
  <c r="B115" i="32"/>
  <c r="N115" i="32"/>
  <c r="E115" i="32"/>
  <c r="I115" i="32"/>
  <c r="M115" i="32"/>
  <c r="J115" i="32"/>
  <c r="G115" i="32"/>
  <c r="F115" i="32"/>
  <c r="C115" i="32"/>
  <c r="K115" i="32"/>
  <c r="K176" i="40"/>
  <c r="L176" i="40" s="1"/>
  <c r="P115" i="32"/>
  <c r="T115" i="32"/>
  <c r="X115" i="32"/>
  <c r="Q115" i="32"/>
  <c r="U115" i="32"/>
  <c r="Y115" i="32"/>
  <c r="V115" i="32"/>
  <c r="O115" i="32"/>
  <c r="W115" i="32"/>
  <c r="R115" i="32"/>
  <c r="Z115" i="32"/>
  <c r="S115" i="32"/>
  <c r="AA115" i="32"/>
  <c r="K177" i="40" l="1"/>
  <c r="L177" i="40" s="1"/>
  <c r="O116" i="32"/>
  <c r="S116" i="32"/>
  <c r="W116" i="32"/>
  <c r="AA116" i="32"/>
  <c r="P116" i="32"/>
  <c r="T116" i="32"/>
  <c r="X116" i="32"/>
  <c r="Q116" i="32"/>
  <c r="Y116" i="32"/>
  <c r="R116" i="32"/>
  <c r="Z116" i="32"/>
  <c r="U116" i="32"/>
  <c r="V116" i="32"/>
  <c r="K177" i="39"/>
  <c r="L177" i="39" s="1"/>
  <c r="C116" i="32"/>
  <c r="G116" i="32"/>
  <c r="K116" i="32"/>
  <c r="I116" i="32"/>
  <c r="B116" i="32"/>
  <c r="N116" i="32"/>
  <c r="D116" i="32"/>
  <c r="H116" i="32"/>
  <c r="L116" i="32"/>
  <c r="M116" i="32"/>
  <c r="J116" i="32"/>
  <c r="E116" i="32"/>
  <c r="F116" i="32"/>
  <c r="K178" i="39" l="1"/>
  <c r="L178" i="39" s="1"/>
  <c r="B117" i="32"/>
  <c r="F117" i="32"/>
  <c r="J117" i="32"/>
  <c r="N117" i="32"/>
  <c r="L117" i="32"/>
  <c r="M117" i="32"/>
  <c r="C117" i="32"/>
  <c r="G117" i="32"/>
  <c r="K117" i="32"/>
  <c r="H117" i="32"/>
  <c r="I117" i="32"/>
  <c r="D117" i="32"/>
  <c r="E117" i="32"/>
  <c r="K178" i="40"/>
  <c r="L178" i="40" s="1"/>
  <c r="R117" i="32"/>
  <c r="V117" i="32"/>
  <c r="Z117" i="32"/>
  <c r="O117" i="32"/>
  <c r="S117" i="32"/>
  <c r="W117" i="32"/>
  <c r="AA117" i="32"/>
  <c r="T117" i="32"/>
  <c r="U117" i="32"/>
  <c r="P117" i="32"/>
  <c r="X117" i="32"/>
  <c r="Y117" i="32"/>
  <c r="Q117" i="32"/>
  <c r="K179" i="40" l="1"/>
  <c r="L179" i="40" s="1"/>
  <c r="Q118" i="32"/>
  <c r="U118" i="32"/>
  <c r="Y118" i="32"/>
  <c r="R118" i="32"/>
  <c r="V118" i="32"/>
  <c r="Z118" i="32"/>
  <c r="O118" i="32"/>
  <c r="W118" i="32"/>
  <c r="P118" i="32"/>
  <c r="X118" i="32"/>
  <c r="S118" i="32"/>
  <c r="AA118" i="32"/>
  <c r="T118" i="32"/>
  <c r="K179" i="39"/>
  <c r="L179" i="39" s="1"/>
  <c r="E118" i="32"/>
  <c r="I118" i="32"/>
  <c r="M118" i="32"/>
  <c r="K118" i="32"/>
  <c r="L118" i="32"/>
  <c r="B118" i="32"/>
  <c r="F118" i="32"/>
  <c r="J118" i="32"/>
  <c r="N118" i="32"/>
  <c r="C118" i="32"/>
  <c r="H118" i="32"/>
  <c r="G118" i="32"/>
  <c r="D118" i="32"/>
  <c r="K180" i="39" l="1"/>
  <c r="L180" i="39" s="1"/>
  <c r="D119" i="32"/>
  <c r="H119" i="32"/>
  <c r="L119" i="32"/>
  <c r="J119" i="32"/>
  <c r="K119" i="32"/>
  <c r="E119" i="32"/>
  <c r="I119" i="32"/>
  <c r="M119" i="32"/>
  <c r="B119" i="32"/>
  <c r="N119" i="32"/>
  <c r="G119" i="32"/>
  <c r="F119" i="32"/>
  <c r="C119" i="32"/>
  <c r="K180" i="40"/>
  <c r="L180" i="40" s="1"/>
  <c r="P119" i="32"/>
  <c r="T119" i="32"/>
  <c r="X119" i="32"/>
  <c r="Q119" i="32"/>
  <c r="U119" i="32"/>
  <c r="Y119" i="32"/>
  <c r="R119" i="32"/>
  <c r="Z119" i="32"/>
  <c r="S119" i="32"/>
  <c r="AA119" i="32"/>
  <c r="V119" i="32"/>
  <c r="O119" i="32"/>
  <c r="W119" i="32"/>
  <c r="K181" i="40" l="1"/>
  <c r="L181" i="40" s="1"/>
  <c r="O120" i="32"/>
  <c r="S120" i="32"/>
  <c r="W120" i="32"/>
  <c r="AA120" i="32"/>
  <c r="P120" i="32"/>
  <c r="T120" i="32"/>
  <c r="X120" i="32"/>
  <c r="U120" i="32"/>
  <c r="V120" i="32"/>
  <c r="Q120" i="32"/>
  <c r="Y120" i="32"/>
  <c r="R120" i="32"/>
  <c r="Z120" i="32"/>
  <c r="K181" i="39"/>
  <c r="L181" i="39" s="1"/>
  <c r="C120" i="32"/>
  <c r="G120" i="32"/>
  <c r="K120" i="32"/>
  <c r="I120" i="32"/>
  <c r="J120" i="32"/>
  <c r="D120" i="32"/>
  <c r="H120" i="32"/>
  <c r="L120" i="32"/>
  <c r="E120" i="32"/>
  <c r="F120" i="32"/>
  <c r="M120" i="32"/>
  <c r="B120" i="32"/>
  <c r="N120" i="32"/>
  <c r="B121" i="32" l="1"/>
  <c r="F121" i="32"/>
  <c r="J121" i="32"/>
  <c r="N121" i="32"/>
  <c r="H121" i="32"/>
  <c r="I121" i="32"/>
  <c r="C121" i="32"/>
  <c r="G121" i="32"/>
  <c r="K121" i="32"/>
  <c r="D121" i="32"/>
  <c r="E121" i="32"/>
  <c r="L121" i="32"/>
  <c r="M121" i="32"/>
  <c r="L182" i="40"/>
  <c r="K183" i="40" s="1"/>
  <c r="L183" i="40" s="1"/>
  <c r="K184" i="40" s="1"/>
  <c r="L184" i="40" s="1"/>
  <c r="K185" i="40" s="1"/>
  <c r="L185" i="40" s="1"/>
  <c r="K186" i="40" s="1"/>
  <c r="L186" i="40" s="1"/>
  <c r="K187" i="40" s="1"/>
  <c r="L187" i="40" s="1"/>
  <c r="K188" i="40" s="1"/>
  <c r="L188" i="40" s="1"/>
  <c r="K189" i="40" s="1"/>
  <c r="L189" i="40" s="1"/>
  <c r="K190" i="40" s="1"/>
  <c r="L190" i="40" s="1"/>
  <c r="K191" i="40" s="1"/>
  <c r="L191" i="40" s="1"/>
  <c r="K192" i="40" s="1"/>
  <c r="L192" i="40" s="1"/>
  <c r="K193" i="40" s="1"/>
  <c r="L193" i="40" s="1"/>
  <c r="K194" i="40" s="1"/>
  <c r="L194" i="40" s="1"/>
  <c r="K195" i="40" s="1"/>
  <c r="L195" i="40" s="1"/>
  <c r="K196" i="40" s="1"/>
  <c r="L196" i="40" s="1"/>
  <c r="K197" i="40" s="1"/>
  <c r="L197" i="40" s="1"/>
  <c r="K198" i="40" s="1"/>
  <c r="L198" i="40" s="1"/>
  <c r="K199" i="40" s="1"/>
  <c r="L199" i="40" s="1"/>
  <c r="K200" i="40" s="1"/>
  <c r="L200" i="40" s="1"/>
  <c r="K201" i="40" s="1"/>
  <c r="L201" i="40" s="1"/>
  <c r="K202" i="40" s="1"/>
  <c r="L202" i="40" s="1"/>
  <c r="K203" i="40" s="1"/>
  <c r="L203" i="40" s="1"/>
  <c r="K204" i="40" s="1"/>
  <c r="L204" i="40" s="1"/>
  <c r="K205" i="40" s="1"/>
  <c r="L205" i="40" s="1"/>
  <c r="R121" i="32"/>
  <c r="V121" i="32"/>
  <c r="Z121" i="32"/>
  <c r="O121" i="32"/>
  <c r="S121" i="32"/>
  <c r="W121" i="32"/>
  <c r="AA121" i="32"/>
  <c r="P121" i="32"/>
  <c r="X121" i="32"/>
  <c r="Q121" i="32"/>
  <c r="Y121" i="32"/>
  <c r="T121" i="32"/>
  <c r="U121" i="32"/>
</calcChain>
</file>

<file path=xl/sharedStrings.xml><?xml version="1.0" encoding="utf-8"?>
<sst xmlns="http://schemas.openxmlformats.org/spreadsheetml/2006/main" count="3194" uniqueCount="899">
  <si>
    <t>Influence Diagram</t>
  </si>
  <si>
    <t>Revenue</t>
  </si>
  <si>
    <t>Total Costs</t>
  </si>
  <si>
    <t>Scenario 1</t>
  </si>
  <si>
    <t>Total Variable Costs</t>
  </si>
  <si>
    <t>Total Fixed Costs</t>
  </si>
  <si>
    <t>Rate</t>
  </si>
  <si>
    <t>Scenario 2</t>
  </si>
  <si>
    <t>Scenario 3</t>
  </si>
  <si>
    <t>Scenario 4</t>
  </si>
  <si>
    <t xml:space="preserve">  </t>
  </si>
  <si>
    <t>A S¢ent of Revitalisation</t>
  </si>
  <si>
    <t>Others</t>
  </si>
  <si>
    <t>Perfume Prices</t>
  </si>
  <si>
    <t>Volume</t>
  </si>
  <si>
    <t>Shop Rental</t>
  </si>
  <si>
    <t>Electricity</t>
  </si>
  <si>
    <t>Total</t>
  </si>
  <si>
    <t>Black-Box Model</t>
  </si>
  <si>
    <t>INPUT</t>
  </si>
  <si>
    <t>OUTPUT</t>
  </si>
  <si>
    <t>Decisions (Controllable)</t>
  </si>
  <si>
    <t>Performance Measures</t>
  </si>
  <si>
    <t>Profit</t>
  </si>
  <si>
    <t>Parameters (Uncontrollable)</t>
  </si>
  <si>
    <t>Consequence Variables</t>
  </si>
  <si>
    <t>Definitions</t>
  </si>
  <si>
    <t xml:space="preserve">   Decision</t>
  </si>
  <si>
    <t>= Input variable with value to be decided by the user (controllable)</t>
  </si>
  <si>
    <t xml:space="preserve">   Parameter</t>
  </si>
  <si>
    <t>= Input variable with value given or assumed (uncontrollable)</t>
  </si>
  <si>
    <t xml:space="preserve">   Performance Measure</t>
  </si>
  <si>
    <t>= Output (computed) variable with value of key interest to the user</t>
  </si>
  <si>
    <t xml:space="preserve">   Consequence Variable</t>
  </si>
  <si>
    <t>= Output (computed) variable with value produced in the calculations</t>
  </si>
  <si>
    <t>Perfume Demand</t>
  </si>
  <si>
    <t xml:space="preserve">The perfume industry is a billion-dollar industry. This is because smell is the only sense that is not processed within the thalamus before reaching the cerebral cortex and we have 40 million different olfactory receptor neurons to help us identify about 10,000 different smells. Our sense of smell is highly sensitive and it links directly with our amygdala and hippocampus, the areas where emotions and memories are processed. How we feel about a smell, and our perception of it, is often tangled up in our experiences with that scent. </t>
  </si>
  <si>
    <t>Volume (ml)</t>
  </si>
  <si>
    <t>VarCost</t>
  </si>
  <si>
    <t>Intercept</t>
  </si>
  <si>
    <t>Slope</t>
  </si>
  <si>
    <t>Perfume Price</t>
  </si>
  <si>
    <t>Demand</t>
  </si>
  <si>
    <t>Total Cost</t>
  </si>
  <si>
    <t>Total Profit</t>
  </si>
  <si>
    <t>Total VarCost</t>
  </si>
  <si>
    <t>Total Revenue</t>
  </si>
  <si>
    <t>Total Profit %</t>
  </si>
  <si>
    <t>Current Price (Price Elastic Demand)</t>
  </si>
  <si>
    <t>Price/Volume</t>
  </si>
  <si>
    <t>Sensitivity Analysis</t>
  </si>
  <si>
    <t>Assumptions</t>
  </si>
  <si>
    <t>Price</t>
  </si>
  <si>
    <t>Scenario 5</t>
  </si>
  <si>
    <t>Body Mist</t>
  </si>
  <si>
    <t>Part-time</t>
  </si>
  <si>
    <t>Full-time</t>
  </si>
  <si>
    <t>Eau De Parfum</t>
  </si>
  <si>
    <t>Ingredients cost / ml</t>
  </si>
  <si>
    <t>Monthly Rate</t>
  </si>
  <si>
    <t>Quantity</t>
  </si>
  <si>
    <t>Product Type</t>
  </si>
  <si>
    <t>Body Mist Price</t>
  </si>
  <si>
    <t>Year 2014</t>
  </si>
  <si>
    <t>Year 2015</t>
  </si>
  <si>
    <t>Year 2016</t>
  </si>
  <si>
    <t>Year 2017</t>
  </si>
  <si>
    <t>Bottle Cost</t>
  </si>
  <si>
    <t>Bottle (30ml)</t>
  </si>
  <si>
    <t>Bottle (50ml)</t>
  </si>
  <si>
    <t>Bottle (100ml)</t>
  </si>
  <si>
    <t>Shop Rental (Table)</t>
  </si>
  <si>
    <t>Yearly Rate</t>
  </si>
  <si>
    <t>Marketing</t>
  </si>
  <si>
    <t>Year 2018</t>
  </si>
  <si>
    <t>Sales</t>
  </si>
  <si>
    <t>Jan</t>
  </si>
  <si>
    <t>Feb</t>
  </si>
  <si>
    <t>Mar</t>
  </si>
  <si>
    <t>Apr</t>
  </si>
  <si>
    <t>May</t>
  </si>
  <si>
    <t>Jun</t>
  </si>
  <si>
    <t>Jul</t>
  </si>
  <si>
    <t>Aug</t>
  </si>
  <si>
    <t>Sep</t>
  </si>
  <si>
    <t>Oct</t>
  </si>
  <si>
    <t>Nov</t>
  </si>
  <si>
    <t>Dec</t>
  </si>
  <si>
    <t>Year</t>
  </si>
  <si>
    <t>Perfume (30ml)</t>
  </si>
  <si>
    <t>Perfume (50ml)</t>
  </si>
  <si>
    <t>Body Mist (100ml)</t>
  </si>
  <si>
    <t>Possible reasons for seasonality</t>
  </si>
  <si>
    <t>CNY Sales</t>
  </si>
  <si>
    <t>Valentines' Day Sales</t>
  </si>
  <si>
    <t>Mothers' Day Sales</t>
  </si>
  <si>
    <t>Hari Raya Puasa (start)</t>
  </si>
  <si>
    <t>GSS</t>
  </si>
  <si>
    <t>Christmas Sales</t>
  </si>
  <si>
    <t>Seasonality</t>
  </si>
  <si>
    <t>N/A</t>
  </si>
  <si>
    <t>Price Elasticity of Demand</t>
  </si>
  <si>
    <t>Total Profit Margin</t>
  </si>
  <si>
    <t>Marketing Cost</t>
  </si>
  <si>
    <t>Revenue/Sales</t>
  </si>
  <si>
    <t>Cell</t>
  </si>
  <si>
    <t>Formula</t>
  </si>
  <si>
    <t>Description</t>
  </si>
  <si>
    <t>Difference in Difference Analysis</t>
  </si>
  <si>
    <t>Trend after marketing</t>
  </si>
  <si>
    <t>After marketing,</t>
  </si>
  <si>
    <t>Regressed trend after marketing</t>
  </si>
  <si>
    <t>Month</t>
  </si>
  <si>
    <t>Quantity Sold</t>
  </si>
  <si>
    <t>Seasonality Index</t>
  </si>
  <si>
    <t xml:space="preserve">Seasonalized Forecast </t>
  </si>
  <si>
    <t>Eau De Parfum (30ml)</t>
  </si>
  <si>
    <t>Perfume Type</t>
  </si>
  <si>
    <t>Eau De Parfum (50ml)</t>
  </si>
  <si>
    <t>Total Volume (ml)</t>
  </si>
  <si>
    <t>Fixed Cost</t>
  </si>
  <si>
    <t>Variable Cost (per ml)</t>
  </si>
  <si>
    <t>Price optimisation based on Year 2018</t>
  </si>
  <si>
    <t>Variable Cost (per Bottle)</t>
  </si>
  <si>
    <t>Price Elasticity of Demand for Eau De Parfum based on the only price change in Year 2016 to 2017</t>
  </si>
  <si>
    <t>PED = [(D2-D1)/D1] / [(P2-P1)/P1]</t>
  </si>
  <si>
    <t>D2 = PED * [(P2-P1)/P1] * D1 + D1</t>
  </si>
  <si>
    <t>Historical</t>
  </si>
  <si>
    <t>Price of 30ml</t>
  </si>
  <si>
    <t>Price of 50ml</t>
  </si>
  <si>
    <t>PED</t>
  </si>
  <si>
    <t>Previous Prices</t>
  </si>
  <si>
    <t>Price Elasticity Formula</t>
  </si>
  <si>
    <t>* Drop down box for prices</t>
  </si>
  <si>
    <t>Solver</t>
  </si>
  <si>
    <t>Price (30ml)</t>
  </si>
  <si>
    <t>Price (50ml)</t>
  </si>
  <si>
    <t>Suggested Price</t>
  </si>
  <si>
    <t>Eau De Parfum (30ml) Price</t>
  </si>
  <si>
    <t>Eau De Parfum (50ml) Price</t>
  </si>
  <si>
    <t xml:space="preserve">Yearly Demand </t>
  </si>
  <si>
    <t>Yearly Demand</t>
  </si>
  <si>
    <t>Variance of Yearly Sales</t>
  </si>
  <si>
    <t>Standard Deviation</t>
  </si>
  <si>
    <t>Monte Carlo</t>
  </si>
  <si>
    <t>Year-on-Year Projections</t>
  </si>
  <si>
    <t>Growth Projection</t>
  </si>
  <si>
    <t>Revenue Growth %</t>
  </si>
  <si>
    <t>Profit Growth %</t>
  </si>
  <si>
    <t>CAGR Company %</t>
  </si>
  <si>
    <t xml:space="preserve">CAGR </t>
  </si>
  <si>
    <t>Current Valuation</t>
  </si>
  <si>
    <t>Target by 2028</t>
  </si>
  <si>
    <t>Target CAGR</t>
  </si>
  <si>
    <t>Probability of hitting target</t>
  </si>
  <si>
    <t>Standard Deviation of CAGRs</t>
  </si>
  <si>
    <t>*Drop-down box available</t>
  </si>
  <si>
    <t>Average CAGR Company Revenue %</t>
  </si>
  <si>
    <t xml:space="preserve">Deseasonalised Forecast </t>
  </si>
  <si>
    <t>Marketing and Revenue (Regression Discontinuity)</t>
  </si>
  <si>
    <t>Estimated effect of marketing increase (100% effect)</t>
  </si>
  <si>
    <t>Sensitivity Analysis of Marketing Effect</t>
  </si>
  <si>
    <t>Absolute Effect ($)</t>
  </si>
  <si>
    <t>Estimated effect of marketing increase (%)</t>
  </si>
  <si>
    <t>Estimated effect of marketing increase %</t>
  </si>
  <si>
    <t>Variance</t>
  </si>
  <si>
    <t>SD</t>
  </si>
  <si>
    <t>Company Valuation by end 2028</t>
  </si>
  <si>
    <t>p-value</t>
  </si>
  <si>
    <t>Price steps</t>
  </si>
  <si>
    <t>Actual Demand</t>
  </si>
  <si>
    <t>Projection</t>
  </si>
  <si>
    <t>Actual Regressed Slope Year 2015-2018</t>
  </si>
  <si>
    <t>Percentile</t>
  </si>
  <si>
    <t>Backtesting for Year 2018</t>
  </si>
  <si>
    <t>Backtesting Error</t>
  </si>
  <si>
    <t>A maximum of 10% error should be allowed</t>
  </si>
  <si>
    <t>Any lower than 2.5% or higher than 97.5%, it is unlikely for that level of marketing effect to exist</t>
  </si>
  <si>
    <t>* Conditional formatting for p-value significance</t>
  </si>
  <si>
    <t>and that there is a statistically significant difference between the regressed line and that of the actual.</t>
  </si>
  <si>
    <t>* Percentile should be between 2.5% to 97.5% to be within 95% confidence interval.</t>
  </si>
  <si>
    <t xml:space="preserve">* Conditional Formatting for Error </t>
  </si>
  <si>
    <t>Backtested: After marketing</t>
  </si>
  <si>
    <t>Original Regresion Year 2018</t>
  </si>
  <si>
    <t>Actual Revenue</t>
  </si>
  <si>
    <t xml:space="preserve">Total Past Profits </t>
  </si>
  <si>
    <t>Initial Investment</t>
  </si>
  <si>
    <t>Total Past Revenue</t>
  </si>
  <si>
    <t>Singapore</t>
  </si>
  <si>
    <t>Profits</t>
  </si>
  <si>
    <t>Year 2019 to 2023</t>
  </si>
  <si>
    <t>Year 2014 to 2018</t>
  </si>
  <si>
    <t>Other countries Expansion Round 1</t>
  </si>
  <si>
    <t>Other countries Expansion Round 2</t>
  </si>
  <si>
    <t>CAGR (Total Revenue)</t>
  </si>
  <si>
    <t>Expansion into other countries (Vietnam, Philippines, India, Indonesia, UK, EU, USA)</t>
  </si>
  <si>
    <t>Year 2024 to 2028</t>
  </si>
  <si>
    <t>Total Cost %</t>
  </si>
  <si>
    <t xml:space="preserve">Interest Rate (SME) </t>
  </si>
  <si>
    <t>Total Cost with Borrowing</t>
  </si>
  <si>
    <t>This means that current outlets will require to borrow to finance total cost (beginning of year)</t>
  </si>
  <si>
    <t>Newly expanded outlets will not need to borrow to finance total cost</t>
  </si>
  <si>
    <t>1) Same revenue, costs and profits proportion in all years and in any country</t>
  </si>
  <si>
    <t>2) All past profits will be invested into expansion</t>
  </si>
  <si>
    <t>Revenue gained will be used to repay loans in that year</t>
  </si>
  <si>
    <t>Loans will only be used to top up the amount needed after previous year's profits</t>
  </si>
  <si>
    <t>3) Total fixed costs remains the same throughout the years and in any country</t>
  </si>
  <si>
    <t>4) 5 years cycle for expansion into other countries</t>
  </si>
  <si>
    <t>Demand Based Year 2017</t>
  </si>
  <si>
    <t>% change from 2016 to 2017</t>
  </si>
  <si>
    <t>Regressed Slope</t>
  </si>
  <si>
    <t>Goal-seek returns marketing effects to achieve the maximum error of 10% =</t>
  </si>
  <si>
    <t>Max Monthly Demand</t>
  </si>
  <si>
    <t>Safety Stock</t>
  </si>
  <si>
    <t>Required Inventory (Beg Month)</t>
  </si>
  <si>
    <t>Starting Inventory (Forecasted)</t>
  </si>
  <si>
    <t>Order Quantity</t>
  </si>
  <si>
    <t>Festive Seasons</t>
  </si>
  <si>
    <t>April</t>
  </si>
  <si>
    <t>Average Seasonality of Non-Festive Months</t>
  </si>
  <si>
    <t>Average Lead Time (Months)</t>
  </si>
  <si>
    <t>Max Lead Time (Months)</t>
  </si>
  <si>
    <t>30ml Blue</t>
  </si>
  <si>
    <t>30ml Black</t>
  </si>
  <si>
    <t>30ml Christmas</t>
  </si>
  <si>
    <t>30ml Diamond</t>
  </si>
  <si>
    <t>30ml Elegance</t>
  </si>
  <si>
    <t>30ml Fancy</t>
  </si>
  <si>
    <t>30ml Love</t>
  </si>
  <si>
    <t>30ml Romance</t>
  </si>
  <si>
    <t>30ml Sahara</t>
  </si>
  <si>
    <t>30ml Sensual</t>
  </si>
  <si>
    <t>30ml Sexy</t>
  </si>
  <si>
    <t>30ml Vogue</t>
  </si>
  <si>
    <t>30ml Warm</t>
  </si>
  <si>
    <t>50ml Blue</t>
  </si>
  <si>
    <t>50ml Black</t>
  </si>
  <si>
    <t>50ml Christmas</t>
  </si>
  <si>
    <t>50ml Diamond</t>
  </si>
  <si>
    <t>50ml Elegance</t>
  </si>
  <si>
    <t>50ml Fancy</t>
  </si>
  <si>
    <t>50ml Love</t>
  </si>
  <si>
    <t>50ml Romance</t>
  </si>
  <si>
    <t>50ml Sahara</t>
  </si>
  <si>
    <t>50ml Sensual</t>
  </si>
  <si>
    <t>50ml Sexy</t>
  </si>
  <si>
    <t>50ml Vogue</t>
  </si>
  <si>
    <t>50ml Warm</t>
  </si>
  <si>
    <t>100ml Diamond Body Mist</t>
  </si>
  <si>
    <t>100ml Elegance Body Mist</t>
  </si>
  <si>
    <t>100ml Fancy Body Mist</t>
  </si>
  <si>
    <t>100ml Romance Body Mist</t>
  </si>
  <si>
    <t>Product Sales</t>
  </si>
  <si>
    <t>Total Sales</t>
  </si>
  <si>
    <t>30ml Sales</t>
  </si>
  <si>
    <t>50ml Sales</t>
  </si>
  <si>
    <t>100ml Body Mist Sales</t>
  </si>
  <si>
    <t>Product Fraction</t>
  </si>
  <si>
    <t>Average</t>
  </si>
  <si>
    <t>Parameters</t>
  </si>
  <si>
    <t>Ingredient Cost (per ml)</t>
  </si>
  <si>
    <t>https://smeloan.sg/business-loan-interest-rate</t>
  </si>
  <si>
    <t>Seasonality Forecast Error</t>
  </si>
  <si>
    <t>Variance Calculations</t>
  </si>
  <si>
    <t>30ml</t>
  </si>
  <si>
    <t>50ml</t>
  </si>
  <si>
    <t>100ml</t>
  </si>
  <si>
    <t>Y bar</t>
  </si>
  <si>
    <t>Y hat</t>
  </si>
  <si>
    <t>Yi</t>
  </si>
  <si>
    <t>(Yi - Ybar) squared</t>
  </si>
  <si>
    <t>TSS</t>
  </si>
  <si>
    <t>TSS = sum(Yi - Ybar)^2</t>
  </si>
  <si>
    <t>Var (30ml)</t>
  </si>
  <si>
    <t>Var (Y) = TSS/(n-1)</t>
  </si>
  <si>
    <t>Var (50ml)</t>
  </si>
  <si>
    <t>Var (100ml)</t>
  </si>
  <si>
    <t>Backtesting error is defined by the percentage difference between backtested Year 2018 sales against regressed Year 2018 sales</t>
  </si>
  <si>
    <t>Analysis</t>
  </si>
  <si>
    <t>Revenue increased by 180% after the company decided to adopt extensive marketing efforts in 2015.</t>
  </si>
  <si>
    <t>Marketing has a substantial positive effect on the company's revenue (Regression Discontinuity)</t>
  </si>
  <si>
    <t>1) Gradient for trend before and after marketing to be the same, ceteris paribus, with or without marketing done</t>
  </si>
  <si>
    <t>2) Trend will follow a simple linear regression from eyeballing the past sales data</t>
  </si>
  <si>
    <t>3) Trend will even out in the long run to the regressed line since even external factors such as recession have been considered using real data</t>
  </si>
  <si>
    <t>4) Marketing effects to play out fully in 2015 and will not have lingering effects on Year 2016 onwards (Discontinuity assumption)</t>
  </si>
  <si>
    <t>Sensitivity of how much marketing effects explains the jump from Year 2014 to Year 2015 is plotted</t>
  </si>
  <si>
    <t>Year 2015 to Year 2018 data are taken to plot the line and shifted down for zero marketing effects</t>
  </si>
  <si>
    <t>The sales for Year 2019 and beyond are extrapolated based on the trend given</t>
  </si>
  <si>
    <t>Back-testing is applied to check if Year 2014-2017 can predict Year 2018's sales</t>
  </si>
  <si>
    <t>Var(Revenue)</t>
  </si>
  <si>
    <t>Regressed Slope considering marketing effects</t>
  </si>
  <si>
    <t xml:space="preserve">p-value should be &gt; 0.05 to show that the regressed sloped considering marketing effects is not statistically different </t>
  </si>
  <si>
    <t>This affects the slope and intercept of the regressed lines (tested by confidence interval)</t>
  </si>
  <si>
    <t>The maximum backtesting error can only be 10%</t>
  </si>
  <si>
    <t>Level of marketing effect has been calculated and the regressed line plotted</t>
  </si>
  <si>
    <t>Demand for Year 2016 will be rebased into Year 2017 considering the natural demand increase over a year</t>
  </si>
  <si>
    <t>Price elasticity of demand calculated based on price changes, ceteris paribus (ignoring income elasticity i.e. $90 and $100 takes about the same proportion)</t>
  </si>
  <si>
    <t>Checks on marketing effect % done again by ensuring PED of 30ml &gt; PED 50ml in magnitude since Price/Volume for 50ml &lt; Price/Volume for 30ml</t>
  </si>
  <si>
    <t>Body mist will not be calculated for PED since there are no price changes and is not the main seller</t>
  </si>
  <si>
    <t>Conclusion is that prices should be lowered to about 90% of their original price from the trade-off analysis graph</t>
  </si>
  <si>
    <t>Trade-off analysis carried out based on Year 2018 when prices move up and down in tandem since PED is about the same</t>
  </si>
  <si>
    <t>2) Random errors are equal, and will cancel out, across all years</t>
  </si>
  <si>
    <t>3) The lowest possible marketing effects will be taken</t>
  </si>
  <si>
    <t>1) Variance can be calculated by Total Sum of Squares (homoskedastic)</t>
  </si>
  <si>
    <t>1) Quantity demanded are not correlated to one another i.e. ordering more 50ml will lead to less 30ml being demanded</t>
  </si>
  <si>
    <t xml:space="preserve">2) PED stays constant throughout the years </t>
  </si>
  <si>
    <t xml:space="preserve">Sensitivity Analysis based on PED calculated  </t>
  </si>
  <si>
    <t>Magnitude for PED for 30ml &gt; PED 50ml should be expected since Price/Volume for 30ml &gt; Price/Volume for 50ml</t>
  </si>
  <si>
    <t>This means 30ml is relatively more price elastic compared to 50ml</t>
  </si>
  <si>
    <t>Rate (Price/ml)</t>
  </si>
  <si>
    <t>Prices spanned across +/- 25% of their current prices to pick up local maximum in profits and can be adjusted</t>
  </si>
  <si>
    <t>Solver is applied to maximise total profits by changing the two Eau De Parfum prices</t>
  </si>
  <si>
    <t>This optimal profit-maximising price will be used to forecast future demand</t>
  </si>
  <si>
    <t xml:space="preserve">Actual demand is listed, along with PED, previous and current prices </t>
  </si>
  <si>
    <t>Previous demand after PED balancing is applied to only the Eau De Parfums from Year 2014 to 2016</t>
  </si>
  <si>
    <t>This is because prices change only after 2016</t>
  </si>
  <si>
    <t>Regression line calculated for the previous demand after PED balancing for forecast</t>
  </si>
  <si>
    <t>With the forecast, yearly projections from Year 2019 to 2028 can be calculated and observed year-on-year</t>
  </si>
  <si>
    <t>1) Previous Demand after PED balancing will be accurately calculated from regressed PED changes (more accuracy will be through statistical adjustments with degrees of freedom)</t>
  </si>
  <si>
    <t>2) Prevailing demand increase will last throughout the forecast</t>
  </si>
  <si>
    <t>Adjustment to Sensitivity Range</t>
  </si>
  <si>
    <t>Historical Prices from Year 2018</t>
  </si>
  <si>
    <t>Trade-off Analysis</t>
  </si>
  <si>
    <t>Optimal Profit-maximising Prices</t>
  </si>
  <si>
    <t>Previous Demand after PED Balancing</t>
  </si>
  <si>
    <t>Forecasted Demands</t>
  </si>
  <si>
    <t>Yearly Projections</t>
  </si>
  <si>
    <t>Forecasted Demand with Variance included</t>
  </si>
  <si>
    <t xml:space="preserve">Variance of each product's demand calculated from Actual and Regressed Demand </t>
  </si>
  <si>
    <t>Variance is applied into the Growth Projections for demand</t>
  </si>
  <si>
    <t>Total of Year-on-Year projections will be calculated into the Growth Projection</t>
  </si>
  <si>
    <t>Monte Carlo Simulation applied on Revenue CAGR % to proxy for Company's CAGR till 2028</t>
  </si>
  <si>
    <t xml:space="preserve">1) Variance calculated are homoskedastic </t>
  </si>
  <si>
    <t>2) Normal distribution is assumed for variance</t>
  </si>
  <si>
    <t>3) Revenue CAGR % will proxy very closely to Company's CAGR % (which is highly accurate for sales of goods)</t>
  </si>
  <si>
    <t>All profits from Year 2014 in 2018 from the Singapore stores invested into overseas expansion</t>
  </si>
  <si>
    <t>Loans are taken to finance production in the beginning of the year and repaid at the end</t>
  </si>
  <si>
    <t>Only the amount difference from past year profit and current total cost will be loaned</t>
  </si>
  <si>
    <t>SME Interest Rate will be applied to the amount of loan and added unto the total costs</t>
  </si>
  <si>
    <t>Two rounds of expansions overseas are accounted for</t>
  </si>
  <si>
    <t>Revenue and Costs overseas are based on the proportions in Singapore</t>
  </si>
  <si>
    <t>Monte Carlo Simulation applied to Revenue CAGR to estimate probability of overperforming the CAGR required</t>
  </si>
  <si>
    <t>Documentation</t>
  </si>
  <si>
    <t>C5</t>
  </si>
  <si>
    <t>&lt;Input&gt;</t>
  </si>
  <si>
    <t>D5</t>
  </si>
  <si>
    <t>E5</t>
  </si>
  <si>
    <t>Price per unit volume</t>
  </si>
  <si>
    <t>F5</t>
  </si>
  <si>
    <t>Ingredient cost per unit volume</t>
  </si>
  <si>
    <t>G5</t>
  </si>
  <si>
    <t>H5</t>
  </si>
  <si>
    <t>I5</t>
  </si>
  <si>
    <t>J5</t>
  </si>
  <si>
    <t>K5</t>
  </si>
  <si>
    <t>I12</t>
  </si>
  <si>
    <t>J12</t>
  </si>
  <si>
    <t>K12</t>
  </si>
  <si>
    <t>L12</t>
  </si>
  <si>
    <t>O5</t>
  </si>
  <si>
    <t>Shop Rental cost</t>
  </si>
  <si>
    <t>O6</t>
  </si>
  <si>
    <t>Electricity cost</t>
  </si>
  <si>
    <t>O7</t>
  </si>
  <si>
    <t>Part-Timers pay</t>
  </si>
  <si>
    <t>O8</t>
  </si>
  <si>
    <t>Full-Timers pay</t>
  </si>
  <si>
    <t>O9</t>
  </si>
  <si>
    <t>Marketing cost</t>
  </si>
  <si>
    <t>O10</t>
  </si>
  <si>
    <t>P5</t>
  </si>
  <si>
    <t>Quantity of Tables</t>
  </si>
  <si>
    <t>P6</t>
  </si>
  <si>
    <t>Quantity of electricity</t>
  </si>
  <si>
    <t>P7</t>
  </si>
  <si>
    <t>Number of part-timers</t>
  </si>
  <si>
    <t>P8</t>
  </si>
  <si>
    <t>Number of full-timers</t>
  </si>
  <si>
    <t>P9</t>
  </si>
  <si>
    <t>Quantity of marketing</t>
  </si>
  <si>
    <t>P10</t>
  </si>
  <si>
    <t>Quantity of others</t>
  </si>
  <si>
    <t>Q5</t>
  </si>
  <si>
    <t>Total Shop Rental cost</t>
  </si>
  <si>
    <t>Q6</t>
  </si>
  <si>
    <t>Total Electricity cost</t>
  </si>
  <si>
    <t>Q7</t>
  </si>
  <si>
    <t>Total Part-time pay</t>
  </si>
  <si>
    <t>Q8</t>
  </si>
  <si>
    <t>Total Full-time pay</t>
  </si>
  <si>
    <t>Q9</t>
  </si>
  <si>
    <t>Total Marketing cost</t>
  </si>
  <si>
    <t>Q10</t>
  </si>
  <si>
    <t>Total Others cost</t>
  </si>
  <si>
    <t>Q11</t>
  </si>
  <si>
    <t>Total Fixed Cost for Year 2014</t>
  </si>
  <si>
    <t xml:space="preserve">Product Line will not changed </t>
  </si>
  <si>
    <t>Average % Sales of each product will reamain unchanged</t>
  </si>
  <si>
    <t>Order Quantity for each product is determined by taking Average % Sales per product*Total Order Quantity</t>
  </si>
  <si>
    <t>Sum of Jan</t>
  </si>
  <si>
    <t>Sum of Feb</t>
  </si>
  <si>
    <t>Sum of Mar</t>
  </si>
  <si>
    <t>Sum of Apr</t>
  </si>
  <si>
    <t>Sum of May</t>
  </si>
  <si>
    <t>Sum of Jun</t>
  </si>
  <si>
    <t>Sum of Jul</t>
  </si>
  <si>
    <t>Sum of Aug</t>
  </si>
  <si>
    <t>Sum of Sep</t>
  </si>
  <si>
    <t>Sum of Oct</t>
  </si>
  <si>
    <t>Sum of Nov</t>
  </si>
  <si>
    <t>Sum of Dec</t>
  </si>
  <si>
    <t>Row Labels</t>
  </si>
  <si>
    <t>Grand Total</t>
  </si>
  <si>
    <t>Price (2014-2016)</t>
  </si>
  <si>
    <t>Price (2017-2018)</t>
  </si>
  <si>
    <t>Price (2019+)</t>
  </si>
  <si>
    <t>B4</t>
  </si>
  <si>
    <t>Estimated effect of marketing increase</t>
  </si>
  <si>
    <t>C4</t>
  </si>
  <si>
    <t>Absolute Effect in $</t>
  </si>
  <si>
    <t>B19</t>
  </si>
  <si>
    <t>Marketing &amp; Revenue year</t>
  </si>
  <si>
    <t>C20</t>
  </si>
  <si>
    <t>D19</t>
  </si>
  <si>
    <t>C27</t>
  </si>
  <si>
    <t>Estimated effect of marketing increase in %</t>
  </si>
  <si>
    <t>&lt;Input&gt; using dropdown box</t>
  </si>
  <si>
    <t>B18:D23</t>
  </si>
  <si>
    <t>Marketing &amp; Revenue Table</t>
  </si>
  <si>
    <t>Taken from "Marketing Effects" worksheet</t>
  </si>
  <si>
    <t>B30</t>
  </si>
  <si>
    <t>C31</t>
  </si>
  <si>
    <t>D30</t>
  </si>
  <si>
    <t>Assumed Trend before marketing</t>
  </si>
  <si>
    <t>B38</t>
  </si>
  <si>
    <t>Slope after Marketing</t>
  </si>
  <si>
    <t>C38</t>
  </si>
  <si>
    <t>Intercept after Marketing</t>
  </si>
  <si>
    <t>B43</t>
  </si>
  <si>
    <t>Projected Year</t>
  </si>
  <si>
    <t>B62</t>
  </si>
  <si>
    <t>Backtesting for Year 2018 years</t>
  </si>
  <si>
    <t>C63</t>
  </si>
  <si>
    <t>D62</t>
  </si>
  <si>
    <t>E62</t>
  </si>
  <si>
    <t>B69</t>
  </si>
  <si>
    <t>Slope after marketing</t>
  </si>
  <si>
    <t>C69</t>
  </si>
  <si>
    <t>C72</t>
  </si>
  <si>
    <t>Original Regression Year of 2018</t>
  </si>
  <si>
    <t>D72</t>
  </si>
  <si>
    <t>Backtested: After Marketing</t>
  </si>
  <si>
    <t>C75</t>
  </si>
  <si>
    <t>Backtesting Error in %</t>
  </si>
  <si>
    <t>D78</t>
  </si>
  <si>
    <t>Maximum Marketing Effect before exceeding 
allowable backtesting error of 10%</t>
  </si>
  <si>
    <t>Y bar for 2015 Revenue</t>
  </si>
  <si>
    <t>Y hat for 2015 Revenue</t>
  </si>
  <si>
    <t>Yi for 2015 Revenue</t>
  </si>
  <si>
    <t>(Yi - Ybar) squared for 2015 Revenue</t>
  </si>
  <si>
    <t>Var(Revenue) for 2015 Revenue</t>
  </si>
  <si>
    <t>G51</t>
  </si>
  <si>
    <t>H51</t>
  </si>
  <si>
    <t>I51</t>
  </si>
  <si>
    <t>P-Value</t>
  </si>
  <si>
    <t>B3</t>
  </si>
  <si>
    <t>Revenue Year</t>
  </si>
  <si>
    <t>C3</t>
  </si>
  <si>
    <t>D3</t>
  </si>
  <si>
    <t>Regresed trend aftrer Marketing</t>
  </si>
  <si>
    <t>E3</t>
  </si>
  <si>
    <t>G4</t>
  </si>
  <si>
    <t>G6</t>
  </si>
  <si>
    <t>B11</t>
  </si>
  <si>
    <t>C11</t>
  </si>
  <si>
    <t>D11</t>
  </si>
  <si>
    <t>Price of Perfume</t>
  </si>
  <si>
    <t>E11</t>
  </si>
  <si>
    <t>Rate(Price/ml)</t>
  </si>
  <si>
    <t>F11</t>
  </si>
  <si>
    <t>G11</t>
  </si>
  <si>
    <t>Demand based Year 2017</t>
  </si>
  <si>
    <t>H11</t>
  </si>
  <si>
    <t>D21</t>
  </si>
  <si>
    <t>Price of Eau De Parfum (30ml)</t>
  </si>
  <si>
    <t>E21</t>
  </si>
  <si>
    <t>F21</t>
  </si>
  <si>
    <t>G21</t>
  </si>
  <si>
    <t>H21</t>
  </si>
  <si>
    <t>I21</t>
  </si>
  <si>
    <t>J21</t>
  </si>
  <si>
    <t>K21</t>
  </si>
  <si>
    <t>L21</t>
  </si>
  <si>
    <t>Regressed trend before marketing</t>
  </si>
  <si>
    <t/>
  </si>
  <si>
    <t>q</t>
  </si>
  <si>
    <t>Bodymist Prices</t>
  </si>
  <si>
    <t>Inventory Forecasting</t>
  </si>
  <si>
    <t>Probability of hitting Company Valuation in 2028</t>
  </si>
  <si>
    <t>Bodymist Demand</t>
  </si>
  <si>
    <t>Forecasted Demand</t>
  </si>
  <si>
    <t>Seasonalised Forecasted Demand</t>
  </si>
  <si>
    <t>Deseasonalised Forecasted Demand</t>
  </si>
  <si>
    <t>Max. Forecasted Demand</t>
  </si>
  <si>
    <t>Safety Stock Level</t>
  </si>
  <si>
    <t>Forecasted Revenue</t>
  </si>
  <si>
    <t>Borrowing Interest Rate (SME)</t>
  </si>
  <si>
    <t>Forecasted Costs</t>
  </si>
  <si>
    <t>Current Company Valuation</t>
  </si>
  <si>
    <t>Initial Investments for Overseas Expansion</t>
  </si>
  <si>
    <t>Company Target Valuation in 2028</t>
  </si>
  <si>
    <t>Forecasted Profits</t>
  </si>
  <si>
    <t>Average Lead Time</t>
  </si>
  <si>
    <t>Forecasted CAGR</t>
  </si>
  <si>
    <t>Max. Lead Time</t>
  </si>
  <si>
    <t>Average Forecasted CAGR</t>
  </si>
  <si>
    <t>Standard Deviation of Forecasted CAGR</t>
  </si>
  <si>
    <t>Forecasted Company Valuation in 2028</t>
  </si>
  <si>
    <t>Our group aims to help Freda'D, a startup perfumery, with the main objective to improve the business process by:
- Optimisation of prices 
- Inventory management and forecasting
- Valuation</t>
  </si>
  <si>
    <t>Actual Seasonality Index</t>
  </si>
  <si>
    <t>Forecasted Seasonality Index</t>
  </si>
  <si>
    <t>Average Seasonality of Months with CNY (Yr 2014 &amp; 2017)</t>
  </si>
  <si>
    <t>Average Seasonality of Months with Valentine's (Yr 2014 &amp; 2017)</t>
  </si>
  <si>
    <t>Average Seasonlity for Months with Mother's Day (Avg of Yr 2014 to 2017)</t>
  </si>
  <si>
    <t>Average Seasonaliy of Months with Hari Raya Puasa (Avg of Yr 2014 to Yr 2016)</t>
  </si>
  <si>
    <t>Average Seasonality of Months with GSS (Avg of Yr 2014,2015 &amp; 2016)</t>
  </si>
  <si>
    <t>Average Seasonality of Months with Christmas (Avg of Yr 2014 to Yr 2017)</t>
  </si>
  <si>
    <t>Standard Deviation (Seasonality Forecast)</t>
  </si>
  <si>
    <t>Seasonality Factors are added back to deseasonalised sales which is calculated under "Growth Projection" tab to detemine sales forecast from 2019 to 2028</t>
  </si>
  <si>
    <t>Backtesting of the seasonality index is done by calculating Mean Absolute Deviation between actual seasonality index in 2018 with average seasonality index (2014 to 2017)</t>
  </si>
  <si>
    <t xml:space="preserve">Max Monthly Demand is found by taking forecasted monthly sales plus the summation of 2 standard deviation of seasonality effects + sales forecast error </t>
  </si>
  <si>
    <t>Sales Forecast Error is calculated under Growth Projection tab and excludes the error of calculating seasonality effects as the backtesting in under growth projection tab is for the entire year</t>
  </si>
  <si>
    <t>Safety Stock is calculated with the formula = (Max Monthly Demand*Max Lead Time)-(Average Monthly Demand*Average Lead Time)</t>
  </si>
  <si>
    <t>Order Quantity for all products is calculated with the formula = Forecasted Sales Amount + Safety Stock</t>
  </si>
  <si>
    <t>Seasonality Effects will remain constant till 2028</t>
  </si>
  <si>
    <t>Freda'D Perfume</t>
  </si>
  <si>
    <t>Graphs are plotted based on past monthly sales for each product</t>
  </si>
  <si>
    <t>Trends are eyeballed to see if seasonality effects really exist</t>
  </si>
  <si>
    <t>Historical Sales Data from 2014 to 2017 is used to calculate average seasonality factors</t>
  </si>
  <si>
    <t xml:space="preserve">Average % Sale of each product per year is calculated </t>
  </si>
  <si>
    <t>Each product is eyeballed to check if there is any anomaly in sales %</t>
  </si>
  <si>
    <t>Demand for Eau De Parfum(30ml)</t>
  </si>
  <si>
    <t>Fixed Cost for Eau De Parfum(30ml)</t>
  </si>
  <si>
    <t>Ingredient Cost for Eau De Parfum(30ml)</t>
  </si>
  <si>
    <t>Bottle Cost for Eau De Parfum(30ml)</t>
  </si>
  <si>
    <t>Volume for Eau De Parfum(30ml)</t>
  </si>
  <si>
    <t>Total Volume for Eau De Parfum(30ml)</t>
  </si>
  <si>
    <t>Revenue for Eau De Parfum(30ml)</t>
  </si>
  <si>
    <t>Total Var Cost for Eau De Parfum(30ml)</t>
  </si>
  <si>
    <t>K26</t>
  </si>
  <si>
    <t>Total Revenue for Optimised Price on 2018 Scenario 1</t>
  </si>
  <si>
    <t>L26</t>
  </si>
  <si>
    <t>Total Cost for Optimised Price on 2018 Scenario 1</t>
  </si>
  <si>
    <t>M26</t>
  </si>
  <si>
    <t>Total Profit for Optimised Price on 2018 Scenario 1</t>
  </si>
  <si>
    <t>N26</t>
  </si>
  <si>
    <t>Total Profit in % for Optimised Price on 2018 Scenario 1</t>
  </si>
  <si>
    <t>C66</t>
  </si>
  <si>
    <t>Price in % for Scenario 1</t>
  </si>
  <si>
    <t>Price Elasticity of Demand for Eau De Parfum(30ml)</t>
  </si>
  <si>
    <t>H4</t>
  </si>
  <si>
    <t>Price for Eau De Parfum (30ml)</t>
  </si>
  <si>
    <t>I4</t>
  </si>
  <si>
    <t>J4</t>
  </si>
  <si>
    <t>K4</t>
  </si>
  <si>
    <t>Variable cost(per ml) for Eau De Parfum (30ml)</t>
  </si>
  <si>
    <t>L4</t>
  </si>
  <si>
    <t>Variable cost (per bottle) for Eau de Parfum (30ml)</t>
  </si>
  <si>
    <t>M4</t>
  </si>
  <si>
    <t>N4</t>
  </si>
  <si>
    <t>Total Volume for Eau de Parfum(30ml)</t>
  </si>
  <si>
    <t>O4</t>
  </si>
  <si>
    <t>Revenue for Eau de Parfum(30ml)</t>
  </si>
  <si>
    <t>P4</t>
  </si>
  <si>
    <t>Total Var cost for Eau De Parfum(30ml)</t>
  </si>
  <si>
    <t>I13</t>
  </si>
  <si>
    <t>Demand for Eau De Parfum(50ml)</t>
  </si>
  <si>
    <t>D15</t>
  </si>
  <si>
    <t>Price step in % ( Adjustment to Sensitivity Range)</t>
  </si>
  <si>
    <t>Total Profit given the prices of Eau De Parfum(30ml) and (50ml)</t>
  </si>
  <si>
    <t>C20 : N31</t>
  </si>
  <si>
    <t>Profit Table for respective prices of Eau de Parfum(30ml) and (50ml)</t>
  </si>
  <si>
    <t>D4</t>
  </si>
  <si>
    <t>C13</t>
  </si>
  <si>
    <t>Trend after Marketing</t>
  </si>
  <si>
    <t>D12</t>
  </si>
  <si>
    <t>Regressed Trend after Marketing</t>
  </si>
  <si>
    <t>B20</t>
  </si>
  <si>
    <t>Slope for after marketing</t>
  </si>
  <si>
    <t>Intercept for after marketing</t>
  </si>
  <si>
    <t>E20</t>
  </si>
  <si>
    <t>Estimated effect of marketing increase(100%)</t>
  </si>
  <si>
    <t>Eau De Parfum(30ml) PED</t>
  </si>
  <si>
    <t>C6</t>
  </si>
  <si>
    <t>Eau De Parfum(50ml) PED</t>
  </si>
  <si>
    <t>Price of Eau De Parfum(30ml)</t>
  </si>
  <si>
    <t>Variable Cost for Eau De Parfum(30ml) per bottle</t>
  </si>
  <si>
    <t>Variable Cost for Eau De Parfum(30ml) per ml</t>
  </si>
  <si>
    <t>Total Volume of Eau De Parfum(30ml) sold</t>
  </si>
  <si>
    <t>Total Variable Cost for Eau De Parfum(30ml)</t>
  </si>
  <si>
    <t>N9</t>
  </si>
  <si>
    <t>Total Revenue for Year 2018</t>
  </si>
  <si>
    <t>Total Cost for Year 2018</t>
  </si>
  <si>
    <t>Total Profit for Year 2018</t>
  </si>
  <si>
    <t>Total profit for Year 2018 in %</t>
  </si>
  <si>
    <t>F22</t>
  </si>
  <si>
    <t>Optimised Total Profit</t>
  </si>
  <si>
    <t>using solver</t>
  </si>
  <si>
    <t>G22</t>
  </si>
  <si>
    <t>Optimised Price for 30ml</t>
  </si>
  <si>
    <t>H22</t>
  </si>
  <si>
    <t xml:space="preserve">Optimised Price for 50ml </t>
  </si>
  <si>
    <t>C9</t>
  </si>
  <si>
    <t>C10</t>
  </si>
  <si>
    <t>Actual Yearly demand for 2014 Eau de Parfum(30ml)</t>
  </si>
  <si>
    <t>Previous Demand after PED Balancing for 2014 Eau de Parfum(30ml)</t>
  </si>
  <si>
    <t>C16</t>
  </si>
  <si>
    <t>Forecasted Demand for 2019 for Eau De Parfum(30ml)</t>
  </si>
  <si>
    <t>J3</t>
  </si>
  <si>
    <t>PED for Eau De Parfum(30ml) price</t>
  </si>
  <si>
    <t>I10</t>
  </si>
  <si>
    <t>Intercept for Yearly demand for Eau De Parfum(30ml)</t>
  </si>
  <si>
    <t>Year Projection Input</t>
  </si>
  <si>
    <t>&lt;Input using Drop-down box&gt;</t>
  </si>
  <si>
    <t>C22</t>
  </si>
  <si>
    <t>J34</t>
  </si>
  <si>
    <t>Projected Total Revenue for Selected Year</t>
  </si>
  <si>
    <t>K34</t>
  </si>
  <si>
    <t>Projected Total Cost for Seleted Year</t>
  </si>
  <si>
    <t>L34</t>
  </si>
  <si>
    <t>Projected Total Profit for Selected Year</t>
  </si>
  <si>
    <t>M34</t>
  </si>
  <si>
    <t>Projected Total Profit for Selected Year in %</t>
  </si>
  <si>
    <t>Eau De Parfum(30ml) for 2014</t>
  </si>
  <si>
    <t>Variance for 2014 Sales Eau De Parfum(30ml)</t>
  </si>
  <si>
    <t>Forecasted Demand for Eau De Parfum(30ml) 2014</t>
  </si>
  <si>
    <t>Eau De Parfum(30ml) Suggested Price</t>
  </si>
  <si>
    <t>C23</t>
  </si>
  <si>
    <t>Y bar for 2014</t>
  </si>
  <si>
    <t>Y hat for 2014</t>
  </si>
  <si>
    <t>J6</t>
  </si>
  <si>
    <t>J7</t>
  </si>
  <si>
    <t>J9</t>
  </si>
  <si>
    <t>J10</t>
  </si>
  <si>
    <t>Var(30ml)</t>
  </si>
  <si>
    <t>D28</t>
  </si>
  <si>
    <t>Price for Eau De Parfum(30ml)</t>
  </si>
  <si>
    <t>E28</t>
  </si>
  <si>
    <t>F28</t>
  </si>
  <si>
    <t>G28</t>
  </si>
  <si>
    <t>H28</t>
  </si>
  <si>
    <t>I28</t>
  </si>
  <si>
    <t>J28</t>
  </si>
  <si>
    <t>K28</t>
  </si>
  <si>
    <t>L28</t>
  </si>
  <si>
    <t>M28</t>
  </si>
  <si>
    <t>Variable Cost(per ml)</t>
  </si>
  <si>
    <t>Variable Cost(per bottle)</t>
  </si>
  <si>
    <t xml:space="preserve">Volume </t>
  </si>
  <si>
    <t>Total Volume sold</t>
  </si>
  <si>
    <t>Total Variable Cost</t>
  </si>
  <si>
    <t>C110:L115</t>
  </si>
  <si>
    <t>Growth Projection Table from 2019-2028</t>
  </si>
  <si>
    <t>K33</t>
  </si>
  <si>
    <t>Total Revenue 2019</t>
  </si>
  <si>
    <t>L33</t>
  </si>
  <si>
    <t>Total Cost 2019</t>
  </si>
  <si>
    <t>M33</t>
  </si>
  <si>
    <t>Total Profit 2019</t>
  </si>
  <si>
    <t>N110</t>
  </si>
  <si>
    <t>N115</t>
  </si>
  <si>
    <t>Target Valuation by 2028</t>
  </si>
  <si>
    <t>Possibility of Hitting Target Valuation by 2028</t>
  </si>
  <si>
    <t>B6</t>
  </si>
  <si>
    <t>SME's loan interest rate (Found online)</t>
  </si>
  <si>
    <t>Total Past Revenue from 2014-2018</t>
  </si>
  <si>
    <t>E6</t>
  </si>
  <si>
    <t>Total Cost from 2014 - 2018</t>
  </si>
  <si>
    <t>E7</t>
  </si>
  <si>
    <t>Total Past Profit</t>
  </si>
  <si>
    <t>E8</t>
  </si>
  <si>
    <t>Revenue 2019</t>
  </si>
  <si>
    <t>I14</t>
  </si>
  <si>
    <t>I15</t>
  </si>
  <si>
    <t>I16</t>
  </si>
  <si>
    <t>Profits 2019</t>
  </si>
  <si>
    <t>Total Cost inclusive of borrowing 2019</t>
  </si>
  <si>
    <t>I19</t>
  </si>
  <si>
    <t>I20</t>
  </si>
  <si>
    <t>I22</t>
  </si>
  <si>
    <t>N25</t>
  </si>
  <si>
    <t>Revenue 2024 in other countries Round 2</t>
  </si>
  <si>
    <t>Total Cost 2024 in other countries Round 2</t>
  </si>
  <si>
    <t>Revenue 2019 in other countries Round 1</t>
  </si>
  <si>
    <t>Total Cost 2019 in other countries Round 1</t>
  </si>
  <si>
    <t>Total Cost 2019 with Borrowing in other countries Round 1</t>
  </si>
  <si>
    <t>Profits in other countries Round 1</t>
  </si>
  <si>
    <t>N27</t>
  </si>
  <si>
    <t>N28</t>
  </si>
  <si>
    <t>Total Cost 2024 with borrowing in other countries Round 2</t>
  </si>
  <si>
    <t>Profits 2024 in other countries Round 2</t>
  </si>
  <si>
    <t>10000 simulations of CAGR(Total Revenue)</t>
  </si>
  <si>
    <t>O40:O10039</t>
  </si>
  <si>
    <t>T37</t>
  </si>
  <si>
    <t>CAGR(Total Revenue)</t>
  </si>
  <si>
    <t>S40</t>
  </si>
  <si>
    <t>T42</t>
  </si>
  <si>
    <t>T43</t>
  </si>
  <si>
    <t>T44</t>
  </si>
  <si>
    <t xml:space="preserve">Target CAGR </t>
  </si>
  <si>
    <t>S47</t>
  </si>
  <si>
    <t>S50</t>
  </si>
  <si>
    <t>Probability of hitting Valuation by 2028</t>
  </si>
  <si>
    <t>A3</t>
  </si>
  <si>
    <t>Perfume(30ml)</t>
  </si>
  <si>
    <t>B42:G48</t>
  </si>
  <si>
    <t>Reasons for seasonal spikes in sales</t>
  </si>
  <si>
    <t>&lt;Input&lt;&gt;</t>
  </si>
  <si>
    <t>B2</t>
  </si>
  <si>
    <t>Recommended Order Quantity for 30ml Blue on 1st of January</t>
  </si>
  <si>
    <t>Recommended Order Quantity for 30ml Blue on 1st of February</t>
  </si>
  <si>
    <t>C2</t>
  </si>
  <si>
    <t>Recommended Order Quantity for 30ml Black on 1st of January</t>
  </si>
  <si>
    <t>Recommended Order Quantity for 30ml Black on 1st of February</t>
  </si>
  <si>
    <t>Number of 30ml Blue sold on 2014</t>
  </si>
  <si>
    <t>D13</t>
  </si>
  <si>
    <t>Proportion of 30ml Blue sold on 2014</t>
  </si>
  <si>
    <t>D18</t>
  </si>
  <si>
    <t>Average proportion of 30ml Blue sold between 2014 to 2018</t>
  </si>
  <si>
    <t>AJ4</t>
  </si>
  <si>
    <t>Total Sales for all 30ml Eau De Parfum products in 2014</t>
  </si>
  <si>
    <t>Total Sales for all 50ml Eau De Parfum products in 2014</t>
  </si>
  <si>
    <t>AK4</t>
  </si>
  <si>
    <t>AL4</t>
  </si>
  <si>
    <t>Total Sales for all Body Mist products in 2014</t>
  </si>
  <si>
    <t>A2</t>
  </si>
  <si>
    <t xml:space="preserve">Quantity Sold </t>
  </si>
  <si>
    <t>D50</t>
  </si>
  <si>
    <t>H50</t>
  </si>
  <si>
    <t xml:space="preserve">Seasonality Forecast Error </t>
  </si>
  <si>
    <t>F62</t>
  </si>
  <si>
    <t>Deseasonalised Forecast</t>
  </si>
  <si>
    <t>Seasonalised Forecast</t>
  </si>
  <si>
    <t>I62</t>
  </si>
  <si>
    <t>J62</t>
  </si>
  <si>
    <t>K62</t>
  </si>
  <si>
    <t>L62</t>
  </si>
  <si>
    <t>M62</t>
  </si>
  <si>
    <t>Required Inventory(Beg Month)</t>
  </si>
  <si>
    <t>L63</t>
  </si>
  <si>
    <t>Starting Inventory(Forecasted) from February</t>
  </si>
  <si>
    <t>Starting Inventory(Forecasted) January</t>
  </si>
  <si>
    <t>O3</t>
  </si>
  <si>
    <t>Average Seasonality of Months with CNY for Year 2014 and 2017</t>
  </si>
  <si>
    <t>Average Seasonality of Months with Valentine's for Year 2014 and 2017</t>
  </si>
  <si>
    <t>Average Seasonality for Months with Mother's Day (Avg of Yr 2014 to 2017)</t>
  </si>
  <si>
    <t>R4:AH9</t>
  </si>
  <si>
    <t>Respective Festive Seasons Table from 2014 to 2030</t>
  </si>
  <si>
    <t>O12</t>
  </si>
  <si>
    <t>Standard Deviation of Seasonality Forecast</t>
  </si>
  <si>
    <t>O13</t>
  </si>
  <si>
    <t>Average Lead Time in Months</t>
  </si>
  <si>
    <t>O14</t>
  </si>
  <si>
    <t>Max Lead Time in Months</t>
  </si>
  <si>
    <t>Sales in Jan for 2014 for Perfume(30ml)</t>
  </si>
  <si>
    <t>F3</t>
  </si>
  <si>
    <t>Sales in Feb for 2014 for Perfume(30ml)</t>
  </si>
  <si>
    <t>Sales in March for 2014 for Perfume(30ml)</t>
  </si>
  <si>
    <t>Sales in April for 2014 for Perfume(30ml)</t>
  </si>
  <si>
    <t>G3</t>
  </si>
  <si>
    <t>Sales in May for 2014 for Perfume(30ml)</t>
  </si>
  <si>
    <t>H3</t>
  </si>
  <si>
    <t>Sales in June for 2014 for Perfume(30ml)</t>
  </si>
  <si>
    <t>I3</t>
  </si>
  <si>
    <t>Sales in July for 2014 for Perfume (30ml)</t>
  </si>
  <si>
    <t>Sales in August for 2014 for Perfume(30ml)</t>
  </si>
  <si>
    <t>K3</t>
  </si>
  <si>
    <t>Sales in September for 2014 for Perfume(30ml)</t>
  </si>
  <si>
    <t>L3</t>
  </si>
  <si>
    <t>Sales in October for 2014 for Perfume(30ml)</t>
  </si>
  <si>
    <t>M3</t>
  </si>
  <si>
    <t>Sales in November for 2014 for Perfume(30ml)</t>
  </si>
  <si>
    <t>N3</t>
  </si>
  <si>
    <t>Sales in December for 2014 for Perfume(30ml)</t>
  </si>
  <si>
    <t>Dates</t>
  </si>
  <si>
    <t>E3:G16</t>
  </si>
  <si>
    <t>Marketing Effects Graph</t>
  </si>
  <si>
    <t>Regressed Sales after Marketing Effect in % Graph</t>
  </si>
  <si>
    <t>Backtesting for Slope Graph</t>
  </si>
  <si>
    <t>O20:X36</t>
  </si>
  <si>
    <t>Sensitivity Analysis Graph</t>
  </si>
  <si>
    <t>I39:L51</t>
  </si>
  <si>
    <t>CAGR(Total Revenue) Graph</t>
  </si>
  <si>
    <t>I24:C38</t>
  </si>
  <si>
    <t>Perfume (30ml) Yearly Sales Graph</t>
  </si>
  <si>
    <t>E24:I38</t>
  </si>
  <si>
    <t>Perfume(50ml) Yearly Sales Graph</t>
  </si>
  <si>
    <t>M24:R39</t>
  </si>
  <si>
    <t>Body Mist(100ml) Yearly Sales Graph</t>
  </si>
  <si>
    <t>T11:AD37</t>
  </si>
  <si>
    <t>Pivot Table for all products sold for each year</t>
  </si>
  <si>
    <t>F41</t>
  </si>
  <si>
    <t>F42</t>
  </si>
  <si>
    <t>F43</t>
  </si>
  <si>
    <t>F44</t>
  </si>
  <si>
    <t>F46</t>
  </si>
  <si>
    <t>E51</t>
  </si>
  <si>
    <t>F51</t>
  </si>
  <si>
    <t>Current Valuation (2018)</t>
  </si>
  <si>
    <t>GST %</t>
  </si>
  <si>
    <t>Definitely 0%</t>
  </si>
  <si>
    <t>&lt;input&gt;</t>
  </si>
  <si>
    <t>O118</t>
  </si>
  <si>
    <t>O119</t>
  </si>
  <si>
    <t>O120</t>
  </si>
  <si>
    <t>N123</t>
  </si>
  <si>
    <t>*These are arbitrary numbers, next few months of sales to be recorded for accuracy purposes</t>
  </si>
  <si>
    <t>CAGR Calculation (SG Only)</t>
  </si>
  <si>
    <t>No GST</t>
  </si>
  <si>
    <t>GST is added into the calculations</t>
  </si>
  <si>
    <t>Total Costs w/ GST</t>
  </si>
  <si>
    <t>Total Cost w/ GST</t>
  </si>
  <si>
    <t>% of Profits Taken Out</t>
  </si>
  <si>
    <t>Profits (after taking out)</t>
  </si>
  <si>
    <t>\</t>
  </si>
  <si>
    <t>Price of 50 ml</t>
  </si>
  <si>
    <t>Forecasting Error</t>
  </si>
  <si>
    <t>PED Steps</t>
  </si>
  <si>
    <t>Trade-off Analysis for Profits</t>
  </si>
  <si>
    <t>Sensitivity Analysis for PED</t>
  </si>
  <si>
    <t>Price of 30 ml</t>
  </si>
  <si>
    <t>PED of 30ml</t>
  </si>
  <si>
    <t>PED of 50ml</t>
  </si>
  <si>
    <t>100ml  Elegance Body Mist</t>
  </si>
  <si>
    <t>100ml  Diamond Body Mist</t>
  </si>
  <si>
    <t xml:space="preserve"> 100ml  Fancy Body Mist</t>
  </si>
  <si>
    <t>100ml  Romance Body Mist</t>
  </si>
  <si>
    <t>2019</t>
  </si>
  <si>
    <t>Years</t>
  </si>
  <si>
    <t>Total Sum</t>
  </si>
  <si>
    <t>50ml  Warm</t>
  </si>
  <si>
    <t>50ml  Vogue</t>
  </si>
  <si>
    <t xml:space="preserve"> 50ml  Sexy</t>
  </si>
  <si>
    <t>50ml  Sensual</t>
  </si>
  <si>
    <t>50ml  Sahara</t>
  </si>
  <si>
    <t>50ml  Romance</t>
  </si>
  <si>
    <t>50ml  Love</t>
  </si>
  <si>
    <t>50ml  Fancy</t>
  </si>
  <si>
    <t>50ml  Elegance</t>
  </si>
  <si>
    <t>50ml  Diamond</t>
  </si>
  <si>
    <t>50ml  Christmas</t>
  </si>
  <si>
    <t>50ml  Black</t>
  </si>
  <si>
    <t>50ml  Blue</t>
  </si>
  <si>
    <t>30ml  Warm</t>
  </si>
  <si>
    <t>30ml  Vogue</t>
  </si>
  <si>
    <t>30ml  Sexy</t>
  </si>
  <si>
    <t>30ml  Sensual</t>
  </si>
  <si>
    <t>30ml  Sahara</t>
  </si>
  <si>
    <t>30ml  Romance</t>
  </si>
  <si>
    <t>30ml  Love</t>
  </si>
  <si>
    <t>30ml  Fancy</t>
  </si>
  <si>
    <t>30ml  Elegance</t>
  </si>
  <si>
    <t>30ml  Diamond</t>
  </si>
  <si>
    <t>30ml  Christmas</t>
  </si>
  <si>
    <t>30ml  Black</t>
  </si>
  <si>
    <t>30ml  Blue</t>
  </si>
  <si>
    <t>Company Target Valuation by 2028</t>
  </si>
  <si>
    <t>Valuations</t>
  </si>
  <si>
    <t>% of Profits taken out for Company Savings</t>
  </si>
  <si>
    <t>Borrowing Interest Rate (SMEs)</t>
  </si>
  <si>
    <t>GST</t>
  </si>
  <si>
    <t>Bottle Cost(Body Mist)</t>
  </si>
  <si>
    <t>Bottle Cost(Eau De Parfum 50ml)</t>
  </si>
  <si>
    <t>Bottle Cost(Eau De Parfum 30ml)</t>
  </si>
  <si>
    <t>Ingredient cost per ml(Body Mist)</t>
  </si>
  <si>
    <t>Probability of hitting Target CAGR %</t>
  </si>
  <si>
    <t>Ingredient cost per ml(Eau De Parfum 30ml)</t>
  </si>
  <si>
    <t>Projected CAGR %</t>
  </si>
  <si>
    <t>Variable Cost</t>
  </si>
  <si>
    <t>Target CAGR %</t>
  </si>
  <si>
    <t xml:space="preserve">Valuation Results based on Key Inputs </t>
  </si>
  <si>
    <t>Pay for Part-timers</t>
  </si>
  <si>
    <t>Pay for Full-timers</t>
  </si>
  <si>
    <t>Fixed Cost Components</t>
  </si>
  <si>
    <t>Profit Margin for Year</t>
  </si>
  <si>
    <t>Total Profits for Year</t>
  </si>
  <si>
    <t>Bodymist (100ml)</t>
  </si>
  <si>
    <t>Total Costs for Year</t>
  </si>
  <si>
    <t xml:space="preserve">Company Financials </t>
  </si>
  <si>
    <t>(Please Select Year of Choice using the blue drop-down box)</t>
  </si>
  <si>
    <t>The results from your inputs are reflected in the yellow boxes</t>
  </si>
  <si>
    <t>Please key in your desired inputs in the yellow boxes</t>
  </si>
  <si>
    <t>RESULTS</t>
  </si>
  <si>
    <t>INPUTS</t>
  </si>
  <si>
    <t>Scent of Revitalisation - Summary Dashboard</t>
  </si>
  <si>
    <t>Password to unlock sheets:</t>
  </si>
  <si>
    <t>bestprof!</t>
  </si>
  <si>
    <t>Click on the buttons to navigate to the respective pages</t>
  </si>
  <si>
    <t>Optimised Perfume &amp; Bodymist Prices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</si>
</sst>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Red]\-&quot;$&quot;#,##0"/>
    <numFmt numFmtId="8" formatCode="&quot;$&quot;#,##0.00;[Red]\-&quot;$&quot;#,##0.00"/>
    <numFmt numFmtId="44" formatCode="_-&quot;$&quot;* #,##0.00_-;\-&quot;$&quot;* #,##0.00_-;_-&quot;$&quot;* &quot;-&quot;??_-;_-@_-"/>
    <numFmt numFmtId="164" formatCode="&quot;$&quot;#,##0_);[Red]\(&quot;$&quot;#,##0\)"/>
    <numFmt numFmtId="165" formatCode=";;;&quot;© 2014 Leong Thin Yin. All rights reserved.&quot;"/>
    <numFmt numFmtId="166" formatCode="0.00000"/>
    <numFmt numFmtId="167" formatCode="0.0"/>
    <numFmt numFmtId="168" formatCode="0.000000000"/>
    <numFmt numFmtId="169" formatCode="&quot;$&quot;#,##0.00"/>
    <numFmt numFmtId="170" formatCode="&quot;Reorder&quot;;&quot;&quot;;&quot;&quot;"/>
    <numFmt numFmtId="171" formatCode="[$-409]d/mmm/yy;@"/>
    <numFmt numFmtId="172" formatCode="&quot;$&quot;#,##0"/>
    <numFmt numFmtId="173" formatCode="0.0000%"/>
    <numFmt numFmtId="174" formatCode="0.0%"/>
    <numFmt numFmtId="175" formatCode="&quot;$&quot;#,##0.000000"/>
  </numFmts>
  <fonts count="77" x14ac:knownFonts="1">
    <font>
      <sz val="12"/>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alibri"/>
      <family val="2"/>
    </font>
    <font>
      <b/>
      <sz val="12"/>
      <name val="Calibri"/>
      <family val="2"/>
    </font>
    <font>
      <sz val="9"/>
      <name val="Calibri"/>
      <family val="2"/>
    </font>
    <font>
      <sz val="10"/>
      <color indexed="9"/>
      <name val="Calibri"/>
      <family val="2"/>
    </font>
    <font>
      <b/>
      <sz val="14"/>
      <name val="Calibri"/>
      <family val="2"/>
    </font>
    <font>
      <sz val="8"/>
      <name val="Calibri"/>
      <family val="2"/>
    </font>
    <font>
      <b/>
      <sz val="10"/>
      <name val="Calibri"/>
      <family val="2"/>
    </font>
    <font>
      <sz val="12"/>
      <color theme="1"/>
      <name val="Calibri"/>
      <family val="2"/>
      <scheme val="minor"/>
    </font>
    <font>
      <sz val="10"/>
      <name val="Arial"/>
      <family val="2"/>
    </font>
    <font>
      <i/>
      <u/>
      <sz val="8"/>
      <color rgb="FF800000"/>
      <name val="Arial"/>
      <family val="2"/>
    </font>
    <font>
      <sz val="10"/>
      <color indexed="63"/>
      <name val="Calibri"/>
      <family val="2"/>
    </font>
    <font>
      <i/>
      <sz val="10"/>
      <color indexed="16"/>
      <name val="Calibri"/>
      <family val="2"/>
    </font>
    <font>
      <sz val="10"/>
      <color indexed="12"/>
      <name val="Calibri"/>
      <family val="2"/>
    </font>
    <font>
      <sz val="10"/>
      <color indexed="61"/>
      <name val="Calibri"/>
      <family val="2"/>
    </font>
    <font>
      <sz val="10"/>
      <color theme="1"/>
      <name val="Calibri"/>
      <family val="2"/>
      <scheme val="minor"/>
    </font>
    <font>
      <sz val="10"/>
      <color indexed="55"/>
      <name val="Calibri"/>
      <family val="2"/>
    </font>
    <font>
      <sz val="10"/>
      <color theme="7" tint="-0.249977111117893"/>
      <name val="Calibri"/>
      <family val="2"/>
    </font>
    <font>
      <sz val="10"/>
      <color theme="4" tint="-0.249977111117893"/>
      <name val="Calibri"/>
      <family val="2"/>
      <scheme val="minor"/>
    </font>
    <font>
      <sz val="10"/>
      <color theme="4" tint="-0.249977111117893"/>
      <name val="Calibri"/>
      <family val="2"/>
    </font>
    <font>
      <sz val="7"/>
      <name val="Calibri"/>
      <family val="2"/>
    </font>
    <font>
      <sz val="8"/>
      <color indexed="63"/>
      <name val="Calibri"/>
      <family val="2"/>
    </font>
    <font>
      <b/>
      <sz val="12"/>
      <color theme="1"/>
      <name val="Calibri"/>
      <family val="2"/>
      <scheme val="minor"/>
    </font>
    <font>
      <b/>
      <sz val="10"/>
      <color theme="0"/>
      <name val="Calibri"/>
      <family val="2"/>
    </font>
    <font>
      <sz val="12"/>
      <color theme="0"/>
      <name val="Calibri"/>
      <family val="2"/>
      <scheme val="minor"/>
    </font>
    <font>
      <b/>
      <sz val="11"/>
      <color theme="1"/>
      <name val="Calibri"/>
      <family val="2"/>
      <scheme val="minor"/>
    </font>
    <font>
      <sz val="11"/>
      <color theme="3" tint="0.14990691854609822"/>
      <name val="Calibri"/>
      <family val="2"/>
      <scheme val="minor"/>
    </font>
    <font>
      <sz val="11"/>
      <color theme="4" tint="-0.249977111117893"/>
      <name val="Calibri"/>
      <family val="2"/>
      <scheme val="minor"/>
    </font>
    <font>
      <sz val="12"/>
      <name val="Calibri"/>
      <family val="2"/>
      <scheme val="minor"/>
    </font>
    <font>
      <sz val="10"/>
      <color theme="0"/>
      <name val="Calibri"/>
      <family val="2"/>
    </font>
    <font>
      <sz val="10"/>
      <color rgb="FF002060"/>
      <name val="Calibri"/>
      <family val="2"/>
    </font>
    <font>
      <sz val="10"/>
      <color rgb="FF00B050"/>
      <name val="Calibri"/>
      <family val="2"/>
      <scheme val="minor"/>
    </font>
    <font>
      <sz val="10"/>
      <color rgb="FF00B050"/>
      <name val="Calibri"/>
      <family val="2"/>
    </font>
    <font>
      <sz val="12"/>
      <name val="Calibri"/>
      <family val="2"/>
    </font>
    <font>
      <i/>
      <sz val="12"/>
      <color indexed="16"/>
      <name val="Calibri"/>
      <family val="2"/>
    </font>
    <font>
      <sz val="12"/>
      <color rgb="FF00B050"/>
      <name val="Calibri"/>
      <family val="2"/>
    </font>
    <font>
      <sz val="12"/>
      <color rgb="FF7030A0"/>
      <name val="Calibri"/>
      <family val="2"/>
    </font>
    <font>
      <b/>
      <sz val="12"/>
      <color theme="1"/>
      <name val="Calibri"/>
      <family val="2"/>
    </font>
    <font>
      <sz val="12"/>
      <color rgb="FF00B050"/>
      <name val="Calibri"/>
      <family val="2"/>
      <scheme val="minor"/>
    </font>
    <font>
      <i/>
      <sz val="12"/>
      <name val="Calibri"/>
      <family val="2"/>
    </font>
    <font>
      <sz val="12"/>
      <color indexed="63"/>
      <name val="Calibri"/>
      <family val="2"/>
    </font>
    <font>
      <sz val="12"/>
      <color theme="4" tint="-0.249977111117893"/>
      <name val="Calibri"/>
      <family val="2"/>
      <scheme val="minor"/>
    </font>
    <font>
      <sz val="12"/>
      <color theme="4" tint="-0.249977111117893"/>
      <name val="Calibri"/>
      <family val="2"/>
    </font>
    <font>
      <sz val="12"/>
      <color theme="7" tint="-0.249977111117893"/>
      <name val="Calibri"/>
      <family val="2"/>
    </font>
    <font>
      <sz val="11"/>
      <color rgb="FF00B050"/>
      <name val="Calibri"/>
      <family val="2"/>
      <scheme val="minor"/>
    </font>
    <font>
      <sz val="10"/>
      <name val="Calibri"/>
      <family val="2"/>
      <scheme val="minor"/>
    </font>
    <font>
      <sz val="10"/>
      <color rgb="FF002060"/>
      <name val="Calibri"/>
      <family val="2"/>
      <scheme val="minor"/>
    </font>
    <font>
      <b/>
      <sz val="10"/>
      <color theme="1"/>
      <name val="Calibri"/>
      <family val="2"/>
      <scheme val="minor"/>
    </font>
    <font>
      <b/>
      <sz val="10"/>
      <name val="Calibri"/>
      <family val="2"/>
      <scheme val="minor"/>
    </font>
    <font>
      <b/>
      <sz val="10"/>
      <color theme="0"/>
      <name val="Calibri"/>
      <family val="2"/>
      <scheme val="minor"/>
    </font>
    <font>
      <sz val="10"/>
      <color rgb="FF0070C0"/>
      <name val="Calibri"/>
      <family val="2"/>
    </font>
    <font>
      <sz val="10"/>
      <color theme="0"/>
      <name val="Calibri"/>
      <family val="2"/>
      <scheme val="minor"/>
    </font>
    <font>
      <b/>
      <sz val="12"/>
      <name val="Calibri"/>
      <family val="2"/>
      <scheme val="minor"/>
    </font>
    <font>
      <sz val="12"/>
      <color theme="8" tint="-0.249977111117893"/>
      <name val="Calibri"/>
      <family val="2"/>
      <scheme val="minor"/>
    </font>
    <font>
      <b/>
      <sz val="12"/>
      <color theme="0"/>
      <name val="Calibri"/>
      <family val="2"/>
      <scheme val="minor"/>
    </font>
    <font>
      <b/>
      <i/>
      <sz val="12"/>
      <color theme="1"/>
      <name val="Calibri"/>
      <family val="2"/>
      <scheme val="minor"/>
    </font>
    <font>
      <sz val="12"/>
      <color rgb="FF0070C0"/>
      <name val="Calibri"/>
      <family val="2"/>
      <scheme val="minor"/>
    </font>
    <font>
      <u/>
      <sz val="12"/>
      <color theme="1"/>
      <name val="Calibri"/>
      <family val="2"/>
      <scheme val="minor"/>
    </font>
    <font>
      <b/>
      <u/>
      <sz val="11"/>
      <color theme="1"/>
      <name val="Calibri"/>
      <family val="2"/>
      <scheme val="minor"/>
    </font>
    <font>
      <b/>
      <sz val="10"/>
      <color theme="4" tint="-0.249977111117893"/>
      <name val="Calibri"/>
      <family val="2"/>
    </font>
    <font>
      <i/>
      <sz val="12"/>
      <color theme="1"/>
      <name val="Calibri"/>
      <family val="2"/>
      <scheme val="minor"/>
    </font>
    <font>
      <sz val="10"/>
      <color rgb="FF993366"/>
      <name val="Calibri"/>
      <family val="2"/>
      <scheme val="minor"/>
    </font>
    <font>
      <sz val="12"/>
      <color theme="8" tint="-0.499984740745262"/>
      <name val="Calibri"/>
      <family val="2"/>
      <scheme val="minor"/>
    </font>
    <font>
      <sz val="11"/>
      <color theme="0"/>
      <name val="Calibri"/>
      <family val="2"/>
      <scheme val="minor"/>
    </font>
    <font>
      <b/>
      <sz val="11"/>
      <color theme="0"/>
      <name val="Calibri"/>
      <family val="2"/>
      <scheme val="minor"/>
    </font>
    <font>
      <b/>
      <sz val="10"/>
      <color indexed="8"/>
      <name val="Calibri"/>
      <family val="2"/>
    </font>
    <font>
      <b/>
      <sz val="10"/>
      <color theme="1"/>
      <name val="Calibri"/>
      <family val="2"/>
    </font>
    <font>
      <sz val="12"/>
      <color theme="1"/>
      <name val="Calibri"/>
      <family val="2"/>
    </font>
    <font>
      <i/>
      <sz val="16"/>
      <color indexed="16"/>
      <name val="Calibri"/>
      <family val="2"/>
    </font>
    <font>
      <sz val="20"/>
      <color theme="1"/>
      <name val="Calibri"/>
      <family val="2"/>
      <scheme val="minor"/>
    </font>
    <font>
      <sz val="16"/>
      <color theme="1"/>
      <name val="Calibri"/>
      <family val="2"/>
      <scheme val="minor"/>
    </font>
    <font>
      <b/>
      <sz val="20"/>
      <color theme="0"/>
      <name val="Calibri"/>
      <family val="2"/>
      <scheme val="minor"/>
    </font>
    <font>
      <sz val="12"/>
      <color rgb="FF000000"/>
      <name val="Calibri"/>
      <family val="2"/>
    </font>
    <font>
      <b/>
      <u/>
      <sz val="10"/>
      <name val="Calibri"/>
      <family val="2"/>
    </font>
  </fonts>
  <fills count="19">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indexed="8"/>
        <bgColor indexed="64"/>
      </patternFill>
    </fill>
    <fill>
      <patternFill patternType="solid">
        <fgColor theme="7" tint="0.79998168889431442"/>
        <bgColor indexed="64"/>
      </patternFill>
    </fill>
    <fill>
      <patternFill patternType="solid">
        <fgColor rgb="FFF2F2F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2"/>
        <bgColor indexed="64"/>
      </patternFill>
    </fill>
    <fill>
      <patternFill patternType="solid">
        <fgColor rgb="FF002060"/>
        <bgColor indexed="64"/>
      </patternFill>
    </fill>
    <fill>
      <patternFill patternType="solid">
        <fgColor theme="1"/>
        <bgColor indexed="64"/>
      </patternFill>
    </fill>
    <fill>
      <patternFill patternType="solid">
        <fgColor theme="7" tint="0.39997558519241921"/>
        <bgColor indexed="64"/>
      </patternFill>
    </fill>
    <fill>
      <patternFill patternType="solid">
        <fgColor rgb="FFFFFF0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rgb="FF00B0F0"/>
        <bgColor indexed="64"/>
      </patternFill>
    </fill>
    <fill>
      <patternFill patternType="solid">
        <fgColor theme="8"/>
        <bgColor indexed="64"/>
      </patternFill>
    </fill>
  </fills>
  <borders count="35">
    <border>
      <left/>
      <right/>
      <top/>
      <bottom/>
      <diagonal/>
    </border>
    <border>
      <left/>
      <right style="thin">
        <color indexed="55"/>
      </right>
      <top/>
      <bottom style="thin">
        <color indexed="55"/>
      </bottom>
      <diagonal/>
    </border>
    <border>
      <left/>
      <right/>
      <top/>
      <bottom style="thin">
        <color indexed="55"/>
      </bottom>
      <diagonal/>
    </border>
    <border>
      <left style="thin">
        <color indexed="55"/>
      </left>
      <right/>
      <top/>
      <bottom style="thin">
        <color indexed="55"/>
      </bottom>
      <diagonal/>
    </border>
    <border>
      <left/>
      <right style="thin">
        <color indexed="55"/>
      </right>
      <top/>
      <bottom/>
      <diagonal/>
    </border>
    <border>
      <left style="thin">
        <color indexed="55"/>
      </left>
      <right/>
      <top/>
      <bottom/>
      <diagonal/>
    </border>
    <border>
      <left/>
      <right style="thin">
        <color indexed="55"/>
      </right>
      <top style="thin">
        <color indexed="55"/>
      </top>
      <bottom/>
      <diagonal/>
    </border>
    <border>
      <left/>
      <right/>
      <top style="thin">
        <color indexed="55"/>
      </top>
      <bottom/>
      <diagonal/>
    </border>
    <border>
      <left style="thin">
        <color indexed="55"/>
      </left>
      <right/>
      <top style="thin">
        <color indexed="55"/>
      </top>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3" fillId="0" borderId="0"/>
    <xf numFmtId="0" fontId="3" fillId="0" borderId="0"/>
    <xf numFmtId="44" fontId="11" fillId="0" borderId="0" applyFont="0" applyFill="0" applyBorder="0" applyAlignment="0" applyProtection="0"/>
    <xf numFmtId="9" fontId="11" fillId="0" borderId="0" applyFont="0" applyFill="0" applyBorder="0" applyAlignment="0" applyProtection="0"/>
    <xf numFmtId="0" fontId="3" fillId="0" borderId="0"/>
    <xf numFmtId="0" fontId="12" fillId="0" borderId="0"/>
    <xf numFmtId="9" fontId="3" fillId="0" borderId="0" applyFont="0" applyFill="0" applyBorder="0" applyAlignment="0" applyProtection="0"/>
    <xf numFmtId="170" fontId="29" fillId="0" borderId="0">
      <alignment horizontal="center" vertical="center"/>
    </xf>
    <xf numFmtId="0" fontId="2" fillId="0" borderId="0"/>
  </cellStyleXfs>
  <cellXfs count="552">
    <xf numFmtId="0" fontId="0" fillId="0" borderId="0" xfId="0"/>
    <xf numFmtId="0" fontId="4" fillId="0" borderId="0" xfId="1" applyFont="1"/>
    <xf numFmtId="0" fontId="5" fillId="0" borderId="0" xfId="1" applyFont="1"/>
    <xf numFmtId="165" fontId="6" fillId="0" borderId="0" xfId="2" applyNumberFormat="1" applyFont="1" applyAlignment="1">
      <alignment horizontal="right"/>
    </xf>
    <xf numFmtId="0" fontId="7" fillId="0" borderId="0" xfId="1" applyFont="1" applyProtection="1">
      <protection locked="0"/>
    </xf>
    <xf numFmtId="0" fontId="8" fillId="0" borderId="0" xfId="1" applyFont="1"/>
    <xf numFmtId="0" fontId="9" fillId="0" borderId="0" xfId="2" applyFont="1" applyAlignment="1">
      <alignment horizontal="right"/>
    </xf>
    <xf numFmtId="0" fontId="10" fillId="0" borderId="0" xfId="1" applyFont="1"/>
    <xf numFmtId="0" fontId="4" fillId="0" borderId="0" xfId="5" applyFont="1"/>
    <xf numFmtId="0" fontId="4" fillId="2" borderId="1" xfId="5" applyFont="1" applyFill="1" applyBorder="1"/>
    <xf numFmtId="0" fontId="4" fillId="2" borderId="2" xfId="5" applyFont="1" applyFill="1" applyBorder="1"/>
    <xf numFmtId="0" fontId="4" fillId="2" borderId="3" xfId="5" applyFont="1" applyFill="1" applyBorder="1"/>
    <xf numFmtId="0" fontId="6" fillId="0" borderId="0" xfId="5" applyFont="1" applyAlignment="1">
      <alignment vertical="top"/>
    </xf>
    <xf numFmtId="0" fontId="4" fillId="2" borderId="4" xfId="5" applyFont="1" applyFill="1" applyBorder="1"/>
    <xf numFmtId="0" fontId="4" fillId="2" borderId="0" xfId="5" applyFont="1" applyFill="1"/>
    <xf numFmtId="0" fontId="4" fillId="2" borderId="5" xfId="5" applyFont="1" applyFill="1" applyBorder="1"/>
    <xf numFmtId="0" fontId="4" fillId="0" borderId="0" xfId="5" applyFont="1" applyAlignment="1">
      <alignment vertical="top"/>
    </xf>
    <xf numFmtId="0" fontId="13" fillId="2" borderId="0" xfId="6" applyFont="1" applyFill="1" applyAlignment="1" applyProtection="1">
      <alignment horizontal="center"/>
      <protection locked="0"/>
    </xf>
    <xf numFmtId="0" fontId="12" fillId="2" borderId="0" xfId="6" applyFill="1"/>
    <xf numFmtId="0" fontId="4" fillId="0" borderId="0" xfId="5" applyFont="1" applyAlignment="1">
      <alignment horizontal="left" vertical="top"/>
    </xf>
    <xf numFmtId="0" fontId="7" fillId="0" borderId="0" xfId="5" applyFont="1" applyAlignment="1">
      <alignment horizontal="right"/>
    </xf>
    <xf numFmtId="0" fontId="4" fillId="2" borderId="6" xfId="5" applyFont="1" applyFill="1" applyBorder="1"/>
    <xf numFmtId="0" fontId="4" fillId="2" borderId="7" xfId="5" applyFont="1" applyFill="1" applyBorder="1"/>
    <xf numFmtId="0" fontId="14" fillId="2" borderId="7" xfId="5" applyFont="1" applyFill="1" applyBorder="1" applyAlignment="1">
      <alignment horizontal="left" vertical="top"/>
    </xf>
    <xf numFmtId="0" fontId="4" fillId="2" borderId="8" xfId="5" applyFont="1" applyFill="1" applyBorder="1"/>
    <xf numFmtId="0" fontId="7" fillId="0" borderId="0" xfId="5" applyFont="1"/>
    <xf numFmtId="165" fontId="6" fillId="0" borderId="0" xfId="5" applyNumberFormat="1" applyFont="1" applyAlignment="1">
      <alignment horizontal="right"/>
    </xf>
    <xf numFmtId="0" fontId="4" fillId="0" borderId="0" xfId="5" applyFont="1" applyAlignment="1">
      <alignment vertical="top" wrapText="1"/>
    </xf>
    <xf numFmtId="0" fontId="5" fillId="0" borderId="0" xfId="5" applyFont="1" applyAlignment="1">
      <alignment vertical="top"/>
    </xf>
    <xf numFmtId="0" fontId="4" fillId="0" borderId="0" xfId="5" applyFont="1" applyProtection="1">
      <protection locked="0"/>
    </xf>
    <xf numFmtId="0" fontId="15" fillId="3" borderId="0" xfId="0" applyFont="1" applyFill="1" applyAlignment="1">
      <alignment horizontal="left"/>
    </xf>
    <xf numFmtId="0" fontId="4" fillId="3" borderId="0" xfId="0" applyFont="1" applyFill="1"/>
    <xf numFmtId="0" fontId="4" fillId="3" borderId="0" xfId="0" applyFont="1" applyFill="1" applyAlignment="1">
      <alignment horizontal="center"/>
    </xf>
    <xf numFmtId="0" fontId="0" fillId="3" borderId="0" xfId="0" applyFill="1"/>
    <xf numFmtId="0" fontId="4" fillId="4" borderId="0" xfId="1" applyFont="1" applyFill="1"/>
    <xf numFmtId="0" fontId="15" fillId="0" borderId="0" xfId="1" applyFont="1"/>
    <xf numFmtId="0" fontId="16" fillId="0" borderId="0" xfId="1" applyFont="1" applyAlignment="1">
      <alignment horizontal="left" indent="1"/>
    </xf>
    <xf numFmtId="0" fontId="17" fillId="0" borderId="0" xfId="1" applyFont="1" applyAlignment="1">
      <alignment horizontal="left" indent="1"/>
    </xf>
    <xf numFmtId="0" fontId="19" fillId="0" borderId="0" xfId="1" applyFont="1"/>
    <xf numFmtId="0" fontId="14" fillId="0" borderId="0" xfId="1" applyFont="1"/>
    <xf numFmtId="0" fontId="14" fillId="0" borderId="0" xfId="1" quotePrefix="1" applyFont="1"/>
    <xf numFmtId="0" fontId="5" fillId="3" borderId="0" xfId="0" applyFont="1" applyFill="1" applyAlignment="1">
      <alignment horizontal="left"/>
    </xf>
    <xf numFmtId="9" fontId="4" fillId="3" borderId="0" xfId="4" applyFont="1" applyFill="1" applyAlignment="1">
      <alignment horizontal="center"/>
    </xf>
    <xf numFmtId="166" fontId="4" fillId="3" borderId="0" xfId="0" applyNumberFormat="1" applyFont="1" applyFill="1" applyAlignment="1">
      <alignment horizontal="center"/>
    </xf>
    <xf numFmtId="0" fontId="9" fillId="3" borderId="0" xfId="0" applyFont="1" applyFill="1" applyAlignment="1">
      <alignment horizontal="center"/>
    </xf>
    <xf numFmtId="44" fontId="21" fillId="3" borderId="0" xfId="3" applyFont="1" applyFill="1" applyAlignment="1">
      <alignment horizontal="center"/>
    </xf>
    <xf numFmtId="0" fontId="21" fillId="3" borderId="0" xfId="0" applyFont="1" applyFill="1" applyAlignment="1">
      <alignment horizontal="center"/>
    </xf>
    <xf numFmtId="2" fontId="4" fillId="3" borderId="0" xfId="0" applyNumberFormat="1" applyFont="1" applyFill="1" applyAlignment="1">
      <alignment horizontal="center"/>
    </xf>
    <xf numFmtId="0" fontId="4" fillId="0" borderId="0" xfId="2" applyFont="1"/>
    <xf numFmtId="0" fontId="5" fillId="0" borderId="0" xfId="2" applyFont="1"/>
    <xf numFmtId="0" fontId="4" fillId="0" borderId="0" xfId="2" applyFont="1" applyAlignment="1">
      <alignment horizontal="center"/>
    </xf>
    <xf numFmtId="164" fontId="10" fillId="0" borderId="0" xfId="2" applyNumberFormat="1" applyFont="1" applyAlignment="1">
      <alignment horizontal="center"/>
    </xf>
    <xf numFmtId="0" fontId="24" fillId="0" borderId="0" xfId="2" applyFont="1" applyAlignment="1">
      <alignment horizontal="right"/>
    </xf>
    <xf numFmtId="0" fontId="9" fillId="0" borderId="0" xfId="2" applyFont="1" applyAlignment="1">
      <alignment horizontal="center" wrapText="1"/>
    </xf>
    <xf numFmtId="0" fontId="10" fillId="0" borderId="0" xfId="2" applyFont="1" applyAlignment="1">
      <alignment horizontal="center"/>
    </xf>
    <xf numFmtId="0" fontId="4" fillId="0" borderId="0" xfId="2" applyFont="1" applyAlignment="1">
      <alignment horizontal="left"/>
    </xf>
    <xf numFmtId="0" fontId="15" fillId="0" borderId="0" xfId="2" applyFont="1" applyAlignment="1">
      <alignment horizontal="left"/>
    </xf>
    <xf numFmtId="164" fontId="4" fillId="0" borderId="0" xfId="2" applyNumberFormat="1" applyFont="1" applyAlignment="1">
      <alignment horizontal="left"/>
    </xf>
    <xf numFmtId="0" fontId="4" fillId="0" borderId="0" xfId="2" applyFont="1" applyAlignment="1">
      <alignment horizontal="right"/>
    </xf>
    <xf numFmtId="0" fontId="4" fillId="3" borderId="0" xfId="2" applyFont="1" applyFill="1"/>
    <xf numFmtId="0" fontId="4" fillId="3" borderId="0" xfId="2" applyFont="1" applyFill="1" applyAlignment="1">
      <alignment horizontal="center"/>
    </xf>
    <xf numFmtId="9" fontId="4" fillId="3" borderId="0" xfId="7" applyFont="1" applyFill="1" applyAlignment="1">
      <alignment horizontal="center"/>
    </xf>
    <xf numFmtId="0" fontId="20" fillId="3" borderId="0" xfId="2" applyFont="1" applyFill="1" applyAlignment="1" applyProtection="1">
      <alignment horizontal="center"/>
      <protection locked="0"/>
    </xf>
    <xf numFmtId="8" fontId="20" fillId="3" borderId="0" xfId="2" applyNumberFormat="1" applyFont="1" applyFill="1" applyAlignment="1" applyProtection="1">
      <alignment horizontal="center"/>
      <protection locked="0"/>
    </xf>
    <xf numFmtId="1" fontId="4" fillId="3" borderId="0" xfId="0" applyNumberFormat="1" applyFont="1" applyFill="1" applyAlignment="1">
      <alignment horizontal="center"/>
    </xf>
    <xf numFmtId="1" fontId="4" fillId="3" borderId="0" xfId="2" applyNumberFormat="1" applyFont="1" applyFill="1" applyAlignment="1">
      <alignment horizontal="center"/>
    </xf>
    <xf numFmtId="164" fontId="10" fillId="3" borderId="0" xfId="2" applyNumberFormat="1" applyFont="1" applyFill="1" applyAlignment="1">
      <alignment horizontal="center"/>
    </xf>
    <xf numFmtId="0" fontId="24" fillId="3" borderId="0" xfId="2" applyFont="1" applyFill="1" applyAlignment="1">
      <alignment horizontal="center"/>
    </xf>
    <xf numFmtId="0" fontId="24" fillId="3" borderId="0" xfId="2" applyFont="1" applyFill="1" applyAlignment="1">
      <alignment horizontal="right"/>
    </xf>
    <xf numFmtId="0" fontId="25" fillId="0" borderId="0" xfId="0" applyFont="1"/>
    <xf numFmtId="0" fontId="0" fillId="3" borderId="0" xfId="0" applyFill="1" applyAlignment="1">
      <alignment horizontal="center"/>
    </xf>
    <xf numFmtId="9" fontId="0" fillId="0" borderId="0" xfId="4" applyFont="1"/>
    <xf numFmtId="1" fontId="0" fillId="0" borderId="0" xfId="0" applyNumberFormat="1"/>
    <xf numFmtId="0" fontId="0" fillId="6" borderId="9" xfId="0" applyFill="1" applyBorder="1" applyAlignment="1">
      <alignment horizontal="center"/>
    </xf>
    <xf numFmtId="0" fontId="0" fillId="5" borderId="9" xfId="0" applyFill="1" applyBorder="1" applyAlignment="1">
      <alignment horizontal="center"/>
    </xf>
    <xf numFmtId="0" fontId="0" fillId="8" borderId="9" xfId="0" applyFill="1" applyBorder="1" applyAlignment="1">
      <alignment horizontal="center"/>
    </xf>
    <xf numFmtId="0" fontId="0" fillId="9" borderId="9" xfId="0" applyFill="1" applyBorder="1"/>
    <xf numFmtId="10" fontId="22" fillId="3" borderId="0" xfId="4" applyNumberFormat="1" applyFont="1" applyFill="1" applyAlignment="1" applyProtection="1">
      <alignment horizontal="center"/>
      <protection locked="0"/>
    </xf>
    <xf numFmtId="167" fontId="4" fillId="3" borderId="0" xfId="0" applyNumberFormat="1" applyFont="1" applyFill="1" applyAlignment="1">
      <alignment horizontal="center"/>
    </xf>
    <xf numFmtId="44" fontId="4" fillId="3" borderId="0" xfId="2" applyNumberFormat="1" applyFont="1" applyFill="1" applyAlignment="1">
      <alignment horizontal="center"/>
    </xf>
    <xf numFmtId="0" fontId="26" fillId="8" borderId="0" xfId="2" applyFont="1" applyFill="1"/>
    <xf numFmtId="44" fontId="0" fillId="0" borderId="0" xfId="3" applyFont="1"/>
    <xf numFmtId="0" fontId="0" fillId="0" borderId="0" xfId="0" applyAlignment="1">
      <alignment horizontal="center"/>
    </xf>
    <xf numFmtId="44" fontId="0" fillId="0" borderId="0" xfId="3" applyFont="1" applyAlignment="1">
      <alignment horizontal="center"/>
    </xf>
    <xf numFmtId="44" fontId="0" fillId="0" borderId="0" xfId="4" applyNumberFormat="1" applyFont="1" applyAlignment="1">
      <alignment horizontal="center"/>
    </xf>
    <xf numFmtId="0" fontId="0" fillId="0" borderId="0" xfId="0" applyAlignment="1">
      <alignment horizontal="left"/>
    </xf>
    <xf numFmtId="0" fontId="27" fillId="10" borderId="9" xfId="0" applyFont="1" applyFill="1" applyBorder="1" applyAlignment="1">
      <alignment horizontal="center"/>
    </xf>
    <xf numFmtId="44" fontId="27" fillId="10" borderId="9" xfId="3" applyFont="1" applyFill="1" applyBorder="1" applyAlignment="1">
      <alignment horizontal="center"/>
    </xf>
    <xf numFmtId="169" fontId="0" fillId="5" borderId="9" xfId="4" applyNumberFormat="1" applyFont="1" applyFill="1" applyBorder="1" applyAlignment="1">
      <alignment horizontal="center"/>
    </xf>
    <xf numFmtId="169" fontId="0" fillId="12" borderId="9" xfId="0" applyNumberFormat="1" applyFill="1" applyBorder="1" applyAlignment="1">
      <alignment horizontal="center"/>
    </xf>
    <xf numFmtId="2" fontId="0" fillId="5" borderId="9" xfId="0" applyNumberFormat="1" applyFill="1" applyBorder="1" applyAlignment="1">
      <alignment horizontal="center"/>
    </xf>
    <xf numFmtId="44" fontId="27" fillId="10" borderId="9" xfId="4" applyNumberFormat="1" applyFont="1" applyFill="1" applyBorder="1" applyAlignment="1">
      <alignment horizontal="center"/>
    </xf>
    <xf numFmtId="0" fontId="27" fillId="11" borderId="9" xfId="0" applyFont="1" applyFill="1" applyBorder="1" applyAlignment="1">
      <alignment horizontal="center"/>
    </xf>
    <xf numFmtId="0" fontId="23" fillId="3" borderId="0" xfId="2" applyFont="1" applyFill="1" applyAlignment="1">
      <alignment horizontal="center" vertical="center"/>
    </xf>
    <xf numFmtId="0" fontId="4" fillId="3" borderId="0" xfId="2" applyFont="1" applyFill="1" applyAlignment="1">
      <alignment horizontal="center" vertical="center"/>
    </xf>
    <xf numFmtId="0" fontId="18" fillId="3" borderId="0" xfId="0" applyFont="1" applyFill="1"/>
    <xf numFmtId="0" fontId="14" fillId="3" borderId="0" xfId="2" applyFont="1" applyFill="1" applyAlignment="1">
      <alignment horizontal="center"/>
    </xf>
    <xf numFmtId="0" fontId="14" fillId="3" borderId="0" xfId="2" applyFont="1" applyFill="1" applyAlignment="1">
      <alignment horizontal="right"/>
    </xf>
    <xf numFmtId="0" fontId="22" fillId="3" borderId="0" xfId="0" applyFont="1" applyFill="1" applyAlignment="1">
      <alignment horizontal="center"/>
    </xf>
    <xf numFmtId="44" fontId="18" fillId="0" borderId="0" xfId="0" applyNumberFormat="1" applyFont="1"/>
    <xf numFmtId="0" fontId="18" fillId="0" borderId="0" xfId="0" applyFont="1"/>
    <xf numFmtId="0" fontId="27" fillId="3" borderId="0" xfId="0" applyFont="1" applyFill="1" applyAlignment="1">
      <alignment horizontal="center"/>
    </xf>
    <xf numFmtId="169" fontId="0" fillId="3" borderId="0" xfId="0" applyNumberFormat="1" applyFill="1" applyAlignment="1">
      <alignment horizontal="center"/>
    </xf>
    <xf numFmtId="0" fontId="4" fillId="3" borderId="0" xfId="2" quotePrefix="1" applyFont="1" applyFill="1" applyAlignment="1">
      <alignment horizontal="left" vertical="center"/>
    </xf>
    <xf numFmtId="0" fontId="9" fillId="0" borderId="0" xfId="2" applyFont="1" applyAlignment="1">
      <alignment horizontal="left" vertical="top" wrapText="1"/>
    </xf>
    <xf numFmtId="2" fontId="4" fillId="5" borderId="9" xfId="2" applyNumberFormat="1" applyFont="1" applyFill="1" applyBorder="1" applyAlignment="1" applyProtection="1">
      <alignment horizontal="center"/>
      <protection locked="0"/>
    </xf>
    <xf numFmtId="2" fontId="10" fillId="5" borderId="9" xfId="2" applyNumberFormat="1" applyFont="1" applyFill="1" applyBorder="1" applyAlignment="1" applyProtection="1">
      <alignment horizontal="center"/>
      <protection locked="0"/>
    </xf>
    <xf numFmtId="0" fontId="4" fillId="3" borderId="0" xfId="2" applyFont="1" applyFill="1" applyAlignment="1" applyProtection="1">
      <alignment horizontal="center"/>
      <protection locked="0"/>
    </xf>
    <xf numFmtId="10" fontId="0" fillId="0" borderId="0" xfId="0" applyNumberFormat="1" applyAlignment="1">
      <alignment horizontal="center"/>
    </xf>
    <xf numFmtId="1" fontId="0" fillId="0" borderId="0" xfId="0" applyNumberFormat="1" applyAlignment="1">
      <alignment horizontal="center"/>
    </xf>
    <xf numFmtId="44" fontId="4" fillId="3" borderId="0" xfId="2" applyNumberFormat="1" applyFont="1" applyFill="1"/>
    <xf numFmtId="44" fontId="4" fillId="0" borderId="0" xfId="2" applyNumberFormat="1" applyFont="1" applyAlignment="1">
      <alignment horizontal="center"/>
    </xf>
    <xf numFmtId="0" fontId="36" fillId="3" borderId="0" xfId="0" applyFont="1" applyFill="1" applyAlignment="1">
      <alignment horizontal="center"/>
    </xf>
    <xf numFmtId="0" fontId="36" fillId="3" borderId="0" xfId="0" applyFont="1" applyFill="1"/>
    <xf numFmtId="165" fontId="36" fillId="3" borderId="0" xfId="0" applyNumberFormat="1" applyFont="1" applyFill="1" applyAlignment="1">
      <alignment horizontal="right"/>
    </xf>
    <xf numFmtId="1" fontId="36" fillId="3" borderId="0" xfId="0" applyNumberFormat="1" applyFont="1" applyFill="1" applyAlignment="1">
      <alignment horizontal="center"/>
    </xf>
    <xf numFmtId="0" fontId="37" fillId="3" borderId="0" xfId="0" applyFont="1" applyFill="1" applyAlignment="1">
      <alignment horizontal="left"/>
    </xf>
    <xf numFmtId="0" fontId="37" fillId="3" borderId="0" xfId="0" applyFont="1" applyFill="1" applyAlignment="1">
      <alignment horizontal="center"/>
    </xf>
    <xf numFmtId="0" fontId="38" fillId="3" borderId="10" xfId="0" applyFont="1" applyFill="1" applyBorder="1" applyAlignment="1">
      <alignment horizontal="center"/>
    </xf>
    <xf numFmtId="0" fontId="39" fillId="3" borderId="10" xfId="0" applyFont="1" applyFill="1" applyBorder="1" applyAlignment="1">
      <alignment horizontal="center"/>
    </xf>
    <xf numFmtId="0" fontId="36" fillId="3" borderId="10" xfId="0" applyFont="1" applyFill="1" applyBorder="1" applyAlignment="1">
      <alignment horizontal="center"/>
    </xf>
    <xf numFmtId="0" fontId="36" fillId="3" borderId="8" xfId="0" applyFont="1" applyFill="1" applyBorder="1" applyAlignment="1">
      <alignment horizontal="center"/>
    </xf>
    <xf numFmtId="0" fontId="36" fillId="3" borderId="9" xfId="0" applyFont="1" applyFill="1" applyBorder="1" applyAlignment="1">
      <alignment horizontal="center"/>
    </xf>
    <xf numFmtId="0" fontId="40" fillId="3" borderId="0" xfId="0" applyFont="1" applyFill="1" applyAlignment="1">
      <alignment horizontal="center"/>
    </xf>
    <xf numFmtId="0" fontId="5" fillId="3" borderId="0" xfId="0" applyFont="1" applyFill="1" applyAlignment="1">
      <alignment horizontal="center"/>
    </xf>
    <xf numFmtId="8" fontId="39" fillId="3" borderId="9" xfId="0" applyNumberFormat="1" applyFont="1" applyFill="1" applyBorder="1" applyAlignment="1" applyProtection="1">
      <alignment horizontal="center"/>
      <protection locked="0"/>
    </xf>
    <xf numFmtId="1" fontId="38" fillId="3" borderId="9" xfId="4" applyNumberFormat="1" applyFont="1" applyFill="1" applyBorder="1" applyAlignment="1" applyProtection="1">
      <alignment horizontal="center"/>
      <protection locked="0"/>
    </xf>
    <xf numFmtId="9" fontId="36" fillId="3" borderId="0" xfId="4" applyFont="1" applyFill="1" applyAlignment="1">
      <alignment horizontal="center"/>
    </xf>
    <xf numFmtId="8" fontId="36" fillId="3" borderId="0" xfId="0" applyNumberFormat="1" applyFont="1" applyFill="1" applyAlignment="1">
      <alignment horizontal="center"/>
    </xf>
    <xf numFmtId="44" fontId="36" fillId="3" borderId="0" xfId="3" applyFont="1" applyFill="1" applyAlignment="1">
      <alignment horizontal="center"/>
    </xf>
    <xf numFmtId="0" fontId="42" fillId="3" borderId="0" xfId="0" applyFont="1" applyFill="1" applyAlignment="1">
      <alignment horizontal="center"/>
    </xf>
    <xf numFmtId="0" fontId="43" fillId="3" borderId="0" xfId="0" applyFont="1" applyFill="1" applyAlignment="1">
      <alignment horizontal="center"/>
    </xf>
    <xf numFmtId="8" fontId="36" fillId="3" borderId="0" xfId="3" applyNumberFormat="1" applyFont="1" applyFill="1" applyAlignment="1">
      <alignment horizontal="center"/>
    </xf>
    <xf numFmtId="169" fontId="0" fillId="3" borderId="0" xfId="3" applyNumberFormat="1" applyFont="1" applyFill="1" applyAlignment="1">
      <alignment horizontal="center"/>
    </xf>
    <xf numFmtId="44" fontId="44" fillId="3" borderId="0" xfId="3" applyFont="1" applyFill="1" applyAlignment="1">
      <alignment horizontal="center"/>
    </xf>
    <xf numFmtId="0" fontId="44" fillId="3" borderId="0" xfId="0" applyFont="1" applyFill="1" applyAlignment="1">
      <alignment horizontal="center"/>
    </xf>
    <xf numFmtId="8" fontId="39" fillId="3" borderId="0" xfId="0" applyNumberFormat="1" applyFont="1" applyFill="1" applyAlignment="1" applyProtection="1">
      <alignment horizontal="center"/>
      <protection locked="0"/>
    </xf>
    <xf numFmtId="1" fontId="45" fillId="3" borderId="0" xfId="4" applyNumberFormat="1" applyFont="1" applyFill="1" applyAlignment="1" applyProtection="1">
      <alignment horizontal="center"/>
      <protection locked="0"/>
    </xf>
    <xf numFmtId="44" fontId="36" fillId="3" borderId="0" xfId="0" applyNumberFormat="1" applyFont="1" applyFill="1" applyAlignment="1">
      <alignment horizontal="center"/>
    </xf>
    <xf numFmtId="0" fontId="36" fillId="3" borderId="0" xfId="0" applyFont="1" applyFill="1" applyAlignment="1">
      <alignment horizontal="left"/>
    </xf>
    <xf numFmtId="6" fontId="5" fillId="3" borderId="0" xfId="0" applyNumberFormat="1" applyFont="1" applyFill="1" applyAlignment="1">
      <alignment horizontal="center"/>
    </xf>
    <xf numFmtId="168" fontId="36" fillId="3" borderId="0" xfId="0" applyNumberFormat="1" applyFont="1" applyFill="1" applyAlignment="1">
      <alignment horizontal="center"/>
    </xf>
    <xf numFmtId="9" fontId="36" fillId="3" borderId="9" xfId="4" applyFont="1" applyFill="1" applyBorder="1" applyAlignment="1">
      <alignment horizontal="center"/>
    </xf>
    <xf numFmtId="9" fontId="46" fillId="3" borderId="0" xfId="0" applyNumberFormat="1" applyFont="1" applyFill="1" applyAlignment="1" applyProtection="1">
      <alignment horizontal="center"/>
      <protection locked="0"/>
    </xf>
    <xf numFmtId="8" fontId="45" fillId="3" borderId="0" xfId="0" applyNumberFormat="1" applyFont="1" applyFill="1" applyAlignment="1" applyProtection="1">
      <alignment horizontal="center"/>
      <protection locked="0"/>
    </xf>
    <xf numFmtId="169" fontId="41" fillId="3" borderId="9" xfId="3" applyNumberFormat="1" applyFont="1" applyFill="1" applyBorder="1" applyAlignment="1">
      <alignment horizontal="center"/>
    </xf>
    <xf numFmtId="169" fontId="38" fillId="3" borderId="10" xfId="3" applyNumberFormat="1" applyFont="1" applyFill="1" applyBorder="1" applyAlignment="1">
      <alignment horizontal="center"/>
    </xf>
    <xf numFmtId="169" fontId="41" fillId="3" borderId="9" xfId="0" applyNumberFormat="1" applyFont="1" applyFill="1" applyBorder="1" applyAlignment="1">
      <alignment horizontal="center"/>
    </xf>
    <xf numFmtId="169" fontId="38" fillId="3" borderId="10" xfId="0" applyNumberFormat="1" applyFont="1" applyFill="1" applyBorder="1" applyAlignment="1">
      <alignment horizontal="center"/>
    </xf>
    <xf numFmtId="169" fontId="36" fillId="3" borderId="9" xfId="0" applyNumberFormat="1" applyFont="1" applyFill="1" applyBorder="1" applyAlignment="1">
      <alignment horizontal="center"/>
    </xf>
    <xf numFmtId="169" fontId="36" fillId="3" borderId="11" xfId="0" applyNumberFormat="1" applyFont="1" applyFill="1" applyBorder="1" applyAlignment="1">
      <alignment horizontal="center"/>
    </xf>
    <xf numFmtId="169" fontId="36" fillId="3" borderId="10" xfId="0" applyNumberFormat="1" applyFont="1" applyFill="1" applyBorder="1" applyAlignment="1">
      <alignment horizontal="center"/>
    </xf>
    <xf numFmtId="169" fontId="36" fillId="3" borderId="8" xfId="0" applyNumberFormat="1" applyFont="1" applyFill="1" applyBorder="1" applyAlignment="1">
      <alignment horizontal="center"/>
    </xf>
    <xf numFmtId="169" fontId="36" fillId="3" borderId="9" xfId="3" applyNumberFormat="1" applyFont="1" applyFill="1" applyBorder="1" applyAlignment="1">
      <alignment horizontal="center"/>
    </xf>
    <xf numFmtId="169" fontId="36" fillId="3" borderId="0" xfId="0" applyNumberFormat="1" applyFont="1" applyFill="1" applyAlignment="1">
      <alignment horizontal="center"/>
    </xf>
    <xf numFmtId="0" fontId="41" fillId="3" borderId="9" xfId="0" applyFont="1" applyFill="1" applyBorder="1" applyAlignment="1">
      <alignment horizontal="center"/>
    </xf>
    <xf numFmtId="169" fontId="0" fillId="3" borderId="0" xfId="0" applyNumberFormat="1" applyFill="1"/>
    <xf numFmtId="169" fontId="36" fillId="3" borderId="0" xfId="0" applyNumberFormat="1" applyFont="1" applyFill="1"/>
    <xf numFmtId="169" fontId="40" fillId="3" borderId="0" xfId="0" applyNumberFormat="1" applyFont="1" applyFill="1" applyAlignment="1">
      <alignment horizontal="center"/>
    </xf>
    <xf numFmtId="169" fontId="36" fillId="3" borderId="0" xfId="3" applyNumberFormat="1" applyFont="1" applyFill="1" applyAlignment="1">
      <alignment horizontal="center"/>
    </xf>
    <xf numFmtId="169" fontId="5" fillId="3" borderId="0" xfId="0" applyNumberFormat="1" applyFont="1" applyFill="1" applyAlignment="1">
      <alignment horizontal="center"/>
    </xf>
    <xf numFmtId="0" fontId="41" fillId="5" borderId="9" xfId="0" applyFont="1" applyFill="1" applyBorder="1" applyAlignment="1">
      <alignment horizontal="center"/>
    </xf>
    <xf numFmtId="169" fontId="41" fillId="5" borderId="9" xfId="3" applyNumberFormat="1" applyFont="1" applyFill="1" applyBorder="1" applyAlignment="1">
      <alignment horizontal="center"/>
    </xf>
    <xf numFmtId="44" fontId="41" fillId="5" borderId="9" xfId="3" applyFont="1" applyFill="1" applyBorder="1" applyAlignment="1">
      <alignment horizontal="center"/>
    </xf>
    <xf numFmtId="169" fontId="41" fillId="5" borderId="9" xfId="4" applyNumberFormat="1" applyFont="1" applyFill="1" applyBorder="1" applyAlignment="1">
      <alignment horizontal="center"/>
    </xf>
    <xf numFmtId="0" fontId="0" fillId="9" borderId="9" xfId="0" applyFill="1" applyBorder="1" applyAlignment="1">
      <alignment horizontal="center"/>
    </xf>
    <xf numFmtId="0" fontId="25" fillId="0" borderId="0" xfId="0" applyFont="1" applyAlignment="1">
      <alignment horizontal="center"/>
    </xf>
    <xf numFmtId="10" fontId="0" fillId="0" borderId="0" xfId="4" applyNumberFormat="1" applyFont="1" applyAlignment="1">
      <alignment horizontal="center"/>
    </xf>
    <xf numFmtId="0" fontId="41" fillId="3" borderId="0" xfId="0" applyFont="1" applyFill="1" applyAlignment="1">
      <alignment horizontal="center"/>
    </xf>
    <xf numFmtId="0" fontId="27" fillId="10" borderId="0" xfId="0" applyFont="1" applyFill="1" applyAlignment="1">
      <alignment horizontal="center"/>
    </xf>
    <xf numFmtId="1" fontId="27" fillId="10" borderId="0" xfId="0" applyNumberFormat="1" applyFont="1" applyFill="1" applyAlignment="1">
      <alignment horizontal="center"/>
    </xf>
    <xf numFmtId="171" fontId="30" fillId="0" borderId="0" xfId="0" applyNumberFormat="1" applyFont="1" applyAlignment="1">
      <alignment horizontal="center"/>
    </xf>
    <xf numFmtId="10" fontId="0" fillId="0" borderId="9" xfId="0" applyNumberFormat="1" applyBorder="1" applyAlignment="1">
      <alignment horizontal="center"/>
    </xf>
    <xf numFmtId="0" fontId="48" fillId="0" borderId="0" xfId="0" applyFont="1"/>
    <xf numFmtId="169" fontId="34" fillId="0" borderId="0" xfId="0" applyNumberFormat="1" applyFont="1"/>
    <xf numFmtId="169" fontId="18" fillId="3" borderId="0" xfId="0" applyNumberFormat="1" applyFont="1" applyFill="1"/>
    <xf numFmtId="169" fontId="4" fillId="3" borderId="0" xfId="2" applyNumberFormat="1" applyFont="1" applyFill="1"/>
    <xf numFmtId="169" fontId="18" fillId="0" borderId="0" xfId="0" applyNumberFormat="1" applyFont="1"/>
    <xf numFmtId="169" fontId="20" fillId="3" borderId="0" xfId="2" applyNumberFormat="1" applyFont="1" applyFill="1" applyAlignment="1" applyProtection="1">
      <alignment horizontal="center"/>
      <protection locked="0"/>
    </xf>
    <xf numFmtId="169" fontId="4" fillId="3" borderId="0" xfId="2" applyNumberFormat="1" applyFont="1" applyFill="1" applyAlignment="1">
      <alignment horizontal="center"/>
    </xf>
    <xf numFmtId="169" fontId="4" fillId="3" borderId="0" xfId="0" applyNumberFormat="1" applyFont="1" applyFill="1" applyAlignment="1">
      <alignment horizontal="center"/>
    </xf>
    <xf numFmtId="169" fontId="49" fillId="0" borderId="0" xfId="0" applyNumberFormat="1" applyFont="1"/>
    <xf numFmtId="169" fontId="33" fillId="3" borderId="0" xfId="2" applyNumberFormat="1" applyFont="1" applyFill="1"/>
    <xf numFmtId="2" fontId="10" fillId="3" borderId="0" xfId="0" applyNumberFormat="1" applyFont="1" applyFill="1" applyAlignment="1">
      <alignment horizontal="center"/>
    </xf>
    <xf numFmtId="0" fontId="50" fillId="0" borderId="0" xfId="0" applyFont="1"/>
    <xf numFmtId="0" fontId="51" fillId="0" borderId="0" xfId="0" applyFont="1"/>
    <xf numFmtId="2" fontId="4" fillId="5" borderId="9" xfId="4" applyNumberFormat="1" applyFont="1" applyFill="1" applyBorder="1" applyAlignment="1" applyProtection="1">
      <alignment horizontal="center"/>
      <protection locked="0"/>
    </xf>
    <xf numFmtId="0" fontId="4" fillId="5" borderId="9" xfId="0" applyFont="1" applyFill="1" applyBorder="1" applyAlignment="1" applyProtection="1">
      <alignment horizontal="center"/>
      <protection locked="0"/>
    </xf>
    <xf numFmtId="169" fontId="4" fillId="5" borderId="9" xfId="2" applyNumberFormat="1" applyFont="1" applyFill="1" applyBorder="1" applyAlignment="1">
      <alignment horizontal="center"/>
    </xf>
    <xf numFmtId="9" fontId="4" fillId="5" borderId="15" xfId="4" applyFont="1" applyFill="1" applyBorder="1" applyAlignment="1">
      <alignment horizontal="center"/>
    </xf>
    <xf numFmtId="169" fontId="4" fillId="3" borderId="0" xfId="2" applyNumberFormat="1" applyFont="1" applyFill="1" applyAlignment="1" applyProtection="1">
      <alignment horizontal="center"/>
      <protection locked="0"/>
    </xf>
    <xf numFmtId="8" fontId="4" fillId="3" borderId="0" xfId="2" applyNumberFormat="1" applyFont="1" applyFill="1" applyAlignment="1" applyProtection="1">
      <alignment horizontal="center"/>
      <protection locked="0"/>
    </xf>
    <xf numFmtId="169" fontId="48" fillId="0" borderId="0" xfId="0" applyNumberFormat="1" applyFont="1"/>
    <xf numFmtId="1" fontId="32" fillId="10" borderId="9" xfId="2" applyNumberFormat="1" applyFont="1" applyFill="1" applyBorder="1" applyAlignment="1">
      <alignment horizontal="center"/>
    </xf>
    <xf numFmtId="1" fontId="26" fillId="10" borderId="9" xfId="2" applyNumberFormat="1" applyFont="1" applyFill="1" applyBorder="1" applyAlignment="1">
      <alignment horizontal="center"/>
    </xf>
    <xf numFmtId="0" fontId="52" fillId="10" borderId="9" xfId="0" applyFont="1" applyFill="1" applyBorder="1" applyAlignment="1">
      <alignment horizontal="center"/>
    </xf>
    <xf numFmtId="169" fontId="26" fillId="10" borderId="9" xfId="2" applyNumberFormat="1" applyFont="1" applyFill="1" applyBorder="1" applyAlignment="1">
      <alignment horizontal="center"/>
    </xf>
    <xf numFmtId="9" fontId="26" fillId="10" borderId="9" xfId="7" applyFont="1" applyFill="1" applyBorder="1" applyAlignment="1">
      <alignment horizontal="center"/>
    </xf>
    <xf numFmtId="0" fontId="26" fillId="10" borderId="9" xfId="2" applyFont="1" applyFill="1" applyBorder="1" applyAlignment="1">
      <alignment horizontal="center"/>
    </xf>
    <xf numFmtId="9" fontId="4" fillId="5" borderId="9" xfId="4" applyFont="1" applyFill="1" applyBorder="1" applyAlignment="1">
      <alignment horizontal="center"/>
    </xf>
    <xf numFmtId="169" fontId="18" fillId="5" borderId="9" xfId="0" applyNumberFormat="1" applyFont="1" applyFill="1" applyBorder="1" applyAlignment="1">
      <alignment horizontal="center"/>
    </xf>
    <xf numFmtId="0" fontId="4" fillId="5" borderId="9" xfId="2" applyFont="1" applyFill="1" applyBorder="1" applyAlignment="1">
      <alignment horizontal="center"/>
    </xf>
    <xf numFmtId="0" fontId="26" fillId="10" borderId="9" xfId="0" applyFont="1" applyFill="1" applyBorder="1" applyAlignment="1">
      <alignment horizontal="center"/>
    </xf>
    <xf numFmtId="0" fontId="32" fillId="10" borderId="9" xfId="2" applyFont="1" applyFill="1" applyBorder="1" applyAlignment="1">
      <alignment horizontal="center"/>
    </xf>
    <xf numFmtId="169" fontId="4" fillId="0" borderId="0" xfId="2" applyNumberFormat="1" applyFont="1" applyAlignment="1">
      <alignment horizontal="center"/>
    </xf>
    <xf numFmtId="169" fontId="23" fillId="3" borderId="0" xfId="2" applyNumberFormat="1" applyFont="1" applyFill="1" applyAlignment="1">
      <alignment horizontal="center" vertical="center"/>
    </xf>
    <xf numFmtId="169" fontId="4" fillId="0" borderId="9" xfId="2" applyNumberFormat="1" applyFont="1" applyBorder="1"/>
    <xf numFmtId="2" fontId="32" fillId="10" borderId="9" xfId="0" applyNumberFormat="1" applyFont="1" applyFill="1" applyBorder="1" applyAlignment="1">
      <alignment horizontal="center"/>
    </xf>
    <xf numFmtId="169" fontId="53" fillId="5" borderId="9" xfId="2" applyNumberFormat="1" applyFont="1" applyFill="1" applyBorder="1" applyAlignment="1">
      <alignment horizontal="center"/>
    </xf>
    <xf numFmtId="8" fontId="4" fillId="5" borderId="9" xfId="2" applyNumberFormat="1" applyFont="1" applyFill="1" applyBorder="1" applyAlignment="1" applyProtection="1">
      <alignment horizontal="center"/>
      <protection locked="0"/>
    </xf>
    <xf numFmtId="0" fontId="4" fillId="5" borderId="9" xfId="2" applyFont="1" applyFill="1" applyBorder="1" applyAlignment="1" applyProtection="1">
      <alignment horizontal="center"/>
      <protection locked="0"/>
    </xf>
    <xf numFmtId="1" fontId="4" fillId="5" borderId="9" xfId="0" applyNumberFormat="1" applyFont="1" applyFill="1" applyBorder="1" applyAlignment="1">
      <alignment horizontal="center"/>
    </xf>
    <xf numFmtId="169" fontId="4" fillId="5" borderId="11" xfId="2" applyNumberFormat="1" applyFont="1" applyFill="1" applyBorder="1" applyAlignment="1" applyProtection="1">
      <alignment horizontal="center"/>
      <protection locked="0"/>
    </xf>
    <xf numFmtId="169" fontId="32" fillId="10" borderId="9" xfId="2" applyNumberFormat="1" applyFont="1" applyFill="1" applyBorder="1" applyAlignment="1">
      <alignment horizontal="center"/>
    </xf>
    <xf numFmtId="9" fontId="32" fillId="10" borderId="9" xfId="7" applyFont="1" applyFill="1" applyBorder="1" applyAlignment="1">
      <alignment horizontal="center"/>
    </xf>
    <xf numFmtId="0" fontId="32" fillId="10" borderId="11" xfId="2" applyFont="1" applyFill="1" applyBorder="1" applyAlignment="1">
      <alignment horizontal="center"/>
    </xf>
    <xf numFmtId="169" fontId="32" fillId="10" borderId="9" xfId="7" applyNumberFormat="1" applyFont="1" applyFill="1" applyBorder="1" applyAlignment="1">
      <alignment horizontal="center"/>
    </xf>
    <xf numFmtId="169" fontId="32" fillId="10" borderId="11" xfId="2" applyNumberFormat="1" applyFont="1" applyFill="1" applyBorder="1" applyAlignment="1">
      <alignment horizontal="center"/>
    </xf>
    <xf numFmtId="1" fontId="32" fillId="3" borderId="0" xfId="2" applyNumberFormat="1" applyFont="1" applyFill="1" applyAlignment="1">
      <alignment horizontal="center"/>
    </xf>
    <xf numFmtId="44" fontId="4" fillId="5" borderId="9" xfId="2" applyNumberFormat="1" applyFont="1" applyFill="1" applyBorder="1" applyAlignment="1">
      <alignment horizontal="center"/>
    </xf>
    <xf numFmtId="1" fontId="4" fillId="5" borderId="9" xfId="2" applyNumberFormat="1" applyFont="1" applyFill="1" applyBorder="1" applyAlignment="1">
      <alignment horizontal="center"/>
    </xf>
    <xf numFmtId="44" fontId="4" fillId="5" borderId="11" xfId="2" applyNumberFormat="1" applyFont="1" applyFill="1" applyBorder="1" applyAlignment="1" applyProtection="1">
      <alignment horizontal="center"/>
      <protection locked="0"/>
    </xf>
    <xf numFmtId="0" fontId="26" fillId="8" borderId="0" xfId="2" applyFont="1" applyFill="1" applyAlignment="1">
      <alignment horizontal="center"/>
    </xf>
    <xf numFmtId="0" fontId="10" fillId="0" borderId="0" xfId="2" applyFont="1"/>
    <xf numFmtId="169" fontId="4" fillId="0" borderId="0" xfId="2" applyNumberFormat="1" applyFont="1"/>
    <xf numFmtId="169" fontId="4" fillId="12" borderId="9" xfId="2" applyNumberFormat="1" applyFont="1" applyFill="1" applyBorder="1" applyAlignment="1">
      <alignment horizontal="center"/>
    </xf>
    <xf numFmtId="0" fontId="32" fillId="10" borderId="16" xfId="2" applyFont="1" applyFill="1" applyBorder="1" applyAlignment="1">
      <alignment horizontal="center"/>
    </xf>
    <xf numFmtId="0" fontId="18" fillId="0" borderId="0" xfId="0" applyFont="1" applyAlignment="1">
      <alignment horizontal="center"/>
    </xf>
    <xf numFmtId="0" fontId="54" fillId="10" borderId="9" xfId="0" applyFont="1" applyFill="1" applyBorder="1" applyAlignment="1">
      <alignment horizontal="center"/>
    </xf>
    <xf numFmtId="0" fontId="18" fillId="5" borderId="9" xfId="0" applyFont="1" applyFill="1" applyBorder="1" applyAlignment="1">
      <alignment horizontal="center"/>
    </xf>
    <xf numFmtId="0" fontId="54" fillId="10" borderId="0" xfId="0" applyFont="1" applyFill="1" applyAlignment="1">
      <alignment horizontal="center"/>
    </xf>
    <xf numFmtId="1" fontId="18" fillId="5" borderId="0" xfId="0" applyNumberFormat="1" applyFont="1" applyFill="1" applyAlignment="1">
      <alignment horizontal="center"/>
    </xf>
    <xf numFmtId="0" fontId="10" fillId="5" borderId="9" xfId="2" applyFont="1" applyFill="1" applyBorder="1" applyAlignment="1">
      <alignment horizontal="center"/>
    </xf>
    <xf numFmtId="1" fontId="34" fillId="5" borderId="0" xfId="0" applyNumberFormat="1" applyFont="1" applyFill="1" applyAlignment="1">
      <alignment horizontal="center"/>
    </xf>
    <xf numFmtId="0" fontId="27" fillId="10" borderId="9" xfId="0" applyFont="1" applyFill="1" applyBorder="1"/>
    <xf numFmtId="10" fontId="18" fillId="5" borderId="0" xfId="4" applyNumberFormat="1" applyFont="1" applyFill="1" applyAlignment="1">
      <alignment horizontal="center"/>
    </xf>
    <xf numFmtId="10" fontId="0" fillId="0" borderId="0" xfId="0" applyNumberFormat="1"/>
    <xf numFmtId="10" fontId="0" fillId="0" borderId="0" xfId="4" applyNumberFormat="1" applyFont="1"/>
    <xf numFmtId="10" fontId="0" fillId="3" borderId="0" xfId="0" applyNumberFormat="1" applyFill="1"/>
    <xf numFmtId="10" fontId="0" fillId="3" borderId="0" xfId="4" applyNumberFormat="1" applyFont="1" applyFill="1"/>
    <xf numFmtId="10" fontId="0" fillId="5" borderId="9" xfId="4" applyNumberFormat="1" applyFont="1" applyFill="1" applyBorder="1"/>
    <xf numFmtId="0" fontId="54" fillId="3" borderId="0" xfId="0" applyFont="1" applyFill="1" applyAlignment="1">
      <alignment horizontal="center"/>
    </xf>
    <xf numFmtId="10" fontId="18" fillId="5" borderId="9" xfId="4" applyNumberFormat="1" applyFont="1" applyFill="1" applyBorder="1" applyAlignment="1">
      <alignment horizontal="center"/>
    </xf>
    <xf numFmtId="172" fontId="0" fillId="5" borderId="9" xfId="3" applyNumberFormat="1" applyFont="1" applyFill="1" applyBorder="1"/>
    <xf numFmtId="1" fontId="18" fillId="5" borderId="9" xfId="0" applyNumberFormat="1" applyFont="1" applyFill="1" applyBorder="1" applyAlignment="1">
      <alignment horizontal="center"/>
    </xf>
    <xf numFmtId="169" fontId="25" fillId="3" borderId="0" xfId="0" applyNumberFormat="1" applyFont="1" applyFill="1" applyAlignment="1">
      <alignment horizontal="center"/>
    </xf>
    <xf numFmtId="0" fontId="55" fillId="3" borderId="0" xfId="0" applyFont="1" applyFill="1" applyAlignment="1">
      <alignment horizontal="center"/>
    </xf>
    <xf numFmtId="169" fontId="32" fillId="3" borderId="0" xfId="2" applyNumberFormat="1" applyFont="1" applyFill="1" applyAlignment="1">
      <alignment horizontal="center"/>
    </xf>
    <xf numFmtId="169" fontId="32" fillId="3" borderId="0" xfId="7" applyNumberFormat="1" applyFont="1" applyFill="1" applyAlignment="1">
      <alignment horizontal="center"/>
    </xf>
    <xf numFmtId="0" fontId="32" fillId="3" borderId="0" xfId="2" applyFont="1" applyFill="1" applyAlignment="1">
      <alignment horizontal="center"/>
    </xf>
    <xf numFmtId="173" fontId="0" fillId="3" borderId="0" xfId="4" applyNumberFormat="1" applyFont="1" applyFill="1"/>
    <xf numFmtId="169" fontId="0" fillId="5" borderId="9" xfId="0" applyNumberFormat="1" applyFill="1" applyBorder="1" applyAlignment="1">
      <alignment horizontal="center"/>
    </xf>
    <xf numFmtId="10" fontId="0" fillId="5" borderId="9" xfId="4" applyNumberFormat="1" applyFont="1" applyFill="1" applyBorder="1" applyAlignment="1">
      <alignment horizontal="center"/>
    </xf>
    <xf numFmtId="0" fontId="27" fillId="10" borderId="14" xfId="0" applyFont="1" applyFill="1" applyBorder="1" applyAlignment="1">
      <alignment horizontal="center"/>
    </xf>
    <xf numFmtId="0" fontId="4" fillId="10" borderId="0" xfId="1" applyFont="1" applyFill="1" applyAlignment="1">
      <alignment horizontal="left" indent="1"/>
    </xf>
    <xf numFmtId="0" fontId="32" fillId="10" borderId="0" xfId="1" applyFont="1" applyFill="1" applyAlignment="1">
      <alignment horizontal="left" indent="1"/>
    </xf>
    <xf numFmtId="44" fontId="27" fillId="3" borderId="0" xfId="3" applyFont="1" applyFill="1" applyAlignment="1">
      <alignment horizontal="center"/>
    </xf>
    <xf numFmtId="169" fontId="41" fillId="3" borderId="0" xfId="3" applyNumberFormat="1" applyFont="1" applyFill="1" applyAlignment="1">
      <alignment horizontal="center"/>
    </xf>
    <xf numFmtId="0" fontId="57" fillId="10" borderId="0" xfId="0" applyFont="1" applyFill="1"/>
    <xf numFmtId="0" fontId="57" fillId="10" borderId="0" xfId="0" applyFont="1" applyFill="1" applyAlignment="1">
      <alignment horizontal="center"/>
    </xf>
    <xf numFmtId="0" fontId="57" fillId="10" borderId="13" xfId="0" applyFont="1" applyFill="1" applyBorder="1" applyAlignment="1">
      <alignment horizontal="center"/>
    </xf>
    <xf numFmtId="169" fontId="18" fillId="5" borderId="13" xfId="0" applyNumberFormat="1" applyFont="1" applyFill="1" applyBorder="1" applyAlignment="1">
      <alignment horizontal="center"/>
    </xf>
    <xf numFmtId="0" fontId="0" fillId="0" borderId="9" xfId="0" applyBorder="1"/>
    <xf numFmtId="169" fontId="0" fillId="5" borderId="9" xfId="3" applyNumberFormat="1" applyFont="1" applyFill="1" applyBorder="1" applyAlignment="1">
      <alignment horizontal="center"/>
    </xf>
    <xf numFmtId="0" fontId="55" fillId="3" borderId="0" xfId="0" applyFont="1" applyFill="1" applyAlignment="1">
      <alignment horizontal="left"/>
    </xf>
    <xf numFmtId="169" fontId="18" fillId="5" borderId="0" xfId="0" applyNumberFormat="1" applyFont="1" applyFill="1" applyAlignment="1">
      <alignment horizontal="center"/>
    </xf>
    <xf numFmtId="10" fontId="59" fillId="7" borderId="9" xfId="0" applyNumberFormat="1" applyFont="1" applyFill="1" applyBorder="1" applyAlignment="1">
      <alignment horizontal="center"/>
    </xf>
    <xf numFmtId="0" fontId="58" fillId="5" borderId="0" xfId="0" applyFont="1" applyFill="1"/>
    <xf numFmtId="0" fontId="50" fillId="5" borderId="0" xfId="0" applyFont="1" applyFill="1"/>
    <xf numFmtId="169" fontId="34" fillId="5" borderId="0" xfId="0" applyNumberFormat="1" applyFont="1" applyFill="1" applyAlignment="1">
      <alignment horizontal="center"/>
    </xf>
    <xf numFmtId="10" fontId="0" fillId="0" borderId="9" xfId="0" applyNumberFormat="1" applyBorder="1"/>
    <xf numFmtId="2" fontId="18" fillId="5" borderId="9" xfId="0" applyNumberFormat="1" applyFont="1" applyFill="1" applyBorder="1" applyAlignment="1">
      <alignment horizontal="center"/>
    </xf>
    <xf numFmtId="0" fontId="10" fillId="3" borderId="0" xfId="2" applyFont="1" applyFill="1" applyAlignment="1">
      <alignment horizontal="center"/>
    </xf>
    <xf numFmtId="0" fontId="60" fillId="0" borderId="0" xfId="0" applyFont="1" applyAlignment="1">
      <alignment horizontal="center"/>
    </xf>
    <xf numFmtId="0" fontId="60" fillId="0" borderId="0" xfId="0" applyFont="1"/>
    <xf numFmtId="0" fontId="2" fillId="0" borderId="0" xfId="9"/>
    <xf numFmtId="0" fontId="28" fillId="0" borderId="9" xfId="9" applyFont="1" applyBorder="1"/>
    <xf numFmtId="0" fontId="2" fillId="0" borderId="9" xfId="9" applyBorder="1"/>
    <xf numFmtId="0" fontId="36" fillId="3" borderId="13" xfId="0" applyFont="1" applyFill="1" applyBorder="1" applyAlignment="1">
      <alignment horizontal="center"/>
    </xf>
    <xf numFmtId="169" fontId="36" fillId="3" borderId="13" xfId="0" applyNumberFormat="1" applyFont="1" applyFill="1" applyBorder="1" applyAlignment="1">
      <alignment horizontal="center"/>
    </xf>
    <xf numFmtId="10" fontId="27" fillId="10" borderId="0" xfId="0" applyNumberFormat="1" applyFont="1" applyFill="1" applyAlignment="1">
      <alignment horizontal="center"/>
    </xf>
    <xf numFmtId="0" fontId="27" fillId="10" borderId="0" xfId="0" applyFont="1" applyFill="1"/>
    <xf numFmtId="1" fontId="48" fillId="5" borderId="0" xfId="0" applyNumberFormat="1" applyFont="1" applyFill="1" applyAlignment="1">
      <alignment horizontal="center"/>
    </xf>
    <xf numFmtId="1" fontId="0" fillId="5" borderId="0" xfId="0" applyNumberFormat="1" applyFill="1" applyAlignment="1">
      <alignment horizontal="center"/>
    </xf>
    <xf numFmtId="0" fontId="0" fillId="5" borderId="0" xfId="0" applyFill="1" applyAlignment="1">
      <alignment horizontal="center"/>
    </xf>
    <xf numFmtId="0" fontId="62" fillId="3" borderId="0" xfId="0" applyFont="1" applyFill="1" applyAlignment="1">
      <alignment horizontal="left"/>
    </xf>
    <xf numFmtId="0" fontId="9" fillId="3" borderId="0" xfId="2" applyFont="1" applyFill="1" applyAlignment="1">
      <alignment horizontal="center" wrapText="1"/>
    </xf>
    <xf numFmtId="0" fontId="4" fillId="3" borderId="0" xfId="2" applyFont="1" applyFill="1" applyAlignment="1">
      <alignment horizontal="left"/>
    </xf>
    <xf numFmtId="164" fontId="4" fillId="3" borderId="0" xfId="2" applyNumberFormat="1" applyFont="1" applyFill="1" applyAlignment="1">
      <alignment horizontal="left"/>
    </xf>
    <xf numFmtId="169" fontId="4" fillId="3" borderId="0" xfId="3" applyNumberFormat="1" applyFont="1" applyFill="1" applyAlignment="1">
      <alignment horizontal="center"/>
    </xf>
    <xf numFmtId="169" fontId="4" fillId="3" borderId="0" xfId="3" applyNumberFormat="1" applyFont="1" applyFill="1" applyAlignment="1" applyProtection="1">
      <alignment horizontal="center"/>
      <protection locked="0"/>
    </xf>
    <xf numFmtId="169" fontId="10" fillId="3" borderId="0" xfId="3" applyNumberFormat="1" applyFont="1" applyFill="1" applyAlignment="1" applyProtection="1">
      <alignment horizontal="center"/>
      <protection locked="0"/>
    </xf>
    <xf numFmtId="169" fontId="4" fillId="3" borderId="0" xfId="3" applyNumberFormat="1" applyFont="1" applyFill="1"/>
    <xf numFmtId="0" fontId="4" fillId="3" borderId="0" xfId="2" applyFont="1" applyFill="1" applyAlignment="1">
      <alignment horizontal="right"/>
    </xf>
    <xf numFmtId="169" fontId="4" fillId="5" borderId="15" xfId="2" applyNumberFormat="1" applyFont="1" applyFill="1" applyBorder="1" applyAlignment="1">
      <alignment horizontal="center"/>
    </xf>
    <xf numFmtId="2" fontId="32" fillId="3" borderId="0" xfId="0" applyNumberFormat="1" applyFont="1" applyFill="1" applyAlignment="1">
      <alignment horizontal="center"/>
    </xf>
    <xf numFmtId="9" fontId="53" fillId="3" borderId="0" xfId="4" applyFont="1" applyFill="1" applyAlignment="1">
      <alignment horizontal="center"/>
    </xf>
    <xf numFmtId="169" fontId="4" fillId="3" borderId="0" xfId="3" applyNumberFormat="1" applyFont="1" applyFill="1" applyAlignment="1" applyProtection="1">
      <alignment horizontal="left"/>
      <protection locked="0"/>
    </xf>
    <xf numFmtId="0" fontId="15" fillId="3" borderId="0" xfId="0" applyFont="1" applyFill="1" applyAlignment="1">
      <alignment horizontal="center"/>
    </xf>
    <xf numFmtId="0" fontId="37" fillId="3" borderId="16" xfId="0" applyFont="1" applyFill="1" applyBorder="1" applyAlignment="1">
      <alignment horizontal="center"/>
    </xf>
    <xf numFmtId="0" fontId="0" fillId="3" borderId="17" xfId="0" applyFill="1" applyBorder="1"/>
    <xf numFmtId="0" fontId="0" fillId="3" borderId="18" xfId="0" applyFill="1" applyBorder="1"/>
    <xf numFmtId="0" fontId="25" fillId="3" borderId="13" xfId="0" applyFont="1" applyFill="1" applyBorder="1"/>
    <xf numFmtId="0" fontId="25" fillId="3" borderId="0" xfId="0" applyFont="1" applyFill="1"/>
    <xf numFmtId="0" fontId="25" fillId="3" borderId="19" xfId="0" applyFont="1" applyFill="1" applyBorder="1"/>
    <xf numFmtId="0" fontId="0" fillId="3" borderId="13"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63" fillId="0" borderId="0" xfId="0" applyFont="1" applyAlignment="1">
      <alignment horizontal="left"/>
    </xf>
    <xf numFmtId="0" fontId="1" fillId="0" borderId="0" xfId="9" applyFont="1"/>
    <xf numFmtId="9" fontId="0" fillId="0" borderId="0" xfId="4" applyFont="1" applyAlignment="1">
      <alignment horizontal="center"/>
    </xf>
    <xf numFmtId="9" fontId="0" fillId="3" borderId="0" xfId="4" applyFont="1" applyFill="1" applyAlignment="1">
      <alignment horizontal="center"/>
    </xf>
    <xf numFmtId="0" fontId="0" fillId="3" borderId="0" xfId="4" applyNumberFormat="1" applyFont="1" applyFill="1" applyAlignment="1">
      <alignment horizontal="center"/>
    </xf>
    <xf numFmtId="0" fontId="0" fillId="3" borderId="0" xfId="0" applyFill="1" applyAlignment="1">
      <alignment horizontal="left"/>
    </xf>
    <xf numFmtId="0" fontId="26" fillId="3" borderId="0" xfId="0" applyFont="1" applyFill="1" applyAlignment="1">
      <alignment horizontal="center"/>
    </xf>
    <xf numFmtId="1" fontId="34" fillId="3" borderId="0" xfId="0" applyNumberFormat="1" applyFont="1" applyFill="1" applyAlignment="1">
      <alignment horizontal="center"/>
    </xf>
    <xf numFmtId="0" fontId="0" fillId="0" borderId="19" xfId="0" applyBorder="1"/>
    <xf numFmtId="0" fontId="0" fillId="0" borderId="13" xfId="0" applyBorder="1"/>
    <xf numFmtId="0" fontId="0" fillId="0" borderId="21" xfId="0" applyBorder="1"/>
    <xf numFmtId="0" fontId="0" fillId="0" borderId="22" xfId="0" applyBorder="1"/>
    <xf numFmtId="10" fontId="18" fillId="3" borderId="0" xfId="0" applyNumberFormat="1" applyFont="1" applyFill="1" applyAlignment="1">
      <alignment horizontal="center"/>
    </xf>
    <xf numFmtId="0" fontId="32" fillId="10" borderId="0" xfId="1" applyFont="1" applyFill="1" applyAlignment="1">
      <alignment horizontal="left" vertical="center" indent="1"/>
    </xf>
    <xf numFmtId="0" fontId="32" fillId="3" borderId="0" xfId="1" applyFont="1" applyFill="1" applyAlignment="1">
      <alignment horizontal="left" indent="1"/>
    </xf>
    <xf numFmtId="0" fontId="64" fillId="0" borderId="0" xfId="0" applyFont="1" applyAlignment="1">
      <alignment horizontal="left" vertical="center" readingOrder="1"/>
    </xf>
    <xf numFmtId="0" fontId="2" fillId="0" borderId="0" xfId="9" applyAlignment="1">
      <alignment horizontal="center"/>
    </xf>
    <xf numFmtId="169" fontId="26" fillId="10" borderId="9" xfId="0" applyNumberFormat="1" applyFont="1" applyFill="1" applyBorder="1" applyAlignment="1">
      <alignment horizontal="center"/>
    </xf>
    <xf numFmtId="0" fontId="10" fillId="5" borderId="9" xfId="0" applyFont="1" applyFill="1" applyBorder="1" applyAlignment="1">
      <alignment horizontal="center"/>
    </xf>
    <xf numFmtId="169" fontId="35" fillId="5" borderId="9" xfId="4" applyNumberFormat="1" applyFont="1" applyFill="1" applyBorder="1" applyAlignment="1" applyProtection="1">
      <alignment horizontal="center"/>
      <protection locked="0"/>
    </xf>
    <xf numFmtId="169" fontId="26" fillId="10" borderId="9" xfId="7" applyNumberFormat="1" applyFont="1" applyFill="1" applyBorder="1" applyAlignment="1">
      <alignment horizontal="center"/>
    </xf>
    <xf numFmtId="169" fontId="26" fillId="10" borderId="11" xfId="2" applyNumberFormat="1" applyFont="1" applyFill="1" applyBorder="1" applyAlignment="1">
      <alignment horizontal="center"/>
    </xf>
    <xf numFmtId="169" fontId="33" fillId="5" borderId="9" xfId="2" applyNumberFormat="1" applyFont="1" applyFill="1" applyBorder="1" applyAlignment="1">
      <alignment horizontal="center"/>
    </xf>
    <xf numFmtId="0" fontId="0" fillId="12" borderId="9" xfId="0" applyFill="1" applyBorder="1" applyAlignment="1">
      <alignment horizontal="center"/>
    </xf>
    <xf numFmtId="0" fontId="26" fillId="10" borderId="11" xfId="0" applyFont="1" applyFill="1" applyBorder="1" applyAlignment="1">
      <alignment horizontal="center"/>
    </xf>
    <xf numFmtId="0" fontId="32" fillId="10" borderId="12" xfId="2" applyFont="1" applyFill="1" applyBorder="1" applyAlignment="1">
      <alignment horizontal="center"/>
    </xf>
    <xf numFmtId="0" fontId="54" fillId="10" borderId="12" xfId="0" applyFont="1" applyFill="1" applyBorder="1" applyAlignment="1">
      <alignment horizontal="center"/>
    </xf>
    <xf numFmtId="0" fontId="57" fillId="10" borderId="9" xfId="0" applyFont="1" applyFill="1" applyBorder="1" applyAlignment="1">
      <alignment horizontal="center"/>
    </xf>
    <xf numFmtId="171" fontId="47" fillId="7" borderId="0" xfId="0" applyNumberFormat="1" applyFont="1" applyFill="1" applyAlignment="1">
      <alignment horizontal="center"/>
    </xf>
    <xf numFmtId="0" fontId="47" fillId="7" borderId="0" xfId="0" applyFont="1" applyFill="1" applyAlignment="1">
      <alignment horizontal="center"/>
    </xf>
    <xf numFmtId="10" fontId="0" fillId="7" borderId="0" xfId="0" applyNumberFormat="1" applyFill="1" applyAlignment="1">
      <alignment horizontal="center"/>
    </xf>
    <xf numFmtId="1" fontId="0" fillId="7" borderId="0" xfId="0" applyNumberFormat="1" applyFill="1" applyAlignment="1">
      <alignment horizontal="center"/>
    </xf>
    <xf numFmtId="0" fontId="0" fillId="7" borderId="0" xfId="0" applyFill="1"/>
    <xf numFmtId="0" fontId="0" fillId="7" borderId="0" xfId="0" applyFill="1" applyAlignment="1">
      <alignment horizontal="center"/>
    </xf>
    <xf numFmtId="171" fontId="47" fillId="14" borderId="0" xfId="0" applyNumberFormat="1" applyFont="1" applyFill="1" applyAlignment="1">
      <alignment horizontal="center"/>
    </xf>
    <xf numFmtId="0" fontId="47" fillId="14" borderId="0" xfId="0" applyFont="1" applyFill="1" applyAlignment="1">
      <alignment horizontal="center"/>
    </xf>
    <xf numFmtId="10" fontId="0" fillId="14" borderId="0" xfId="0" applyNumberFormat="1" applyFill="1" applyAlignment="1">
      <alignment horizontal="center"/>
    </xf>
    <xf numFmtId="1" fontId="0" fillId="14" borderId="0" xfId="0" applyNumberFormat="1" applyFill="1" applyAlignment="1">
      <alignment horizontal="center"/>
    </xf>
    <xf numFmtId="0" fontId="0" fillId="14" borderId="0" xfId="0" applyFill="1" applyAlignment="1">
      <alignment horizontal="center"/>
    </xf>
    <xf numFmtId="171" fontId="30" fillId="14" borderId="0" xfId="0" applyNumberFormat="1" applyFont="1" applyFill="1" applyAlignment="1">
      <alignment horizontal="center"/>
    </xf>
    <xf numFmtId="0" fontId="56" fillId="14" borderId="9" xfId="0" applyFont="1" applyFill="1" applyBorder="1" applyAlignment="1">
      <alignment horizontal="center"/>
    </xf>
    <xf numFmtId="0" fontId="66" fillId="10" borderId="9" xfId="9" applyFont="1" applyFill="1" applyBorder="1" applyAlignment="1">
      <alignment horizontal="center"/>
    </xf>
    <xf numFmtId="0" fontId="67" fillId="10" borderId="9" xfId="9" applyFont="1" applyFill="1" applyBorder="1" applyAlignment="1">
      <alignment horizontal="center"/>
    </xf>
    <xf numFmtId="0" fontId="66" fillId="10" borderId="15" xfId="9" applyFont="1" applyFill="1" applyBorder="1" applyAlignment="1">
      <alignment horizontal="center"/>
    </xf>
    <xf numFmtId="0" fontId="2" fillId="0" borderId="9" xfId="9" applyBorder="1" applyAlignment="1">
      <alignment horizontal="center"/>
    </xf>
    <xf numFmtId="0" fontId="28" fillId="0" borderId="9" xfId="9" applyFont="1" applyBorder="1" applyAlignment="1">
      <alignment horizontal="center"/>
    </xf>
    <xf numFmtId="10" fontId="2" fillId="5" borderId="9" xfId="9" applyNumberFormat="1" applyFill="1" applyBorder="1" applyAlignment="1">
      <alignment horizontal="center"/>
    </xf>
    <xf numFmtId="10" fontId="61" fillId="13" borderId="9" xfId="9" applyNumberFormat="1" applyFont="1" applyFill="1" applyBorder="1" applyAlignment="1">
      <alignment horizontal="center"/>
    </xf>
    <xf numFmtId="0" fontId="0" fillId="0" borderId="18" xfId="0" applyBorder="1"/>
    <xf numFmtId="0" fontId="0" fillId="0" borderId="17" xfId="0" applyBorder="1"/>
    <xf numFmtId="0" fontId="0" fillId="0" borderId="0" xfId="0" applyAlignment="1">
      <alignment wrapText="1"/>
    </xf>
    <xf numFmtId="0" fontId="31" fillId="0" borderId="13" xfId="2" applyFont="1" applyBorder="1"/>
    <xf numFmtId="0" fontId="31" fillId="0" borderId="0" xfId="2" applyFont="1"/>
    <xf numFmtId="0" fontId="25" fillId="3" borderId="16" xfId="0" applyFont="1" applyFill="1" applyBorder="1"/>
    <xf numFmtId="0" fontId="25" fillId="3" borderId="17" xfId="0" applyFont="1" applyFill="1" applyBorder="1"/>
    <xf numFmtId="0" fontId="25" fillId="3" borderId="18" xfId="0" applyFont="1" applyFill="1" applyBorder="1"/>
    <xf numFmtId="0" fontId="31" fillId="0" borderId="19" xfId="2" applyFont="1" applyBorder="1"/>
    <xf numFmtId="0" fontId="31" fillId="0" borderId="20" xfId="2" applyFont="1" applyBorder="1"/>
    <xf numFmtId="0" fontId="31" fillId="0" borderId="21" xfId="2" applyFont="1" applyBorder="1"/>
    <xf numFmtId="0" fontId="31" fillId="0" borderId="22" xfId="2" applyFont="1" applyBorder="1"/>
    <xf numFmtId="10" fontId="18" fillId="3" borderId="0" xfId="4" applyNumberFormat="1" applyFont="1" applyFill="1" applyAlignment="1">
      <alignment horizontal="left"/>
    </xf>
    <xf numFmtId="169" fontId="0" fillId="3" borderId="0" xfId="3" applyNumberFormat="1" applyFont="1" applyFill="1" applyAlignment="1">
      <alignment horizontal="left"/>
    </xf>
    <xf numFmtId="0" fontId="0" fillId="3" borderId="13" xfId="0" applyFill="1" applyBorder="1" applyAlignment="1">
      <alignment horizontal="left"/>
    </xf>
    <xf numFmtId="0" fontId="0" fillId="3" borderId="19" xfId="0" applyFill="1" applyBorder="1" applyAlignment="1">
      <alignment horizontal="left"/>
    </xf>
    <xf numFmtId="10" fontId="0" fillId="3" borderId="13" xfId="4" applyNumberFormat="1" applyFont="1" applyFill="1" applyBorder="1" applyAlignment="1">
      <alignment horizontal="left"/>
    </xf>
    <xf numFmtId="169" fontId="0" fillId="3" borderId="13" xfId="3" applyNumberFormat="1" applyFont="1" applyFill="1" applyBorder="1" applyAlignment="1">
      <alignment horizontal="left"/>
    </xf>
    <xf numFmtId="169" fontId="0" fillId="3" borderId="20" xfId="3" applyNumberFormat="1" applyFont="1" applyFill="1" applyBorder="1" applyAlignment="1">
      <alignment horizontal="left"/>
    </xf>
    <xf numFmtId="0" fontId="0" fillId="3" borderId="22" xfId="0" applyFill="1" applyBorder="1" applyAlignment="1">
      <alignment horizontal="left"/>
    </xf>
    <xf numFmtId="10" fontId="0" fillId="3" borderId="0" xfId="4" applyNumberFormat="1" applyFont="1" applyFill="1" applyAlignment="1">
      <alignment horizontal="left"/>
    </xf>
    <xf numFmtId="10" fontId="0" fillId="3" borderId="21" xfId="4" applyNumberFormat="1" applyFont="1" applyFill="1" applyBorder="1" applyAlignment="1">
      <alignment horizontal="left"/>
    </xf>
    <xf numFmtId="0" fontId="0" fillId="0" borderId="20" xfId="0" applyBorder="1"/>
    <xf numFmtId="0" fontId="1" fillId="0" borderId="13" xfId="9" applyFont="1" applyBorder="1"/>
    <xf numFmtId="0" fontId="1" fillId="0" borderId="19" xfId="9" applyFont="1" applyBorder="1"/>
    <xf numFmtId="0" fontId="2" fillId="0" borderId="19" xfId="9" applyBorder="1"/>
    <xf numFmtId="0" fontId="2" fillId="0" borderId="13" xfId="9" applyBorder="1"/>
    <xf numFmtId="0" fontId="2" fillId="0" borderId="20" xfId="9" applyBorder="1"/>
    <xf numFmtId="0" fontId="2" fillId="0" borderId="21" xfId="9" applyBorder="1"/>
    <xf numFmtId="0" fontId="2" fillId="0" borderId="22" xfId="9" applyBorder="1"/>
    <xf numFmtId="0" fontId="0" fillId="0" borderId="13" xfId="0" applyBorder="1" applyAlignment="1">
      <alignment horizontal="left"/>
    </xf>
    <xf numFmtId="0" fontId="0" fillId="0" borderId="19" xfId="0" applyBorder="1" applyAlignment="1">
      <alignment horizontal="left"/>
    </xf>
    <xf numFmtId="0" fontId="57" fillId="10" borderId="13" xfId="0" applyFont="1" applyFill="1" applyBorder="1" applyAlignment="1">
      <alignment horizontal="left"/>
    </xf>
    <xf numFmtId="14" fontId="0" fillId="0" borderId="0" xfId="0" applyNumberFormat="1" applyAlignment="1">
      <alignment horizontal="left"/>
    </xf>
    <xf numFmtId="1" fontId="47" fillId="5" borderId="9" xfId="9" applyNumberFormat="1" applyFont="1" applyFill="1" applyBorder="1" applyAlignment="1">
      <alignment horizontal="center"/>
    </xf>
    <xf numFmtId="0" fontId="47" fillId="5" borderId="9" xfId="9" applyFont="1" applyFill="1" applyBorder="1" applyAlignment="1">
      <alignment horizontal="center"/>
    </xf>
    <xf numFmtId="171" fontId="30" fillId="7" borderId="0" xfId="0" applyNumberFormat="1" applyFont="1" applyFill="1" applyAlignment="1">
      <alignment horizontal="center"/>
    </xf>
    <xf numFmtId="171" fontId="30" fillId="15" borderId="0" xfId="0" applyNumberFormat="1" applyFont="1" applyFill="1" applyAlignment="1">
      <alignment horizontal="center"/>
    </xf>
    <xf numFmtId="0" fontId="0" fillId="15" borderId="0" xfId="0" applyFill="1"/>
    <xf numFmtId="10" fontId="18" fillId="3" borderId="0" xfId="4" applyNumberFormat="1" applyFont="1" applyFill="1" applyAlignment="1">
      <alignment horizontal="center"/>
    </xf>
    <xf numFmtId="174" fontId="0" fillId="0" borderId="9" xfId="4" applyNumberFormat="1" applyFont="1" applyBorder="1" applyAlignment="1">
      <alignment horizontal="center"/>
    </xf>
    <xf numFmtId="10" fontId="0" fillId="3" borderId="0" xfId="0" applyNumberFormat="1" applyFill="1" applyAlignment="1">
      <alignment horizontal="center"/>
    </xf>
    <xf numFmtId="10" fontId="0" fillId="3" borderId="0" xfId="4" applyNumberFormat="1" applyFont="1" applyFill="1" applyAlignment="1">
      <alignment horizontal="center"/>
    </xf>
    <xf numFmtId="10" fontId="0" fillId="0" borderId="9" xfId="4" applyNumberFormat="1" applyFont="1" applyBorder="1"/>
    <xf numFmtId="0" fontId="59" fillId="0" borderId="9" xfId="0" applyFont="1" applyBorder="1" applyAlignment="1">
      <alignment horizontal="center"/>
    </xf>
    <xf numFmtId="0" fontId="4" fillId="11" borderId="0" xfId="1" applyFont="1" applyFill="1"/>
    <xf numFmtId="0" fontId="14" fillId="11" borderId="0" xfId="1" applyFont="1" applyFill="1"/>
    <xf numFmtId="0" fontId="19" fillId="11" borderId="0" xfId="1" applyFont="1" applyFill="1"/>
    <xf numFmtId="0" fontId="68" fillId="0" borderId="0" xfId="2" applyFont="1" applyAlignment="1">
      <alignment horizontal="left"/>
    </xf>
    <xf numFmtId="0" fontId="32" fillId="10" borderId="23" xfId="2" applyFont="1" applyFill="1" applyBorder="1" applyAlignment="1">
      <alignment horizontal="center"/>
    </xf>
    <xf numFmtId="0" fontId="69" fillId="0" borderId="0" xfId="0" applyFont="1" applyAlignment="1">
      <alignment horizontal="center"/>
    </xf>
    <xf numFmtId="169" fontId="0" fillId="0" borderId="9" xfId="0" applyNumberFormat="1" applyBorder="1" applyAlignment="1">
      <alignment horizontal="center"/>
    </xf>
    <xf numFmtId="169" fontId="0" fillId="13" borderId="9" xfId="0" applyNumberFormat="1" applyFill="1" applyBorder="1" applyAlignment="1">
      <alignment horizontal="center"/>
    </xf>
    <xf numFmtId="169" fontId="27" fillId="10" borderId="9" xfId="0" applyNumberFormat="1" applyFont="1" applyFill="1" applyBorder="1" applyAlignment="1">
      <alignment horizontal="center"/>
    </xf>
    <xf numFmtId="0" fontId="4" fillId="5" borderId="11" xfId="2" applyFont="1" applyFill="1" applyBorder="1" applyAlignment="1" applyProtection="1">
      <alignment horizontal="center"/>
      <protection locked="0"/>
    </xf>
    <xf numFmtId="0" fontId="27" fillId="10" borderId="11" xfId="0" applyFont="1" applyFill="1" applyBorder="1" applyAlignment="1">
      <alignment horizontal="center"/>
    </xf>
    <xf numFmtId="0" fontId="27" fillId="10" borderId="9" xfId="0" applyFont="1" applyFill="1" applyBorder="1" applyAlignment="1">
      <alignment horizontal="center"/>
    </xf>
    <xf numFmtId="0" fontId="15" fillId="0" borderId="19" xfId="1" applyFont="1" applyBorder="1" applyAlignment="1">
      <alignment vertical="center"/>
    </xf>
    <xf numFmtId="0" fontId="15" fillId="0" borderId="19" xfId="1" applyFont="1" applyBorder="1"/>
    <xf numFmtId="0" fontId="0" fillId="17" borderId="18" xfId="0" applyFill="1" applyBorder="1" applyAlignment="1">
      <alignment horizontal="center"/>
    </xf>
    <xf numFmtId="0" fontId="72" fillId="0" borderId="0" xfId="0" applyFont="1" applyAlignment="1">
      <alignment vertical="center"/>
    </xf>
    <xf numFmtId="0" fontId="73" fillId="0" borderId="0" xfId="0" applyFont="1"/>
    <xf numFmtId="0" fontId="72" fillId="0" borderId="19" xfId="0" applyFont="1" applyBorder="1" applyAlignment="1">
      <alignment vertical="center"/>
    </xf>
    <xf numFmtId="0" fontId="74" fillId="0" borderId="0" xfId="0" applyFont="1" applyAlignment="1">
      <alignment vertical="center"/>
    </xf>
    <xf numFmtId="0" fontId="74" fillId="18" borderId="0" xfId="0" applyFont="1" applyFill="1" applyAlignment="1">
      <alignment vertical="center"/>
    </xf>
    <xf numFmtId="0" fontId="72" fillId="0" borderId="0" xfId="0" applyFont="1" applyAlignment="1">
      <alignment horizontal="center" vertical="center"/>
    </xf>
    <xf numFmtId="10" fontId="0" fillId="7" borderId="0" xfId="4" applyNumberFormat="1" applyFont="1" applyFill="1" applyAlignment="1">
      <alignment horizontal="center"/>
    </xf>
    <xf numFmtId="10" fontId="0" fillId="14" borderId="0" xfId="4" applyNumberFormat="1" applyFont="1" applyFill="1" applyAlignment="1">
      <alignment horizontal="center"/>
    </xf>
    <xf numFmtId="0" fontId="0" fillId="5" borderId="0" xfId="0" applyFill="1" applyBorder="1" applyAlignment="1">
      <alignment horizontal="center"/>
    </xf>
    <xf numFmtId="0" fontId="0" fillId="12" borderId="11" xfId="0" applyFill="1" applyBorder="1" applyAlignment="1">
      <alignment horizontal="center"/>
    </xf>
    <xf numFmtId="0" fontId="27" fillId="10" borderId="24" xfId="0" applyFont="1" applyFill="1" applyBorder="1" applyAlignment="1">
      <alignment horizontal="center"/>
    </xf>
    <xf numFmtId="171" fontId="0" fillId="5" borderId="25" xfId="0" applyNumberFormat="1" applyFill="1" applyBorder="1" applyAlignment="1">
      <alignment horizontal="center"/>
    </xf>
    <xf numFmtId="0" fontId="0" fillId="5" borderId="26" xfId="0" applyFill="1" applyBorder="1" applyAlignment="1">
      <alignment horizontal="center"/>
    </xf>
    <xf numFmtId="0" fontId="0" fillId="5" borderId="27" xfId="0" applyFill="1" applyBorder="1" applyAlignment="1">
      <alignment horizontal="center"/>
    </xf>
    <xf numFmtId="0" fontId="27" fillId="10" borderId="28" xfId="0" applyFont="1" applyFill="1" applyBorder="1" applyAlignment="1">
      <alignment horizontal="center"/>
    </xf>
    <xf numFmtId="0" fontId="0" fillId="5" borderId="29" xfId="0" applyFill="1" applyBorder="1" applyAlignment="1">
      <alignment horizontal="center"/>
    </xf>
    <xf numFmtId="0" fontId="0" fillId="5" borderId="30" xfId="0" applyFill="1" applyBorder="1" applyAlignment="1">
      <alignment horizontal="center"/>
    </xf>
    <xf numFmtId="0" fontId="27" fillId="10" borderId="31" xfId="0" applyFont="1" applyFill="1" applyBorder="1" applyAlignment="1">
      <alignment horizontal="center"/>
    </xf>
    <xf numFmtId="0" fontId="0" fillId="12" borderId="28" xfId="0" applyFill="1" applyBorder="1" applyAlignment="1">
      <alignment horizontal="center"/>
    </xf>
    <xf numFmtId="0" fontId="0" fillId="12" borderId="31" xfId="0" applyFill="1" applyBorder="1" applyAlignment="1">
      <alignment horizontal="center"/>
    </xf>
    <xf numFmtId="0" fontId="57" fillId="10" borderId="28" xfId="0" applyFont="1" applyFill="1" applyBorder="1" applyAlignment="1">
      <alignment horizontal="center"/>
    </xf>
    <xf numFmtId="0" fontId="0" fillId="5" borderId="32" xfId="0" applyFill="1" applyBorder="1" applyAlignment="1">
      <alignment horizontal="center"/>
    </xf>
    <xf numFmtId="0" fontId="0" fillId="5" borderId="33" xfId="0" applyFill="1" applyBorder="1" applyAlignment="1">
      <alignment horizontal="center"/>
    </xf>
    <xf numFmtId="0" fontId="0" fillId="5" borderId="34" xfId="0" applyFill="1" applyBorder="1" applyAlignment="1">
      <alignment horizontal="center"/>
    </xf>
    <xf numFmtId="0" fontId="0" fillId="0" borderId="18" xfId="0" applyBorder="1" applyAlignment="1">
      <alignment horizontal="center"/>
    </xf>
    <xf numFmtId="169" fontId="0" fillId="16" borderId="19" xfId="0" applyNumberFormat="1" applyFill="1" applyBorder="1" applyAlignment="1">
      <alignment horizontal="center"/>
    </xf>
    <xf numFmtId="169" fontId="0" fillId="16" borderId="22" xfId="0" applyNumberFormat="1" applyFill="1" applyBorder="1" applyAlignment="1">
      <alignment horizontal="center"/>
    </xf>
    <xf numFmtId="175" fontId="0" fillId="16" borderId="19" xfId="0" applyNumberFormat="1" applyFill="1" applyBorder="1" applyAlignment="1">
      <alignment horizontal="center"/>
    </xf>
    <xf numFmtId="9" fontId="0" fillId="16" borderId="19" xfId="0" applyNumberFormat="1" applyFill="1" applyBorder="1" applyAlignment="1">
      <alignment horizontal="center"/>
    </xf>
    <xf numFmtId="9" fontId="0" fillId="16" borderId="22" xfId="0" applyNumberFormat="1" applyFill="1" applyBorder="1" applyAlignment="1">
      <alignment horizontal="center"/>
    </xf>
    <xf numFmtId="0" fontId="70" fillId="0" borderId="13" xfId="1" applyFont="1" applyBorder="1" applyAlignment="1">
      <alignment horizontal="center"/>
    </xf>
    <xf numFmtId="0" fontId="70" fillId="0" borderId="20" xfId="1" applyFont="1" applyBorder="1" applyAlignment="1">
      <alignment horizontal="center"/>
    </xf>
    <xf numFmtId="0" fontId="0" fillId="0" borderId="13" xfId="0" applyBorder="1" applyAlignment="1">
      <alignment horizontal="center"/>
    </xf>
    <xf numFmtId="0" fontId="0" fillId="0" borderId="0" xfId="0" applyBorder="1" applyAlignment="1">
      <alignment horizontal="center"/>
    </xf>
    <xf numFmtId="0" fontId="0" fillId="0" borderId="21" xfId="0" applyBorder="1" applyAlignment="1">
      <alignment horizontal="center"/>
    </xf>
    <xf numFmtId="0" fontId="0" fillId="0" borderId="20" xfId="0" applyBorder="1" applyAlignment="1">
      <alignment horizontal="center"/>
    </xf>
    <xf numFmtId="0" fontId="71" fillId="0" borderId="16" xfId="1" applyFont="1" applyBorder="1" applyAlignment="1">
      <alignment horizontal="center"/>
    </xf>
    <xf numFmtId="0" fontId="16" fillId="0" borderId="0" xfId="1" applyFont="1" applyAlignment="1">
      <alignment horizontal="center"/>
    </xf>
    <xf numFmtId="10" fontId="0" fillId="16" borderId="19" xfId="0" applyNumberFormat="1" applyFill="1" applyBorder="1" applyAlignment="1">
      <alignment horizontal="center"/>
    </xf>
    <xf numFmtId="10" fontId="0" fillId="16" borderId="22" xfId="0" applyNumberFormat="1" applyFill="1" applyBorder="1" applyAlignment="1">
      <alignment horizontal="center"/>
    </xf>
    <xf numFmtId="10" fontId="0" fillId="16" borderId="22" xfId="4" applyNumberFormat="1" applyFont="1" applyFill="1" applyBorder="1" applyAlignment="1">
      <alignment horizontal="center"/>
    </xf>
    <xf numFmtId="0" fontId="0" fillId="0" borderId="0" xfId="0" applyProtection="1"/>
    <xf numFmtId="174" fontId="0" fillId="5" borderId="9" xfId="0" applyNumberFormat="1" applyFill="1" applyBorder="1" applyAlignment="1" applyProtection="1">
      <alignment horizontal="center"/>
    </xf>
    <xf numFmtId="0" fontId="27" fillId="3" borderId="0" xfId="0" applyFont="1" applyFill="1" applyAlignment="1" applyProtection="1">
      <alignment horizontal="center"/>
    </xf>
    <xf numFmtId="0" fontId="15" fillId="3" borderId="0" xfId="0" applyFont="1" applyFill="1" applyAlignment="1" applyProtection="1">
      <alignment horizontal="left"/>
    </xf>
    <xf numFmtId="0" fontId="0" fillId="3" borderId="0" xfId="0" applyFill="1" applyAlignment="1" applyProtection="1">
      <alignment horizontal="center"/>
    </xf>
    <xf numFmtId="0" fontId="0" fillId="3" borderId="0" xfId="0" applyFill="1" applyProtection="1"/>
    <xf numFmtId="44" fontId="27" fillId="3" borderId="0" xfId="3" applyFont="1" applyFill="1" applyAlignment="1" applyProtection="1">
      <alignment horizontal="center"/>
    </xf>
    <xf numFmtId="169" fontId="0" fillId="3" borderId="0" xfId="0" applyNumberFormat="1" applyFill="1" applyAlignment="1" applyProtection="1">
      <alignment horizontal="center"/>
    </xf>
    <xf numFmtId="0" fontId="27" fillId="11" borderId="9" xfId="0" applyFont="1" applyFill="1" applyBorder="1" applyAlignment="1" applyProtection="1">
      <alignment horizontal="center"/>
    </xf>
    <xf numFmtId="0" fontId="0" fillId="3" borderId="13" xfId="0" applyFill="1" applyBorder="1" applyProtection="1"/>
    <xf numFmtId="0" fontId="27" fillId="10" borderId="9" xfId="0" applyFont="1" applyFill="1" applyBorder="1" applyAlignment="1" applyProtection="1">
      <alignment horizontal="center"/>
    </xf>
    <xf numFmtId="44" fontId="27" fillId="10" borderId="9" xfId="3" applyFont="1" applyFill="1" applyBorder="1" applyAlignment="1" applyProtection="1">
      <alignment horizontal="center"/>
    </xf>
    <xf numFmtId="0" fontId="0" fillId="0" borderId="0" xfId="0" applyAlignment="1" applyProtection="1">
      <alignment wrapText="1"/>
    </xf>
    <xf numFmtId="0" fontId="41" fillId="5" borderId="9" xfId="0" applyFont="1" applyFill="1" applyBorder="1" applyAlignment="1" applyProtection="1">
      <alignment horizontal="center"/>
    </xf>
    <xf numFmtId="44" fontId="41" fillId="5" borderId="9" xfId="3" applyFont="1" applyFill="1" applyBorder="1" applyAlignment="1" applyProtection="1">
      <alignment horizontal="center"/>
    </xf>
    <xf numFmtId="169" fontId="0" fillId="12" borderId="9" xfId="0" applyNumberFormat="1" applyFill="1" applyBorder="1" applyAlignment="1" applyProtection="1">
      <alignment horizontal="center"/>
    </xf>
    <xf numFmtId="169" fontId="41" fillId="5" borderId="9" xfId="4" applyNumberFormat="1" applyFont="1" applyFill="1" applyBorder="1" applyAlignment="1" applyProtection="1">
      <alignment horizontal="center"/>
    </xf>
    <xf numFmtId="0" fontId="41" fillId="3" borderId="0" xfId="0" applyFont="1" applyFill="1" applyAlignment="1" applyProtection="1">
      <alignment horizontal="center"/>
    </xf>
    <xf numFmtId="44" fontId="27" fillId="10" borderId="9" xfId="4" applyNumberFormat="1" applyFont="1" applyFill="1" applyBorder="1" applyAlignment="1" applyProtection="1">
      <alignment horizontal="center"/>
    </xf>
    <xf numFmtId="2" fontId="0" fillId="5" borderId="9" xfId="0" applyNumberFormat="1" applyFill="1" applyBorder="1" applyAlignment="1" applyProtection="1">
      <alignment horizontal="center"/>
    </xf>
    <xf numFmtId="169" fontId="0" fillId="5" borderId="9" xfId="4" applyNumberFormat="1" applyFont="1" applyFill="1" applyBorder="1" applyAlignment="1" applyProtection="1">
      <alignment horizontal="center"/>
    </xf>
    <xf numFmtId="0" fontId="27" fillId="10" borderId="0" xfId="0" applyFont="1" applyFill="1" applyProtection="1"/>
    <xf numFmtId="0" fontId="32" fillId="10" borderId="16" xfId="2" applyFont="1" applyFill="1" applyBorder="1" applyAlignment="1" applyProtection="1">
      <alignment horizontal="center"/>
    </xf>
    <xf numFmtId="0" fontId="54" fillId="10" borderId="0" xfId="0" applyFont="1" applyFill="1" applyAlignment="1" applyProtection="1">
      <alignment horizontal="center"/>
    </xf>
    <xf numFmtId="44" fontId="0" fillId="0" borderId="0" xfId="3" applyFont="1" applyProtection="1"/>
    <xf numFmtId="1" fontId="0" fillId="5" borderId="0" xfId="0" applyNumberFormat="1" applyFill="1" applyAlignment="1" applyProtection="1">
      <alignment horizontal="center"/>
    </xf>
    <xf numFmtId="0" fontId="0" fillId="0" borderId="13" xfId="0" applyBorder="1" applyProtection="1"/>
    <xf numFmtId="0" fontId="0" fillId="5" borderId="9" xfId="0" applyFill="1" applyBorder="1" applyAlignment="1" applyProtection="1">
      <alignment horizontal="center"/>
    </xf>
    <xf numFmtId="169" fontId="41" fillId="7" borderId="9" xfId="4" applyNumberFormat="1" applyFont="1" applyFill="1" applyBorder="1" applyAlignment="1" applyProtection="1">
      <alignment horizontal="center"/>
    </xf>
    <xf numFmtId="0" fontId="0" fillId="5" borderId="0" xfId="0" applyFill="1" applyAlignment="1" applyProtection="1">
      <alignment horizontal="center"/>
    </xf>
    <xf numFmtId="0" fontId="27" fillId="10" borderId="9" xfId="0" applyFont="1" applyFill="1" applyBorder="1" applyProtection="1"/>
    <xf numFmtId="0" fontId="0" fillId="12" borderId="9" xfId="0" applyFill="1" applyBorder="1" applyAlignment="1" applyProtection="1">
      <alignment horizontal="center"/>
    </xf>
    <xf numFmtId="0" fontId="0" fillId="0" borderId="20" xfId="0" applyBorder="1" applyProtection="1"/>
    <xf numFmtId="0" fontId="0" fillId="0" borderId="21" xfId="0" applyBorder="1" applyProtection="1"/>
    <xf numFmtId="169" fontId="31" fillId="7" borderId="9" xfId="4" applyNumberFormat="1" applyFont="1" applyFill="1" applyBorder="1" applyAlignment="1" applyProtection="1">
      <alignment horizontal="center"/>
    </xf>
    <xf numFmtId="173" fontId="0" fillId="5" borderId="9" xfId="4" applyNumberFormat="1" applyFont="1" applyFill="1" applyBorder="1" applyAlignment="1" applyProtection="1">
      <alignment horizontal="center"/>
    </xf>
    <xf numFmtId="166" fontId="0" fillId="5" borderId="9" xfId="4" applyNumberFormat="1" applyFont="1" applyFill="1" applyBorder="1" applyAlignment="1" applyProtection="1">
      <alignment horizontal="center"/>
    </xf>
    <xf numFmtId="169" fontId="0" fillId="5" borderId="9" xfId="3" applyNumberFormat="1" applyFont="1" applyFill="1" applyBorder="1" applyAlignment="1" applyProtection="1">
      <alignment horizontal="center"/>
    </xf>
    <xf numFmtId="169" fontId="31" fillId="12" borderId="9" xfId="4" applyNumberFormat="1" applyFont="1" applyFill="1" applyBorder="1" applyAlignment="1" applyProtection="1">
      <alignment horizontal="center"/>
    </xf>
    <xf numFmtId="0" fontId="18" fillId="0" borderId="0" xfId="0" applyFont="1" applyProtection="1"/>
    <xf numFmtId="9" fontId="0" fillId="5" borderId="9" xfId="0" applyNumberFormat="1" applyFill="1" applyBorder="1" applyAlignment="1" applyProtection="1">
      <alignment horizontal="center"/>
    </xf>
    <xf numFmtId="169" fontId="0" fillId="5" borderId="9" xfId="0" applyNumberFormat="1" applyFill="1" applyBorder="1" applyAlignment="1" applyProtection="1">
      <alignment horizontal="center"/>
    </xf>
    <xf numFmtId="0" fontId="37" fillId="3" borderId="16" xfId="0" applyFont="1" applyFill="1" applyBorder="1" applyAlignment="1" applyProtection="1">
      <alignment horizontal="center"/>
    </xf>
    <xf numFmtId="0" fontId="0" fillId="3" borderId="17" xfId="0" applyFill="1" applyBorder="1" applyProtection="1"/>
    <xf numFmtId="0" fontId="25" fillId="3" borderId="13" xfId="0" applyFont="1" applyFill="1" applyBorder="1" applyProtection="1"/>
    <xf numFmtId="0" fontId="25" fillId="3" borderId="0" xfId="0" applyFont="1" applyFill="1" applyProtection="1"/>
    <xf numFmtId="0" fontId="0" fillId="0" borderId="0" xfId="0" applyAlignment="1" applyProtection="1">
      <alignment horizontal="center"/>
    </xf>
    <xf numFmtId="169" fontId="41" fillId="5" borderId="9" xfId="3" applyNumberFormat="1" applyFont="1" applyFill="1" applyBorder="1" applyAlignment="1" applyProtection="1">
      <alignment horizontal="center"/>
    </xf>
    <xf numFmtId="9" fontId="0" fillId="12" borderId="9" xfId="4" applyFont="1" applyFill="1" applyBorder="1" applyAlignment="1" applyProtection="1">
      <alignment horizontal="center"/>
      <protection locked="0"/>
    </xf>
    <xf numFmtId="174" fontId="65" fillId="5" borderId="9" xfId="4" applyNumberFormat="1" applyFont="1" applyFill="1" applyBorder="1" applyAlignment="1" applyProtection="1">
      <alignment horizontal="center"/>
      <protection locked="0"/>
    </xf>
    <xf numFmtId="0" fontId="0" fillId="0" borderId="0" xfId="0" applyAlignment="1" applyProtection="1">
      <alignment horizontal="left"/>
      <protection locked="0"/>
    </xf>
    <xf numFmtId="0" fontId="0" fillId="0" borderId="0" xfId="0" applyProtection="1">
      <protection locked="0"/>
    </xf>
    <xf numFmtId="0" fontId="0" fillId="0" borderId="0" xfId="0" pivotButton="1" applyProtection="1">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1" fontId="0" fillId="0" borderId="0" xfId="0" applyNumberFormat="1" applyProtection="1">
      <protection locked="0"/>
    </xf>
    <xf numFmtId="10" fontId="0" fillId="0" borderId="0" xfId="4" applyNumberFormat="1" applyFont="1" applyAlignment="1" applyProtection="1">
      <alignment horizontal="center"/>
      <protection locked="0"/>
    </xf>
    <xf numFmtId="10" fontId="0" fillId="0" borderId="0" xfId="4" applyNumberFormat="1" applyFont="1" applyProtection="1">
      <protection locked="0"/>
    </xf>
    <xf numFmtId="10" fontId="0" fillId="0" borderId="0" xfId="4" quotePrefix="1" applyNumberFormat="1" applyFont="1" applyAlignment="1" applyProtection="1">
      <alignment horizontal="center"/>
      <protection locked="0"/>
    </xf>
    <xf numFmtId="10" fontId="0" fillId="0" borderId="0" xfId="4" quotePrefix="1" applyNumberFormat="1" applyFont="1" applyProtection="1">
      <protection locked="0"/>
    </xf>
    <xf numFmtId="0" fontId="10" fillId="5" borderId="9" xfId="2" applyFont="1" applyFill="1" applyBorder="1" applyAlignment="1" applyProtection="1">
      <alignment horizontal="center"/>
      <protection locked="0"/>
    </xf>
    <xf numFmtId="169" fontId="53" fillId="12" borderId="9" xfId="2" applyNumberFormat="1" applyFont="1" applyFill="1" applyBorder="1" applyAlignment="1" applyProtection="1">
      <alignment horizontal="center"/>
      <protection locked="0"/>
    </xf>
    <xf numFmtId="169" fontId="4" fillId="12" borderId="9" xfId="2" applyNumberFormat="1" applyFont="1" applyFill="1" applyBorder="1" applyAlignment="1" applyProtection="1">
      <alignment horizontal="center"/>
      <protection locked="0"/>
    </xf>
    <xf numFmtId="169" fontId="4" fillId="12" borderId="15" xfId="4" applyNumberFormat="1" applyFont="1" applyFill="1" applyBorder="1" applyAlignment="1" applyProtection="1">
      <alignment horizontal="center"/>
      <protection locked="0"/>
    </xf>
    <xf numFmtId="10" fontId="59" fillId="5" borderId="9" xfId="0" applyNumberFormat="1" applyFont="1" applyFill="1" applyBorder="1" applyAlignment="1" applyProtection="1">
      <alignment horizontal="center"/>
      <protection locked="0"/>
    </xf>
    <xf numFmtId="9" fontId="53" fillId="5" borderId="9" xfId="4" applyFont="1" applyFill="1" applyBorder="1" applyAlignment="1" applyProtection="1">
      <alignment horizontal="center"/>
      <protection locked="0"/>
    </xf>
    <xf numFmtId="0" fontId="10" fillId="2" borderId="0" xfId="5" applyFont="1" applyFill="1"/>
    <xf numFmtId="0" fontId="76" fillId="2" borderId="0" xfId="5" applyFont="1" applyFill="1"/>
    <xf numFmtId="0" fontId="10" fillId="0" borderId="0" xfId="5" applyFont="1" applyAlignment="1">
      <alignment horizontal="left" vertical="top"/>
    </xf>
    <xf numFmtId="0" fontId="4" fillId="0" borderId="0" xfId="5" applyFont="1" applyAlignment="1">
      <alignment horizontal="left" vertical="top" wrapText="1"/>
    </xf>
    <xf numFmtId="0" fontId="74" fillId="18" borderId="0" xfId="0" applyFont="1" applyFill="1" applyAlignment="1">
      <alignment horizontal="left" vertical="center"/>
    </xf>
    <xf numFmtId="0" fontId="72" fillId="0" borderId="0" xfId="0" applyFont="1" applyAlignment="1">
      <alignment horizontal="center" vertical="center"/>
    </xf>
    <xf numFmtId="0" fontId="72" fillId="0" borderId="13" xfId="0" applyFont="1" applyBorder="1" applyAlignment="1">
      <alignment horizontal="center" vertical="center"/>
    </xf>
    <xf numFmtId="0" fontId="17" fillId="0" borderId="0" xfId="1" applyFont="1" applyAlignment="1">
      <alignment horizontal="left"/>
    </xf>
    <xf numFmtId="0" fontId="27" fillId="10" borderId="11" xfId="0" applyFont="1" applyFill="1" applyBorder="1" applyAlignment="1">
      <alignment horizontal="center"/>
    </xf>
    <xf numFmtId="0" fontId="27" fillId="10" borderId="14" xfId="0" applyFont="1" applyFill="1" applyBorder="1" applyAlignment="1">
      <alignment horizontal="center"/>
    </xf>
    <xf numFmtId="0" fontId="27" fillId="10" borderId="11" xfId="0" applyFont="1" applyFill="1" applyBorder="1" applyAlignment="1" applyProtection="1">
      <alignment horizontal="center"/>
    </xf>
    <xf numFmtId="0" fontId="27" fillId="10" borderId="14" xfId="0" applyFont="1" applyFill="1" applyBorder="1" applyAlignment="1" applyProtection="1">
      <alignment horizontal="center"/>
    </xf>
    <xf numFmtId="0" fontId="4" fillId="3" borderId="0" xfId="2" applyFont="1" applyFill="1" applyAlignment="1">
      <alignment horizontal="center" vertical="center"/>
    </xf>
    <xf numFmtId="0" fontId="23" fillId="3" borderId="0" xfId="2" applyFont="1" applyFill="1" applyAlignment="1">
      <alignment horizontal="center" vertical="center"/>
    </xf>
    <xf numFmtId="0" fontId="4" fillId="0" borderId="0" xfId="2" applyFont="1" applyAlignment="1">
      <alignment horizontal="center"/>
    </xf>
    <xf numFmtId="0" fontId="4" fillId="3" borderId="0" xfId="2" applyFont="1" applyFill="1" applyAlignment="1">
      <alignment horizontal="center"/>
    </xf>
    <xf numFmtId="0" fontId="54" fillId="10" borderId="9" xfId="0" applyFont="1" applyFill="1" applyBorder="1" applyAlignment="1">
      <alignment horizontal="center"/>
    </xf>
    <xf numFmtId="10" fontId="18" fillId="5" borderId="9" xfId="4" applyNumberFormat="1" applyFont="1" applyFill="1" applyBorder="1" applyAlignment="1">
      <alignment horizontal="center"/>
    </xf>
    <xf numFmtId="169" fontId="0" fillId="12" borderId="9" xfId="0" applyNumberFormat="1" applyFill="1" applyBorder="1" applyAlignment="1">
      <alignment horizontal="center"/>
    </xf>
    <xf numFmtId="10" fontId="0" fillId="12" borderId="11" xfId="0" applyNumberFormat="1" applyFill="1" applyBorder="1" applyAlignment="1">
      <alignment horizontal="center"/>
    </xf>
    <xf numFmtId="10" fontId="0" fillId="12" borderId="14" xfId="0" applyNumberFormat="1" applyFill="1" applyBorder="1" applyAlignment="1">
      <alignment horizontal="center"/>
    </xf>
    <xf numFmtId="0" fontId="27" fillId="10" borderId="9" xfId="0" applyFont="1" applyFill="1" applyBorder="1" applyAlignment="1">
      <alignment horizontal="center"/>
    </xf>
    <xf numFmtId="0" fontId="0" fillId="5" borderId="11" xfId="0" applyFill="1" applyBorder="1" applyAlignment="1">
      <alignment horizontal="center"/>
    </xf>
    <xf numFmtId="0" fontId="0" fillId="5" borderId="14" xfId="0" applyFill="1" applyBorder="1" applyAlignment="1">
      <alignment horizontal="center"/>
    </xf>
    <xf numFmtId="0" fontId="1" fillId="0" borderId="0" xfId="9" applyFont="1" applyAlignment="1">
      <alignment horizontal="left"/>
    </xf>
    <xf numFmtId="0" fontId="2" fillId="0" borderId="0" xfId="9" applyAlignment="1">
      <alignment horizontal="left"/>
    </xf>
    <xf numFmtId="0" fontId="2" fillId="0" borderId="0" xfId="9" applyAlignment="1">
      <alignment horizontal="center"/>
    </xf>
  </cellXfs>
  <cellStyles count="10">
    <cellStyle name="Currency" xfId="3" builtinId="4"/>
    <cellStyle name="Flag Column" xfId="8" xr:uid="{89FF0FB3-02F8-410B-B76D-F1B8BC8DC09C}"/>
    <cellStyle name="Normal" xfId="0" builtinId="0"/>
    <cellStyle name="Normal 2" xfId="2" xr:uid="{01434574-854C-42B4-86AF-E8DF7D45D8B6}"/>
    <cellStyle name="Normal 2 3" xfId="5" xr:uid="{17EEA7BE-D2F1-4D18-9B30-EDA0317305B4}"/>
    <cellStyle name="Normal 3" xfId="6" xr:uid="{482DB904-2EF1-45DC-9716-09439376A05C}"/>
    <cellStyle name="Normal 4" xfId="9" xr:uid="{4037B0B9-B85D-4A90-BF59-E925EDC52FE2}"/>
    <cellStyle name="Normal_SimonPie" xfId="1" xr:uid="{76172C98-74A0-4C03-AB80-C6FC2145A2EC}"/>
    <cellStyle name="Percent" xfId="4" builtinId="5"/>
    <cellStyle name="Percent 2" xfId="7" xr:uid="{4C93999D-BD9B-41BA-A31F-81E5D3779FB6}"/>
  </cellStyles>
  <dxfs count="86">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protection locked="0"/>
    </dxf>
    <dxf>
      <protection locked="0"/>
    </dxf>
    <dxf>
      <protection locked="0"/>
    </dxf>
    <dxf>
      <protection locked="0"/>
    </dxf>
    <dxf>
      <protection locked="0"/>
    </dxf>
    <dxf>
      <protection locked="0"/>
    </dxf>
    <dxf>
      <font>
        <condense val="0"/>
        <extend val="0"/>
        <color indexed="20"/>
      </font>
      <fill>
        <patternFill patternType="solid">
          <fgColor indexed="64"/>
          <bgColor theme="7" tint="0.59999389629810485"/>
        </patternFill>
      </fill>
    </dxf>
    <dxf>
      <font>
        <condense val="0"/>
        <extend val="0"/>
        <color indexed="20"/>
      </font>
      <fill>
        <patternFill patternType="solid">
          <fgColor indexed="64"/>
          <bgColor theme="7" tint="0.59999389629810485"/>
        </patternFill>
      </fill>
    </dxf>
    <dxf>
      <font>
        <condense val="0"/>
        <extend val="0"/>
        <color indexed="20"/>
      </font>
      <fill>
        <patternFill patternType="solid">
          <fgColor indexed="64"/>
          <bgColor theme="7" tint="0.59999389629810485"/>
        </patternFill>
      </fill>
    </dxf>
    <dxf>
      <font>
        <condense val="0"/>
        <extend val="0"/>
        <color indexed="20"/>
      </font>
      <fill>
        <patternFill patternType="solid">
          <fgColor indexed="64"/>
          <bgColor theme="7" tint="0.59999389629810485"/>
        </patternFill>
      </fill>
    </dxf>
    <dxf>
      <font>
        <condense val="0"/>
        <extend val="0"/>
        <color indexed="20"/>
      </font>
      <fill>
        <patternFill patternType="solid">
          <fgColor indexed="64"/>
          <bgColor theme="7" tint="0.59999389629810485"/>
        </patternFill>
      </fill>
    </dxf>
    <dxf>
      <font>
        <condense val="0"/>
        <extend val="0"/>
        <color indexed="20"/>
      </font>
      <fill>
        <patternFill patternType="solid">
          <fgColor indexed="64"/>
          <bgColor theme="7" tint="0.599993896298104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patternType="gray125">
          <fgColor theme="7" tint="0.39997558519241921"/>
          <bgColor auto="1"/>
        </patternFill>
      </fill>
    </dxf>
    <dxf>
      <fill>
        <patternFill patternType="gray125">
          <fgColor theme="7" tint="0.39997558519241921"/>
          <bgColor auto="1"/>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7" tint="0.39997558519241921"/>
          <bgColor auto="1"/>
        </patternFill>
      </fill>
    </dxf>
    <dxf>
      <fill>
        <patternFill patternType="gray125">
          <fgColor theme="3" tint="0.39997558519241921"/>
          <bgColor auto="1"/>
        </patternFill>
      </fill>
    </dxf>
    <dxf>
      <fill>
        <patternFill patternType="gray125">
          <fgColor theme="7" tint="0.39997558519241921"/>
          <bgColor auto="1"/>
        </patternFill>
      </fill>
    </dxf>
    <dxf>
      <fill>
        <patternFill patternType="gray125">
          <fgColor theme="3" tint="0.39997558519241921"/>
          <bgColor auto="1"/>
        </patternFill>
      </fill>
    </dxf>
    <dxf>
      <fill>
        <patternFill patternType="gray125">
          <fgColor theme="7" tint="0.39997558519241921"/>
          <bgColor auto="1"/>
        </patternFill>
      </fill>
    </dxf>
    <dxf>
      <fill>
        <patternFill patternType="gray125">
          <fgColor theme="3" tint="0.39997558519241921"/>
          <bgColor auto="1"/>
        </patternFill>
      </fill>
    </dxf>
    <dxf>
      <fill>
        <patternFill patternType="gray125">
          <fgColor theme="7" tint="0.39997558519241921"/>
          <bgColor auto="1"/>
        </patternFill>
      </fill>
    </dxf>
    <dxf>
      <fill>
        <patternFill patternType="gray125">
          <fgColor theme="3" tint="0.39997558519241921"/>
          <bgColor auto="1"/>
        </patternFill>
      </fill>
    </dxf>
    <dxf>
      <fill>
        <patternFill patternType="gray125">
          <fgColor theme="3" tint="0.39997558519241921"/>
          <bgColor auto="1"/>
        </patternFill>
      </fill>
    </dxf>
    <dxf>
      <fill>
        <patternFill patternType="gray125">
          <fgColor theme="7" tint="0.39997558519241921"/>
          <bgColor auto="1"/>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7"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color theme="0"/>
      </font>
    </dxf>
    <dxf>
      <fill>
        <patternFill>
          <bgColor rgb="FF002060"/>
        </patternFill>
      </fill>
    </dxf>
    <dxf>
      <fill>
        <patternFill>
          <bgColor theme="7" tint="0.79998168889431442"/>
        </patternFill>
      </fill>
    </dxf>
    <dxf>
      <fill>
        <patternFill>
          <bgColor theme="7"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7" tint="0.39997558519241921"/>
        </patternFill>
      </fill>
    </dxf>
    <dxf>
      <font>
        <color theme="0"/>
      </font>
      <fill>
        <patternFill patternType="solid">
          <fgColor indexed="64"/>
          <bgColor rgb="FF002060"/>
        </patternFill>
      </fill>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7"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fill>
        <patternFill patternType="solid">
          <fgColor indexed="64"/>
          <bgColor rgb="FF002060"/>
        </patternFill>
      </fill>
    </dxf>
    <dxf>
      <alignment horizontal="center"/>
    </dxf>
    <dxf>
      <alignment horizontal="center"/>
    </dxf>
    <dxf>
      <alignment horizontal="center"/>
    </dxf>
  </dxfs>
  <tableStyles count="0" defaultTableStyle="TableStyleMedium2" defaultPivotStyle="PivotStyleLight16"/>
  <colors>
    <mruColors>
      <color rgb="FFFF9999"/>
      <color rgb="FFFF3300"/>
      <color rgb="FFFFCCFF"/>
      <color rgb="FFFF6699"/>
      <color rgb="FFFF66CC"/>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theme" Target="theme/theme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[CAT Project Group 8 (Final).xlsm]Order Summary!PivotTable5</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a:effectLst/>
        </c:spPr>
        <c:marker>
          <c:symbol val="none"/>
        </c:marker>
      </c:pivotFmt>
      <c:pivotFmt>
        <c:idx val="14"/>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0800000" scaled="1"/>
            <a:tileRect/>
          </a:gradFill>
          <a:ln>
            <a:noFill/>
          </a:ln>
          <a:effectLst/>
        </c:spPr>
        <c:marker>
          <c:symbol val="none"/>
        </c:marker>
      </c:pivotFmt>
      <c:pivotFmt>
        <c:idx val="15"/>
        <c:spPr>
          <a:gradFill flip="none" rotWithShape="1">
            <a:gsLst>
              <a:gs pos="0">
                <a:schemeClr val="bg1">
                  <a:lumMod val="65000"/>
                  <a:shade val="30000"/>
                  <a:satMod val="115000"/>
                </a:schemeClr>
              </a:gs>
              <a:gs pos="50000">
                <a:schemeClr val="bg1">
                  <a:lumMod val="65000"/>
                  <a:shade val="67500"/>
                  <a:satMod val="115000"/>
                </a:schemeClr>
              </a:gs>
              <a:gs pos="100000">
                <a:schemeClr val="bg1">
                  <a:lumMod val="65000"/>
                  <a:shade val="100000"/>
                  <a:satMod val="115000"/>
                </a:schemeClr>
              </a:gs>
            </a:gsLst>
            <a:lin ang="10800000" scaled="1"/>
            <a:tileRect/>
          </a:gradFill>
          <a:ln>
            <a:noFill/>
          </a:ln>
          <a:effectLst/>
        </c:spPr>
        <c:marker>
          <c:symbol val="none"/>
        </c:marker>
      </c:pivotFmt>
      <c:pivotFmt>
        <c:idx val="16"/>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a:effectLst/>
        </c:spPr>
        <c:marker>
          <c:symbol val="none"/>
        </c:marker>
      </c:pivotFmt>
      <c:pivotFmt>
        <c:idx val="17"/>
        <c:spPr>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0800000" scaled="1"/>
            <a:tileRect/>
          </a:gradFill>
          <a:ln>
            <a:noFill/>
          </a:ln>
          <a:effectLst/>
        </c:spPr>
        <c:marker>
          <c:symbol val="none"/>
        </c:marker>
      </c:pivotFmt>
      <c:pivotFmt>
        <c:idx val="18"/>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0800000" scaled="1"/>
            <a:tileRect/>
          </a:gradFill>
          <a:ln>
            <a:noFill/>
          </a:ln>
          <a:effectLst/>
        </c:spPr>
        <c:marker>
          <c:symbol val="none"/>
        </c:marker>
      </c:pivotFmt>
      <c:pivotFmt>
        <c:idx val="19"/>
        <c:spPr>
          <a:gradFill flip="none" rotWithShape="1">
            <a:gsLst>
              <a:gs pos="0">
                <a:schemeClr val="accent5">
                  <a:lumMod val="50000"/>
                  <a:shade val="30000"/>
                  <a:satMod val="115000"/>
                </a:schemeClr>
              </a:gs>
              <a:gs pos="50000">
                <a:schemeClr val="accent5">
                  <a:lumMod val="50000"/>
                  <a:shade val="67500"/>
                  <a:satMod val="115000"/>
                </a:schemeClr>
              </a:gs>
              <a:gs pos="100000">
                <a:schemeClr val="accent5">
                  <a:lumMod val="50000"/>
                  <a:shade val="100000"/>
                  <a:satMod val="115000"/>
                </a:schemeClr>
              </a:gs>
            </a:gsLst>
            <a:lin ang="10800000" scaled="1"/>
            <a:tileRect/>
          </a:gradFill>
          <a:ln>
            <a:noFill/>
          </a:ln>
          <a:effectLst/>
        </c:spPr>
        <c:marker>
          <c:symbol val="none"/>
        </c:marker>
      </c:pivotFmt>
      <c:pivotFmt>
        <c:idx val="20"/>
        <c:spPr>
          <a:gradFill flip="none" rotWithShape="1">
            <a:gsLst>
              <a:gs pos="0">
                <a:schemeClr val="accent2">
                  <a:lumMod val="50000"/>
                  <a:shade val="30000"/>
                  <a:satMod val="115000"/>
                </a:schemeClr>
              </a:gs>
              <a:gs pos="50000">
                <a:schemeClr val="accent2">
                  <a:lumMod val="50000"/>
                  <a:shade val="67500"/>
                  <a:satMod val="115000"/>
                </a:schemeClr>
              </a:gs>
              <a:gs pos="100000">
                <a:schemeClr val="accent2">
                  <a:lumMod val="50000"/>
                  <a:shade val="100000"/>
                  <a:satMod val="115000"/>
                </a:schemeClr>
              </a:gs>
            </a:gsLst>
            <a:lin ang="10800000" scaled="1"/>
            <a:tileRect/>
          </a:gradFill>
          <a:ln>
            <a:noFill/>
          </a:ln>
          <a:effectLst/>
        </c:spPr>
        <c:marker>
          <c:symbol val="none"/>
        </c:marker>
      </c:pivotFmt>
      <c:pivotFmt>
        <c:idx val="21"/>
        <c:spPr>
          <a:gradFill flip="none" rotWithShape="1">
            <a:gsLst>
              <a:gs pos="0">
                <a:schemeClr val="bg1">
                  <a:lumMod val="50000"/>
                  <a:shade val="30000"/>
                  <a:satMod val="115000"/>
                </a:schemeClr>
              </a:gs>
              <a:gs pos="50000">
                <a:schemeClr val="bg1">
                  <a:lumMod val="50000"/>
                  <a:shade val="67500"/>
                  <a:satMod val="115000"/>
                </a:schemeClr>
              </a:gs>
              <a:gs pos="100000">
                <a:schemeClr val="bg1">
                  <a:lumMod val="50000"/>
                  <a:shade val="100000"/>
                  <a:satMod val="115000"/>
                </a:schemeClr>
              </a:gs>
            </a:gsLst>
            <a:lin ang="10800000" scaled="1"/>
            <a:tileRect/>
          </a:gradFill>
          <a:ln>
            <a:noFill/>
          </a:ln>
          <a:effectLst/>
        </c:spPr>
        <c:marker>
          <c:symbol val="none"/>
        </c:marker>
      </c:pivotFmt>
      <c:pivotFmt>
        <c:idx val="22"/>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10800000" scaled="1"/>
            <a:tileRect/>
          </a:gradFill>
          <a:ln>
            <a:noFill/>
          </a:ln>
          <a:effectLst/>
        </c:spPr>
        <c:marker>
          <c:symbol val="none"/>
        </c:marker>
      </c:pivotFmt>
      <c:pivotFmt>
        <c:idx val="23"/>
        <c:spPr>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10800000" scaled="1"/>
            <a:tileRect/>
          </a:gradFill>
          <a:ln>
            <a:noFill/>
          </a:ln>
          <a:effectLst/>
        </c:spPr>
        <c:marker>
          <c:symbol val="none"/>
        </c:marker>
      </c:pivotFmt>
      <c:pivotFmt>
        <c:idx val="24"/>
        <c:spPr>
          <a:gradFill flip="none" rotWithShape="1">
            <a:gsLst>
              <a:gs pos="0">
                <a:schemeClr val="accent6">
                  <a:lumMod val="50000"/>
                  <a:shade val="30000"/>
                  <a:satMod val="115000"/>
                </a:schemeClr>
              </a:gs>
              <a:gs pos="50000">
                <a:schemeClr val="accent6">
                  <a:lumMod val="50000"/>
                  <a:shade val="67500"/>
                  <a:satMod val="115000"/>
                </a:schemeClr>
              </a:gs>
              <a:gs pos="100000">
                <a:schemeClr val="accent6">
                  <a:lumMod val="50000"/>
                  <a:shade val="100000"/>
                  <a:satMod val="115000"/>
                </a:schemeClr>
              </a:gs>
            </a:gsLst>
            <a:lin ang="10800000" scaled="1"/>
            <a:tileRect/>
          </a:gradFill>
          <a:ln>
            <a:noFill/>
          </a:ln>
          <a:effectLst/>
        </c:spPr>
        <c:marker>
          <c:symbol val="none"/>
        </c:marker>
      </c:pivotFmt>
      <c:pivotFmt>
        <c:idx val="25"/>
        <c:spPr>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0800000" scaled="1"/>
            <a:tileRect/>
          </a:gradFill>
          <a:ln>
            <a:noFill/>
          </a:ln>
          <a:effectLst/>
        </c:spPr>
        <c:marker>
          <c:symbol val="none"/>
        </c:marker>
      </c:pivotFmt>
    </c:pivotFmts>
    <c:plotArea>
      <c:layout/>
      <c:barChart>
        <c:barDir val="col"/>
        <c:grouping val="clustered"/>
        <c:varyColors val="0"/>
        <c:ser>
          <c:idx val="0"/>
          <c:order val="0"/>
          <c:tx>
            <c:strRef>
              <c:f>'Order Summary'!$A$4</c:f>
              <c:strCache>
                <c:ptCount val="1"/>
                <c:pt idx="0">
                  <c:v>30ml  Blue</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Summary'!$A$5</c:f>
              <c:numCache>
                <c:formatCode>General</c:formatCode>
                <c:ptCount val="1"/>
                <c:pt idx="0">
                  <c:v>16</c:v>
                </c:pt>
              </c:numCache>
            </c:numRef>
          </c:val>
          <c:extLst>
            <c:ext xmlns:c16="http://schemas.microsoft.com/office/drawing/2014/chart" uri="{C3380CC4-5D6E-409C-BE32-E72D297353CC}">
              <c16:uniqueId val="{00000000-24A4-4E69-94EF-4F76DF34FE3D}"/>
            </c:ext>
          </c:extLst>
        </c:ser>
        <c:ser>
          <c:idx val="1"/>
          <c:order val="1"/>
          <c:tx>
            <c:strRef>
              <c:f>'Order Summary'!$B$4</c:f>
              <c:strCache>
                <c:ptCount val="1"/>
                <c:pt idx="0">
                  <c:v>30ml  Black</c:v>
                </c:pt>
              </c:strCache>
            </c:strRef>
          </c:tx>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0800000" scaled="1"/>
              <a:tileRect/>
            </a:gradFill>
            <a:ln>
              <a:noFill/>
            </a:ln>
            <a:effectLst/>
          </c:spPr>
          <c:invertIfNegative val="0"/>
          <c:cat>
            <c:strRef>
              <c:f>'Order Summary'!$A$5</c:f>
              <c:strCache>
                <c:ptCount val="1"/>
                <c:pt idx="0">
                  <c:v>Total</c:v>
                </c:pt>
              </c:strCache>
            </c:strRef>
          </c:cat>
          <c:val>
            <c:numRef>
              <c:f>'Order Summary'!$B$5</c:f>
              <c:numCache>
                <c:formatCode>General</c:formatCode>
                <c:ptCount val="1"/>
                <c:pt idx="0">
                  <c:v>16</c:v>
                </c:pt>
              </c:numCache>
            </c:numRef>
          </c:val>
          <c:extLst>
            <c:ext xmlns:c16="http://schemas.microsoft.com/office/drawing/2014/chart" uri="{C3380CC4-5D6E-409C-BE32-E72D297353CC}">
              <c16:uniqueId val="{00000001-24A4-4E69-94EF-4F76DF34FE3D}"/>
            </c:ext>
          </c:extLst>
        </c:ser>
        <c:ser>
          <c:idx val="2"/>
          <c:order val="2"/>
          <c:tx>
            <c:strRef>
              <c:f>'Order Summary'!$C$4</c:f>
              <c:strCache>
                <c:ptCount val="1"/>
                <c:pt idx="0">
                  <c:v>30ml  Christmas</c:v>
                </c:pt>
              </c:strCache>
            </c:strRef>
          </c:tx>
          <c:spPr>
            <a:gradFill flip="none" rotWithShape="1">
              <a:gsLst>
                <a:gs pos="0">
                  <a:schemeClr val="bg1">
                    <a:lumMod val="65000"/>
                    <a:shade val="30000"/>
                    <a:satMod val="115000"/>
                  </a:schemeClr>
                </a:gs>
                <a:gs pos="50000">
                  <a:schemeClr val="bg1">
                    <a:lumMod val="65000"/>
                    <a:shade val="67500"/>
                    <a:satMod val="115000"/>
                  </a:schemeClr>
                </a:gs>
                <a:gs pos="100000">
                  <a:schemeClr val="bg1">
                    <a:lumMod val="65000"/>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Summary'!$C$5</c:f>
              <c:numCache>
                <c:formatCode>General</c:formatCode>
                <c:ptCount val="1"/>
                <c:pt idx="0">
                  <c:v>10</c:v>
                </c:pt>
              </c:numCache>
            </c:numRef>
          </c:val>
          <c:extLst>
            <c:ext xmlns:c16="http://schemas.microsoft.com/office/drawing/2014/chart" uri="{C3380CC4-5D6E-409C-BE32-E72D297353CC}">
              <c16:uniqueId val="{00000002-24A4-4E69-94EF-4F76DF34FE3D}"/>
            </c:ext>
          </c:extLst>
        </c:ser>
        <c:ser>
          <c:idx val="3"/>
          <c:order val="3"/>
          <c:tx>
            <c:strRef>
              <c:f>'Order Summary'!$D$4</c:f>
              <c:strCache>
                <c:ptCount val="1"/>
                <c:pt idx="0">
                  <c:v>30ml  Diamond</c:v>
                </c:pt>
              </c:strCache>
            </c:strRef>
          </c:tx>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a:effectLst/>
          </c:spPr>
          <c:invertIfNegative val="0"/>
          <c:cat>
            <c:strRef>
              <c:f>'Order Summary'!$A$5</c:f>
              <c:strCache>
                <c:ptCount val="1"/>
                <c:pt idx="0">
                  <c:v>Total</c:v>
                </c:pt>
              </c:strCache>
            </c:strRef>
          </c:cat>
          <c:val>
            <c:numRef>
              <c:f>'Order Summary'!$D$5</c:f>
              <c:numCache>
                <c:formatCode>General</c:formatCode>
                <c:ptCount val="1"/>
                <c:pt idx="0">
                  <c:v>25</c:v>
                </c:pt>
              </c:numCache>
            </c:numRef>
          </c:val>
          <c:extLst>
            <c:ext xmlns:c16="http://schemas.microsoft.com/office/drawing/2014/chart" uri="{C3380CC4-5D6E-409C-BE32-E72D297353CC}">
              <c16:uniqueId val="{00000003-24A4-4E69-94EF-4F76DF34FE3D}"/>
            </c:ext>
          </c:extLst>
        </c:ser>
        <c:ser>
          <c:idx val="4"/>
          <c:order val="4"/>
          <c:tx>
            <c:strRef>
              <c:f>'Order Summary'!$E$4</c:f>
              <c:strCache>
                <c:ptCount val="1"/>
                <c:pt idx="0">
                  <c:v>30ml  Elegance</c:v>
                </c:pt>
              </c:strCache>
            </c:strRef>
          </c:tx>
          <c:spPr>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Summary'!$E$5</c:f>
              <c:numCache>
                <c:formatCode>General</c:formatCode>
                <c:ptCount val="1"/>
                <c:pt idx="0">
                  <c:v>14</c:v>
                </c:pt>
              </c:numCache>
            </c:numRef>
          </c:val>
          <c:extLst>
            <c:ext xmlns:c16="http://schemas.microsoft.com/office/drawing/2014/chart" uri="{C3380CC4-5D6E-409C-BE32-E72D297353CC}">
              <c16:uniqueId val="{00000004-24A4-4E69-94EF-4F76DF34FE3D}"/>
            </c:ext>
          </c:extLst>
        </c:ser>
        <c:ser>
          <c:idx val="5"/>
          <c:order val="5"/>
          <c:tx>
            <c:strRef>
              <c:f>'Order Summary'!$F$4</c:f>
              <c:strCache>
                <c:ptCount val="1"/>
                <c:pt idx="0">
                  <c:v>30ml  Fancy</c:v>
                </c:pt>
              </c:strCache>
            </c:strRef>
          </c:tx>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0800000" scaled="1"/>
              <a:tileRect/>
            </a:gradFill>
            <a:ln>
              <a:noFill/>
            </a:ln>
            <a:effectLst/>
          </c:spPr>
          <c:invertIfNegative val="0"/>
          <c:cat>
            <c:strRef>
              <c:f>'Order Summary'!$A$5</c:f>
              <c:strCache>
                <c:ptCount val="1"/>
                <c:pt idx="0">
                  <c:v>Total</c:v>
                </c:pt>
              </c:strCache>
            </c:strRef>
          </c:cat>
          <c:val>
            <c:numRef>
              <c:f>'Order Summary'!$F$5</c:f>
              <c:numCache>
                <c:formatCode>General</c:formatCode>
                <c:ptCount val="1"/>
                <c:pt idx="0">
                  <c:v>12</c:v>
                </c:pt>
              </c:numCache>
            </c:numRef>
          </c:val>
          <c:extLst>
            <c:ext xmlns:c16="http://schemas.microsoft.com/office/drawing/2014/chart" uri="{C3380CC4-5D6E-409C-BE32-E72D297353CC}">
              <c16:uniqueId val="{00000005-24A4-4E69-94EF-4F76DF34FE3D}"/>
            </c:ext>
          </c:extLst>
        </c:ser>
        <c:ser>
          <c:idx val="6"/>
          <c:order val="6"/>
          <c:tx>
            <c:strRef>
              <c:f>'Order Summary'!$G$4</c:f>
              <c:strCache>
                <c:ptCount val="1"/>
                <c:pt idx="0">
                  <c:v>30ml  Love</c:v>
                </c:pt>
              </c:strCache>
            </c:strRef>
          </c:tx>
          <c:spPr>
            <a:gradFill flip="none" rotWithShape="1">
              <a:gsLst>
                <a:gs pos="0">
                  <a:schemeClr val="accent5">
                    <a:lumMod val="50000"/>
                    <a:shade val="30000"/>
                    <a:satMod val="115000"/>
                  </a:schemeClr>
                </a:gs>
                <a:gs pos="50000">
                  <a:schemeClr val="accent5">
                    <a:lumMod val="50000"/>
                    <a:shade val="67500"/>
                    <a:satMod val="115000"/>
                  </a:schemeClr>
                </a:gs>
                <a:gs pos="100000">
                  <a:schemeClr val="accent5">
                    <a:lumMod val="50000"/>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Summary'!$G$5</c:f>
              <c:numCache>
                <c:formatCode>General</c:formatCode>
                <c:ptCount val="1"/>
                <c:pt idx="0">
                  <c:v>14</c:v>
                </c:pt>
              </c:numCache>
            </c:numRef>
          </c:val>
          <c:extLst>
            <c:ext xmlns:c16="http://schemas.microsoft.com/office/drawing/2014/chart" uri="{C3380CC4-5D6E-409C-BE32-E72D297353CC}">
              <c16:uniqueId val="{00000006-24A4-4E69-94EF-4F76DF34FE3D}"/>
            </c:ext>
          </c:extLst>
        </c:ser>
        <c:ser>
          <c:idx val="7"/>
          <c:order val="7"/>
          <c:tx>
            <c:strRef>
              <c:f>'Order Summary'!$H$4</c:f>
              <c:strCache>
                <c:ptCount val="1"/>
                <c:pt idx="0">
                  <c:v>30ml  Romance</c:v>
                </c:pt>
              </c:strCache>
            </c:strRef>
          </c:tx>
          <c:spPr>
            <a:gradFill flip="none" rotWithShape="1">
              <a:gsLst>
                <a:gs pos="0">
                  <a:schemeClr val="accent2">
                    <a:lumMod val="50000"/>
                    <a:shade val="30000"/>
                    <a:satMod val="115000"/>
                  </a:schemeClr>
                </a:gs>
                <a:gs pos="50000">
                  <a:schemeClr val="accent2">
                    <a:lumMod val="50000"/>
                    <a:shade val="67500"/>
                    <a:satMod val="115000"/>
                  </a:schemeClr>
                </a:gs>
                <a:gs pos="100000">
                  <a:schemeClr val="accent2">
                    <a:lumMod val="50000"/>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Summary'!$H$5</c:f>
              <c:numCache>
                <c:formatCode>General</c:formatCode>
                <c:ptCount val="1"/>
                <c:pt idx="0">
                  <c:v>13</c:v>
                </c:pt>
              </c:numCache>
            </c:numRef>
          </c:val>
          <c:extLst>
            <c:ext xmlns:c16="http://schemas.microsoft.com/office/drawing/2014/chart" uri="{C3380CC4-5D6E-409C-BE32-E72D297353CC}">
              <c16:uniqueId val="{00000007-24A4-4E69-94EF-4F76DF34FE3D}"/>
            </c:ext>
          </c:extLst>
        </c:ser>
        <c:ser>
          <c:idx val="8"/>
          <c:order val="8"/>
          <c:tx>
            <c:strRef>
              <c:f>'Order Summary'!$I$4</c:f>
              <c:strCache>
                <c:ptCount val="1"/>
                <c:pt idx="0">
                  <c:v>30ml  Sahara</c:v>
                </c:pt>
              </c:strCache>
            </c:strRef>
          </c:tx>
          <c:spPr>
            <a:gradFill flip="none" rotWithShape="1">
              <a:gsLst>
                <a:gs pos="0">
                  <a:schemeClr val="bg1">
                    <a:lumMod val="50000"/>
                    <a:shade val="30000"/>
                    <a:satMod val="115000"/>
                  </a:schemeClr>
                </a:gs>
                <a:gs pos="50000">
                  <a:schemeClr val="bg1">
                    <a:lumMod val="50000"/>
                    <a:shade val="67500"/>
                    <a:satMod val="115000"/>
                  </a:schemeClr>
                </a:gs>
                <a:gs pos="100000">
                  <a:schemeClr val="bg1">
                    <a:lumMod val="50000"/>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Summary'!$I$5</c:f>
              <c:numCache>
                <c:formatCode>General</c:formatCode>
                <c:ptCount val="1"/>
                <c:pt idx="0">
                  <c:v>10</c:v>
                </c:pt>
              </c:numCache>
            </c:numRef>
          </c:val>
          <c:extLst>
            <c:ext xmlns:c16="http://schemas.microsoft.com/office/drawing/2014/chart" uri="{C3380CC4-5D6E-409C-BE32-E72D297353CC}">
              <c16:uniqueId val="{00000008-24A4-4E69-94EF-4F76DF34FE3D}"/>
            </c:ext>
          </c:extLst>
        </c:ser>
        <c:ser>
          <c:idx val="9"/>
          <c:order val="9"/>
          <c:tx>
            <c:strRef>
              <c:f>'Order Summary'!$J$4</c:f>
              <c:strCache>
                <c:ptCount val="1"/>
                <c:pt idx="0">
                  <c:v>30ml  Sensual</c:v>
                </c:pt>
              </c:strCache>
            </c:strRef>
          </c:tx>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Summary'!$J$5</c:f>
              <c:numCache>
                <c:formatCode>General</c:formatCode>
                <c:ptCount val="1"/>
                <c:pt idx="0">
                  <c:v>14</c:v>
                </c:pt>
              </c:numCache>
            </c:numRef>
          </c:val>
          <c:extLst>
            <c:ext xmlns:c16="http://schemas.microsoft.com/office/drawing/2014/chart" uri="{C3380CC4-5D6E-409C-BE32-E72D297353CC}">
              <c16:uniqueId val="{00000009-24A4-4E69-94EF-4F76DF34FE3D}"/>
            </c:ext>
          </c:extLst>
        </c:ser>
        <c:ser>
          <c:idx val="10"/>
          <c:order val="10"/>
          <c:tx>
            <c:strRef>
              <c:f>'Order Summary'!$K$4</c:f>
              <c:strCache>
                <c:ptCount val="1"/>
                <c:pt idx="0">
                  <c:v>30ml  Sexy</c:v>
                </c:pt>
              </c:strCache>
            </c:strRef>
          </c:tx>
          <c:spPr>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10800000" scaled="1"/>
              <a:tileRect/>
            </a:gradFill>
            <a:ln>
              <a:noFill/>
            </a:ln>
            <a:effectLst/>
          </c:spPr>
          <c:invertIfNegative val="0"/>
          <c:cat>
            <c:strRef>
              <c:f>'Order Summary'!$A$5</c:f>
              <c:strCache>
                <c:ptCount val="1"/>
                <c:pt idx="0">
                  <c:v>Total</c:v>
                </c:pt>
              </c:strCache>
            </c:strRef>
          </c:cat>
          <c:val>
            <c:numRef>
              <c:f>'Order Summary'!$K$5</c:f>
              <c:numCache>
                <c:formatCode>General</c:formatCode>
                <c:ptCount val="1"/>
                <c:pt idx="0">
                  <c:v>32</c:v>
                </c:pt>
              </c:numCache>
            </c:numRef>
          </c:val>
          <c:extLst>
            <c:ext xmlns:c16="http://schemas.microsoft.com/office/drawing/2014/chart" uri="{C3380CC4-5D6E-409C-BE32-E72D297353CC}">
              <c16:uniqueId val="{0000000A-24A4-4E69-94EF-4F76DF34FE3D}"/>
            </c:ext>
          </c:extLst>
        </c:ser>
        <c:ser>
          <c:idx val="11"/>
          <c:order val="11"/>
          <c:tx>
            <c:strRef>
              <c:f>'Order Summary'!$L$4</c:f>
              <c:strCache>
                <c:ptCount val="1"/>
                <c:pt idx="0">
                  <c:v>30ml  Vogue</c:v>
                </c:pt>
              </c:strCache>
            </c:strRef>
          </c:tx>
          <c:spPr>
            <a:gradFill flip="none" rotWithShape="1">
              <a:gsLst>
                <a:gs pos="0">
                  <a:schemeClr val="accent6">
                    <a:lumMod val="50000"/>
                    <a:shade val="30000"/>
                    <a:satMod val="115000"/>
                  </a:schemeClr>
                </a:gs>
                <a:gs pos="50000">
                  <a:schemeClr val="accent6">
                    <a:lumMod val="50000"/>
                    <a:shade val="67500"/>
                    <a:satMod val="115000"/>
                  </a:schemeClr>
                </a:gs>
                <a:gs pos="100000">
                  <a:schemeClr val="accent6">
                    <a:lumMod val="50000"/>
                    <a:shade val="100000"/>
                    <a:satMod val="115000"/>
                  </a:schemeClr>
                </a:gs>
              </a:gsLst>
              <a:lin ang="10800000" scaled="1"/>
              <a:tileRect/>
            </a:gradFill>
            <a:ln>
              <a:noFill/>
            </a:ln>
            <a:effectLst/>
          </c:spPr>
          <c:invertIfNegative val="0"/>
          <c:cat>
            <c:strRef>
              <c:f>'Order Summary'!$A$5</c:f>
              <c:strCache>
                <c:ptCount val="1"/>
                <c:pt idx="0">
                  <c:v>Total</c:v>
                </c:pt>
              </c:strCache>
            </c:strRef>
          </c:cat>
          <c:val>
            <c:numRef>
              <c:f>'Order Summary'!$L$5</c:f>
              <c:numCache>
                <c:formatCode>General</c:formatCode>
                <c:ptCount val="1"/>
                <c:pt idx="0">
                  <c:v>13</c:v>
                </c:pt>
              </c:numCache>
            </c:numRef>
          </c:val>
          <c:extLst>
            <c:ext xmlns:c16="http://schemas.microsoft.com/office/drawing/2014/chart" uri="{C3380CC4-5D6E-409C-BE32-E72D297353CC}">
              <c16:uniqueId val="{0000000B-24A4-4E69-94EF-4F76DF34FE3D}"/>
            </c:ext>
          </c:extLst>
        </c:ser>
        <c:ser>
          <c:idx val="12"/>
          <c:order val="12"/>
          <c:tx>
            <c:strRef>
              <c:f>'Order Summary'!$M$4</c:f>
              <c:strCache>
                <c:ptCount val="1"/>
                <c:pt idx="0">
                  <c:v>30ml  Warm</c:v>
                </c:pt>
              </c:strCache>
            </c:strRef>
          </c:tx>
          <c:spPr>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0800000" scaled="1"/>
              <a:tileRect/>
            </a:gradFill>
            <a:ln>
              <a:noFill/>
            </a:ln>
            <a:effectLst/>
          </c:spPr>
          <c:invertIfNegative val="0"/>
          <c:cat>
            <c:strRef>
              <c:f>'Order Summary'!$A$5</c:f>
              <c:strCache>
                <c:ptCount val="1"/>
                <c:pt idx="0">
                  <c:v>Total</c:v>
                </c:pt>
              </c:strCache>
            </c:strRef>
          </c:cat>
          <c:val>
            <c:numRef>
              <c:f>'Order Summary'!$M$5</c:f>
              <c:numCache>
                <c:formatCode>General</c:formatCode>
                <c:ptCount val="1"/>
                <c:pt idx="0">
                  <c:v>9</c:v>
                </c:pt>
              </c:numCache>
            </c:numRef>
          </c:val>
          <c:extLst>
            <c:ext xmlns:c16="http://schemas.microsoft.com/office/drawing/2014/chart" uri="{C3380CC4-5D6E-409C-BE32-E72D297353CC}">
              <c16:uniqueId val="{0000000C-24A4-4E69-94EF-4F76DF34FE3D}"/>
            </c:ext>
          </c:extLst>
        </c:ser>
        <c:dLbls>
          <c:showLegendKey val="0"/>
          <c:showVal val="0"/>
          <c:showCatName val="0"/>
          <c:showSerName val="0"/>
          <c:showPercent val="0"/>
          <c:showBubbleSize val="0"/>
        </c:dLbls>
        <c:gapWidth val="219"/>
        <c:overlap val="-27"/>
        <c:axId val="1779484367"/>
        <c:axId val="1804499519"/>
      </c:barChart>
      <c:catAx>
        <c:axId val="1779484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4499519"/>
        <c:crosses val="autoZero"/>
        <c:auto val="1"/>
        <c:lblAlgn val="ctr"/>
        <c:lblOffset val="100"/>
        <c:noMultiLvlLbl val="0"/>
      </c:catAx>
      <c:valAx>
        <c:axId val="18044995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9484367"/>
        <c:crosses val="autoZero"/>
        <c:crossBetween val="between"/>
      </c:valAx>
      <c:spPr>
        <a:noFill/>
        <a:ln>
          <a:noFill/>
        </a:ln>
        <a:effectLst/>
      </c:spPr>
    </c:plotArea>
    <c:legend>
      <c:legendPos val="r"/>
      <c:layout>
        <c:manualLayout>
          <c:xMode val="edge"/>
          <c:yMode val="edge"/>
          <c:x val="0.84323338931929703"/>
          <c:y val="0.28269245119543479"/>
          <c:w val="0.15676661068070294"/>
          <c:h val="0.670623083225903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[CAT Project Group 8 (Final).xlsm]Order Summary!PivotTable12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gradFill flip="none" rotWithShape="1">
            <a:gsLst>
              <a:gs pos="0">
                <a:schemeClr val="accent5">
                  <a:lumMod val="75000"/>
                  <a:shade val="30000"/>
                  <a:satMod val="115000"/>
                </a:schemeClr>
              </a:gs>
              <a:gs pos="50000">
                <a:schemeClr val="accent5">
                  <a:lumMod val="75000"/>
                  <a:shade val="67500"/>
                  <a:satMod val="115000"/>
                </a:schemeClr>
              </a:gs>
              <a:gs pos="100000">
                <a:schemeClr val="accent5">
                  <a:lumMod val="75000"/>
                  <a:shade val="100000"/>
                  <a:satMod val="115000"/>
                </a:schemeClr>
              </a:gs>
            </a:gsLst>
            <a:lin ang="10800000" scaled="1"/>
            <a:tileRect/>
          </a:gradFill>
          <a:ln>
            <a:noFill/>
          </a:ln>
          <a:effectLst/>
        </c:spPr>
        <c:marker>
          <c:symbol val="none"/>
        </c:marker>
      </c:pivotFmt>
      <c:pivotFmt>
        <c:idx val="14"/>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0800000" scaled="1"/>
            <a:tileRect/>
          </a:gradFill>
          <a:ln>
            <a:noFill/>
          </a:ln>
          <a:effectLst/>
        </c:spPr>
        <c:marker>
          <c:symbol val="none"/>
        </c:marker>
      </c:pivotFmt>
      <c:pivotFmt>
        <c:idx val="15"/>
        <c:spPr>
          <a:solidFill>
            <a:schemeClr val="bg1">
              <a:lumMod val="65000"/>
            </a:schemeClr>
          </a:solidFill>
          <a:ln>
            <a:noFill/>
          </a:ln>
          <a:effectLst/>
        </c:spPr>
        <c:marker>
          <c:symbol val="none"/>
        </c:marker>
      </c:pivotFmt>
      <c:pivotFmt>
        <c:idx val="16"/>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a:effectLst/>
        </c:spPr>
        <c:marker>
          <c:symbol val="none"/>
        </c:marker>
      </c:pivotFmt>
      <c:pivotFmt>
        <c:idx val="17"/>
        <c:spPr>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0800000" scaled="1"/>
            <a:tileRect/>
          </a:gradFill>
          <a:ln>
            <a:noFill/>
          </a:ln>
          <a:effectLst/>
        </c:spPr>
        <c:marker>
          <c:symbol val="none"/>
        </c:marker>
      </c:pivotFmt>
      <c:pivotFmt>
        <c:idx val="18"/>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0800000" scaled="1"/>
            <a:tileRect/>
          </a:gradFill>
          <a:ln>
            <a:noFill/>
          </a:ln>
          <a:effectLst/>
        </c:spPr>
        <c:marker>
          <c:symbol val="none"/>
        </c:marker>
      </c:pivotFmt>
      <c:pivotFmt>
        <c:idx val="19"/>
        <c:spPr>
          <a:gradFill flip="none" rotWithShape="1">
            <a:gsLst>
              <a:gs pos="0">
                <a:schemeClr val="accent5">
                  <a:lumMod val="50000"/>
                  <a:shade val="30000"/>
                  <a:satMod val="115000"/>
                </a:schemeClr>
              </a:gs>
              <a:gs pos="50000">
                <a:schemeClr val="accent5">
                  <a:lumMod val="50000"/>
                  <a:shade val="67500"/>
                  <a:satMod val="115000"/>
                </a:schemeClr>
              </a:gs>
              <a:gs pos="100000">
                <a:schemeClr val="accent5">
                  <a:lumMod val="50000"/>
                  <a:shade val="100000"/>
                  <a:satMod val="115000"/>
                </a:schemeClr>
              </a:gs>
            </a:gsLst>
            <a:lin ang="10800000" scaled="1"/>
            <a:tileRect/>
          </a:gradFill>
          <a:ln>
            <a:noFill/>
          </a:ln>
          <a:effectLst/>
        </c:spPr>
        <c:marker>
          <c:symbol val="none"/>
        </c:marker>
      </c:pivotFmt>
      <c:pivotFmt>
        <c:idx val="20"/>
        <c:spPr>
          <a:gradFill flip="none" rotWithShape="1">
            <a:gsLst>
              <a:gs pos="0">
                <a:schemeClr val="accent2">
                  <a:lumMod val="50000"/>
                  <a:shade val="30000"/>
                  <a:satMod val="115000"/>
                </a:schemeClr>
              </a:gs>
              <a:gs pos="50000">
                <a:schemeClr val="accent2">
                  <a:lumMod val="50000"/>
                  <a:shade val="67500"/>
                  <a:satMod val="115000"/>
                </a:schemeClr>
              </a:gs>
              <a:gs pos="100000">
                <a:schemeClr val="accent2">
                  <a:lumMod val="50000"/>
                  <a:shade val="100000"/>
                  <a:satMod val="115000"/>
                </a:schemeClr>
              </a:gs>
            </a:gsLst>
            <a:lin ang="10800000" scaled="1"/>
            <a:tileRect/>
          </a:gradFill>
          <a:ln>
            <a:noFill/>
          </a:ln>
          <a:effectLst/>
        </c:spPr>
        <c:marker>
          <c:symbol val="none"/>
        </c:marker>
      </c:pivotFmt>
      <c:pivotFmt>
        <c:idx val="21"/>
        <c:spPr>
          <a:gradFill flip="none" rotWithShape="1">
            <a:gsLst>
              <a:gs pos="0">
                <a:schemeClr val="bg1">
                  <a:lumMod val="50000"/>
                  <a:shade val="30000"/>
                  <a:satMod val="115000"/>
                </a:schemeClr>
              </a:gs>
              <a:gs pos="50000">
                <a:schemeClr val="bg1">
                  <a:lumMod val="50000"/>
                  <a:shade val="67500"/>
                  <a:satMod val="115000"/>
                </a:schemeClr>
              </a:gs>
              <a:gs pos="100000">
                <a:schemeClr val="bg1">
                  <a:lumMod val="50000"/>
                  <a:shade val="100000"/>
                  <a:satMod val="115000"/>
                </a:schemeClr>
              </a:gs>
            </a:gsLst>
            <a:lin ang="10800000" scaled="1"/>
            <a:tileRect/>
          </a:gradFill>
          <a:ln>
            <a:noFill/>
          </a:ln>
          <a:effectLst/>
        </c:spPr>
        <c:marker>
          <c:symbol val="none"/>
        </c:marker>
      </c:pivotFmt>
      <c:pivotFmt>
        <c:idx val="22"/>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10800000" scaled="1"/>
            <a:tileRect/>
          </a:gradFill>
          <a:ln>
            <a:noFill/>
          </a:ln>
          <a:effectLst/>
        </c:spPr>
        <c:marker>
          <c:symbol val="none"/>
        </c:marker>
      </c:pivotFmt>
      <c:pivotFmt>
        <c:idx val="23"/>
        <c:spPr>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10800000" scaled="1"/>
            <a:tileRect/>
          </a:gradFill>
          <a:ln>
            <a:noFill/>
          </a:ln>
          <a:effectLst/>
        </c:spPr>
        <c:marker>
          <c:symbol val="none"/>
        </c:marker>
      </c:pivotFmt>
      <c:pivotFmt>
        <c:idx val="24"/>
        <c:spPr>
          <a:gradFill flip="none" rotWithShape="1">
            <a:gsLst>
              <a:gs pos="0">
                <a:schemeClr val="accent6">
                  <a:lumMod val="50000"/>
                  <a:shade val="30000"/>
                  <a:satMod val="115000"/>
                </a:schemeClr>
              </a:gs>
              <a:gs pos="50000">
                <a:schemeClr val="accent6">
                  <a:lumMod val="50000"/>
                  <a:shade val="67500"/>
                  <a:satMod val="115000"/>
                </a:schemeClr>
              </a:gs>
              <a:gs pos="100000">
                <a:schemeClr val="accent6">
                  <a:lumMod val="50000"/>
                  <a:shade val="100000"/>
                  <a:satMod val="115000"/>
                </a:schemeClr>
              </a:gs>
            </a:gsLst>
            <a:lin ang="10800000" scaled="1"/>
            <a:tileRect/>
          </a:gradFill>
          <a:ln>
            <a:noFill/>
          </a:ln>
          <a:effectLst/>
        </c:spPr>
        <c:marker>
          <c:symbol val="none"/>
        </c:marker>
      </c:pivotFmt>
      <c:pivotFmt>
        <c:idx val="25"/>
        <c:spPr>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0800000" scaled="1"/>
            <a:tileRect/>
          </a:gradFill>
          <a:ln>
            <a:noFill/>
          </a:ln>
          <a:effectLst/>
        </c:spPr>
        <c:marker>
          <c:symbol val="none"/>
        </c:marker>
      </c:pivotFmt>
      <c:pivotFmt>
        <c:idx val="26"/>
        <c:spPr>
          <a:gradFill flip="none" rotWithShape="1">
            <a:gsLst>
              <a:gs pos="0">
                <a:schemeClr val="bg1">
                  <a:lumMod val="65000"/>
                  <a:shade val="30000"/>
                  <a:satMod val="115000"/>
                </a:schemeClr>
              </a:gs>
              <a:gs pos="50000">
                <a:schemeClr val="bg1">
                  <a:lumMod val="65000"/>
                  <a:shade val="67500"/>
                  <a:satMod val="115000"/>
                </a:schemeClr>
              </a:gs>
              <a:gs pos="100000">
                <a:schemeClr val="bg1">
                  <a:lumMod val="65000"/>
                  <a:shade val="100000"/>
                  <a:satMod val="115000"/>
                </a:schemeClr>
              </a:gs>
            </a:gsLst>
            <a:lin ang="10800000" scaled="1"/>
            <a:tileRect/>
          </a:gradFill>
          <a:ln>
            <a:noFill/>
          </a:ln>
          <a:effectLst/>
        </c:spPr>
      </c:pivotFmt>
    </c:pivotFmts>
    <c:plotArea>
      <c:layout/>
      <c:barChart>
        <c:barDir val="col"/>
        <c:grouping val="clustered"/>
        <c:varyColors val="0"/>
        <c:ser>
          <c:idx val="0"/>
          <c:order val="0"/>
          <c:tx>
            <c:strRef>
              <c:f>'Order Summary'!$A$28</c:f>
              <c:strCache>
                <c:ptCount val="1"/>
                <c:pt idx="0">
                  <c:v>50ml  Blue</c:v>
                </c:pt>
              </c:strCache>
            </c:strRef>
          </c:tx>
          <c:spPr>
            <a:gradFill flip="none" rotWithShape="1">
              <a:gsLst>
                <a:gs pos="0">
                  <a:schemeClr val="accent5">
                    <a:lumMod val="75000"/>
                    <a:shade val="30000"/>
                    <a:satMod val="115000"/>
                  </a:schemeClr>
                </a:gs>
                <a:gs pos="50000">
                  <a:schemeClr val="accent5">
                    <a:lumMod val="75000"/>
                    <a:shade val="67500"/>
                    <a:satMod val="115000"/>
                  </a:schemeClr>
                </a:gs>
                <a:gs pos="100000">
                  <a:schemeClr val="accent5">
                    <a:lumMod val="75000"/>
                    <a:shade val="100000"/>
                    <a:satMod val="115000"/>
                  </a:schemeClr>
                </a:gs>
              </a:gsLst>
              <a:lin ang="10800000" scaled="1"/>
              <a:tileRect/>
            </a:gradFill>
            <a:ln>
              <a:noFill/>
            </a:ln>
            <a:effectLst/>
          </c:spPr>
          <c:invertIfNegative val="0"/>
          <c:cat>
            <c:strRef>
              <c:f>'Order Summary'!$A$29</c:f>
              <c:strCache>
                <c:ptCount val="1"/>
                <c:pt idx="0">
                  <c:v>Total</c:v>
                </c:pt>
              </c:strCache>
            </c:strRef>
          </c:cat>
          <c:val>
            <c:numRef>
              <c:f>'Order Summary'!$A$29</c:f>
              <c:numCache>
                <c:formatCode>General</c:formatCode>
                <c:ptCount val="1"/>
                <c:pt idx="0">
                  <c:v>10</c:v>
                </c:pt>
              </c:numCache>
            </c:numRef>
          </c:val>
          <c:extLst>
            <c:ext xmlns:c16="http://schemas.microsoft.com/office/drawing/2014/chart" uri="{C3380CC4-5D6E-409C-BE32-E72D297353CC}">
              <c16:uniqueId val="{00000000-2C13-4E95-A0F7-F2D6AB2DAA97}"/>
            </c:ext>
          </c:extLst>
        </c:ser>
        <c:ser>
          <c:idx val="1"/>
          <c:order val="1"/>
          <c:tx>
            <c:strRef>
              <c:f>'Order Summary'!$B$28</c:f>
              <c:strCache>
                <c:ptCount val="1"/>
                <c:pt idx="0">
                  <c:v>50ml  Black</c:v>
                </c:pt>
              </c:strCache>
            </c:strRef>
          </c:tx>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0800000" scaled="1"/>
              <a:tileRect/>
            </a:gradFill>
            <a:ln>
              <a:noFill/>
            </a:ln>
            <a:effectLst/>
          </c:spPr>
          <c:invertIfNegative val="0"/>
          <c:cat>
            <c:strRef>
              <c:f>'Order Summary'!$A$29</c:f>
              <c:strCache>
                <c:ptCount val="1"/>
                <c:pt idx="0">
                  <c:v>Total</c:v>
                </c:pt>
              </c:strCache>
            </c:strRef>
          </c:cat>
          <c:val>
            <c:numRef>
              <c:f>'Order Summary'!$B$29</c:f>
              <c:numCache>
                <c:formatCode>General</c:formatCode>
                <c:ptCount val="1"/>
                <c:pt idx="0">
                  <c:v>11</c:v>
                </c:pt>
              </c:numCache>
            </c:numRef>
          </c:val>
          <c:extLst>
            <c:ext xmlns:c16="http://schemas.microsoft.com/office/drawing/2014/chart" uri="{C3380CC4-5D6E-409C-BE32-E72D297353CC}">
              <c16:uniqueId val="{00000001-2C13-4E95-A0F7-F2D6AB2DAA97}"/>
            </c:ext>
          </c:extLst>
        </c:ser>
        <c:ser>
          <c:idx val="2"/>
          <c:order val="2"/>
          <c:tx>
            <c:strRef>
              <c:f>'Order Summary'!$C$28</c:f>
              <c:strCache>
                <c:ptCount val="1"/>
                <c:pt idx="0">
                  <c:v>50ml  Christmas</c:v>
                </c:pt>
              </c:strCache>
            </c:strRef>
          </c:tx>
          <c:spPr>
            <a:solidFill>
              <a:schemeClr val="bg1">
                <a:lumMod val="65000"/>
              </a:schemeClr>
            </a:solidFill>
            <a:ln>
              <a:noFill/>
            </a:ln>
            <a:effectLst/>
          </c:spPr>
          <c:invertIfNegative val="0"/>
          <c:dPt>
            <c:idx val="0"/>
            <c:invertIfNegative val="0"/>
            <c:bubble3D val="0"/>
            <c:spPr>
              <a:gradFill flip="none" rotWithShape="1">
                <a:gsLst>
                  <a:gs pos="0">
                    <a:schemeClr val="bg1">
                      <a:lumMod val="65000"/>
                      <a:shade val="30000"/>
                      <a:satMod val="115000"/>
                    </a:schemeClr>
                  </a:gs>
                  <a:gs pos="50000">
                    <a:schemeClr val="bg1">
                      <a:lumMod val="65000"/>
                      <a:shade val="67500"/>
                      <a:satMod val="115000"/>
                    </a:schemeClr>
                  </a:gs>
                  <a:gs pos="100000">
                    <a:schemeClr val="bg1">
                      <a:lumMod val="65000"/>
                      <a:shade val="100000"/>
                      <a:satMod val="115000"/>
                    </a:schemeClr>
                  </a:gs>
                </a:gsLst>
                <a:lin ang="10800000" scaled="1"/>
                <a:tileRect/>
              </a:gradFill>
              <a:ln>
                <a:noFill/>
              </a:ln>
              <a:effectLst/>
            </c:spPr>
            <c:extLst>
              <c:ext xmlns:c16="http://schemas.microsoft.com/office/drawing/2014/chart" uri="{C3380CC4-5D6E-409C-BE32-E72D297353CC}">
                <c16:uniqueId val="{00000000-DCE0-426F-9744-8B817D76505A}"/>
              </c:ext>
            </c:extLst>
          </c:dPt>
          <c:cat>
            <c:strRef>
              <c:f>'Order Summary'!$A$29</c:f>
              <c:strCache>
                <c:ptCount val="1"/>
                <c:pt idx="0">
                  <c:v>Total</c:v>
                </c:pt>
              </c:strCache>
            </c:strRef>
          </c:cat>
          <c:val>
            <c:numRef>
              <c:f>'Order Summary'!$C$29</c:f>
              <c:numCache>
                <c:formatCode>General</c:formatCode>
                <c:ptCount val="1"/>
                <c:pt idx="0">
                  <c:v>6</c:v>
                </c:pt>
              </c:numCache>
            </c:numRef>
          </c:val>
          <c:extLst>
            <c:ext xmlns:c16="http://schemas.microsoft.com/office/drawing/2014/chart" uri="{C3380CC4-5D6E-409C-BE32-E72D297353CC}">
              <c16:uniqueId val="{00000002-2C13-4E95-A0F7-F2D6AB2DAA97}"/>
            </c:ext>
          </c:extLst>
        </c:ser>
        <c:ser>
          <c:idx val="3"/>
          <c:order val="3"/>
          <c:tx>
            <c:strRef>
              <c:f>'Order Summary'!$D$28</c:f>
              <c:strCache>
                <c:ptCount val="1"/>
                <c:pt idx="0">
                  <c:v>50ml  Diamond</c:v>
                </c:pt>
              </c:strCache>
            </c:strRef>
          </c:tx>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a:effectLst/>
          </c:spPr>
          <c:invertIfNegative val="0"/>
          <c:cat>
            <c:strRef>
              <c:f>'Order Summary'!$A$29</c:f>
              <c:strCache>
                <c:ptCount val="1"/>
                <c:pt idx="0">
                  <c:v>Total</c:v>
                </c:pt>
              </c:strCache>
            </c:strRef>
          </c:cat>
          <c:val>
            <c:numRef>
              <c:f>'Order Summary'!$D$29</c:f>
              <c:numCache>
                <c:formatCode>General</c:formatCode>
                <c:ptCount val="1"/>
                <c:pt idx="0">
                  <c:v>15</c:v>
                </c:pt>
              </c:numCache>
            </c:numRef>
          </c:val>
          <c:extLst>
            <c:ext xmlns:c16="http://schemas.microsoft.com/office/drawing/2014/chart" uri="{C3380CC4-5D6E-409C-BE32-E72D297353CC}">
              <c16:uniqueId val="{00000003-2C13-4E95-A0F7-F2D6AB2DAA97}"/>
            </c:ext>
          </c:extLst>
        </c:ser>
        <c:ser>
          <c:idx val="4"/>
          <c:order val="4"/>
          <c:tx>
            <c:strRef>
              <c:f>'Order Summary'!$E$28</c:f>
              <c:strCache>
                <c:ptCount val="1"/>
                <c:pt idx="0">
                  <c:v>50ml  Elegance</c:v>
                </c:pt>
              </c:strCache>
            </c:strRef>
          </c:tx>
          <c:spPr>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0800000" scaled="1"/>
              <a:tileRect/>
            </a:gradFill>
            <a:ln>
              <a:noFill/>
            </a:ln>
            <a:effectLst/>
          </c:spPr>
          <c:invertIfNegative val="0"/>
          <c:cat>
            <c:strRef>
              <c:f>'Order Summary'!$A$29</c:f>
              <c:strCache>
                <c:ptCount val="1"/>
                <c:pt idx="0">
                  <c:v>Total</c:v>
                </c:pt>
              </c:strCache>
            </c:strRef>
          </c:cat>
          <c:val>
            <c:numRef>
              <c:f>'Order Summary'!$E$29</c:f>
              <c:numCache>
                <c:formatCode>General</c:formatCode>
                <c:ptCount val="1"/>
                <c:pt idx="0">
                  <c:v>9</c:v>
                </c:pt>
              </c:numCache>
            </c:numRef>
          </c:val>
          <c:extLst>
            <c:ext xmlns:c16="http://schemas.microsoft.com/office/drawing/2014/chart" uri="{C3380CC4-5D6E-409C-BE32-E72D297353CC}">
              <c16:uniqueId val="{00000004-2C13-4E95-A0F7-F2D6AB2DAA97}"/>
            </c:ext>
          </c:extLst>
        </c:ser>
        <c:ser>
          <c:idx val="5"/>
          <c:order val="5"/>
          <c:tx>
            <c:strRef>
              <c:f>'Order Summary'!$F$28</c:f>
              <c:strCache>
                <c:ptCount val="1"/>
                <c:pt idx="0">
                  <c:v>50ml  Fancy</c:v>
                </c:pt>
              </c:strCache>
            </c:strRef>
          </c:tx>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0800000" scaled="1"/>
              <a:tileRect/>
            </a:gradFill>
            <a:ln>
              <a:noFill/>
            </a:ln>
            <a:effectLst/>
          </c:spPr>
          <c:invertIfNegative val="0"/>
          <c:cat>
            <c:strRef>
              <c:f>'Order Summary'!$A$29</c:f>
              <c:strCache>
                <c:ptCount val="1"/>
                <c:pt idx="0">
                  <c:v>Total</c:v>
                </c:pt>
              </c:strCache>
            </c:strRef>
          </c:cat>
          <c:val>
            <c:numRef>
              <c:f>'Order Summary'!$F$29</c:f>
              <c:numCache>
                <c:formatCode>General</c:formatCode>
                <c:ptCount val="1"/>
                <c:pt idx="0">
                  <c:v>8</c:v>
                </c:pt>
              </c:numCache>
            </c:numRef>
          </c:val>
          <c:extLst>
            <c:ext xmlns:c16="http://schemas.microsoft.com/office/drawing/2014/chart" uri="{C3380CC4-5D6E-409C-BE32-E72D297353CC}">
              <c16:uniqueId val="{00000005-2C13-4E95-A0F7-F2D6AB2DAA97}"/>
            </c:ext>
          </c:extLst>
        </c:ser>
        <c:ser>
          <c:idx val="6"/>
          <c:order val="6"/>
          <c:tx>
            <c:strRef>
              <c:f>'Order Summary'!$G$28</c:f>
              <c:strCache>
                <c:ptCount val="1"/>
                <c:pt idx="0">
                  <c:v>50ml  Love</c:v>
                </c:pt>
              </c:strCache>
            </c:strRef>
          </c:tx>
          <c:spPr>
            <a:gradFill flip="none" rotWithShape="1">
              <a:gsLst>
                <a:gs pos="0">
                  <a:schemeClr val="accent5">
                    <a:lumMod val="50000"/>
                    <a:shade val="30000"/>
                    <a:satMod val="115000"/>
                  </a:schemeClr>
                </a:gs>
                <a:gs pos="50000">
                  <a:schemeClr val="accent5">
                    <a:lumMod val="50000"/>
                    <a:shade val="67500"/>
                    <a:satMod val="115000"/>
                  </a:schemeClr>
                </a:gs>
                <a:gs pos="100000">
                  <a:schemeClr val="accent5">
                    <a:lumMod val="50000"/>
                    <a:shade val="100000"/>
                    <a:satMod val="115000"/>
                  </a:schemeClr>
                </a:gs>
              </a:gsLst>
              <a:lin ang="10800000" scaled="1"/>
              <a:tileRect/>
            </a:gradFill>
            <a:ln>
              <a:noFill/>
            </a:ln>
            <a:effectLst/>
          </c:spPr>
          <c:invertIfNegative val="0"/>
          <c:cat>
            <c:strRef>
              <c:f>'Order Summary'!$A$29</c:f>
              <c:strCache>
                <c:ptCount val="1"/>
                <c:pt idx="0">
                  <c:v>Total</c:v>
                </c:pt>
              </c:strCache>
            </c:strRef>
          </c:cat>
          <c:val>
            <c:numRef>
              <c:f>'Order Summary'!$G$29</c:f>
              <c:numCache>
                <c:formatCode>General</c:formatCode>
                <c:ptCount val="1"/>
                <c:pt idx="0">
                  <c:v>7</c:v>
                </c:pt>
              </c:numCache>
            </c:numRef>
          </c:val>
          <c:extLst>
            <c:ext xmlns:c16="http://schemas.microsoft.com/office/drawing/2014/chart" uri="{C3380CC4-5D6E-409C-BE32-E72D297353CC}">
              <c16:uniqueId val="{00000006-2C13-4E95-A0F7-F2D6AB2DAA97}"/>
            </c:ext>
          </c:extLst>
        </c:ser>
        <c:ser>
          <c:idx val="7"/>
          <c:order val="7"/>
          <c:tx>
            <c:strRef>
              <c:f>'Order Summary'!$H$28</c:f>
              <c:strCache>
                <c:ptCount val="1"/>
                <c:pt idx="0">
                  <c:v>50ml  Romance</c:v>
                </c:pt>
              </c:strCache>
            </c:strRef>
          </c:tx>
          <c:spPr>
            <a:gradFill flip="none" rotWithShape="1">
              <a:gsLst>
                <a:gs pos="0">
                  <a:schemeClr val="accent2">
                    <a:lumMod val="50000"/>
                    <a:shade val="30000"/>
                    <a:satMod val="115000"/>
                  </a:schemeClr>
                </a:gs>
                <a:gs pos="50000">
                  <a:schemeClr val="accent2">
                    <a:lumMod val="50000"/>
                    <a:shade val="67500"/>
                    <a:satMod val="115000"/>
                  </a:schemeClr>
                </a:gs>
                <a:gs pos="100000">
                  <a:schemeClr val="accent2">
                    <a:lumMod val="50000"/>
                    <a:shade val="100000"/>
                    <a:satMod val="115000"/>
                  </a:schemeClr>
                </a:gs>
              </a:gsLst>
              <a:lin ang="10800000" scaled="1"/>
              <a:tileRect/>
            </a:gradFill>
            <a:ln>
              <a:noFill/>
            </a:ln>
            <a:effectLst/>
          </c:spPr>
          <c:invertIfNegative val="0"/>
          <c:cat>
            <c:strRef>
              <c:f>'Order Summary'!$A$29</c:f>
              <c:strCache>
                <c:ptCount val="1"/>
                <c:pt idx="0">
                  <c:v>Total</c:v>
                </c:pt>
              </c:strCache>
            </c:strRef>
          </c:cat>
          <c:val>
            <c:numRef>
              <c:f>'Order Summary'!$H$29</c:f>
              <c:numCache>
                <c:formatCode>General</c:formatCode>
                <c:ptCount val="1"/>
                <c:pt idx="0">
                  <c:v>9</c:v>
                </c:pt>
              </c:numCache>
            </c:numRef>
          </c:val>
          <c:extLst>
            <c:ext xmlns:c16="http://schemas.microsoft.com/office/drawing/2014/chart" uri="{C3380CC4-5D6E-409C-BE32-E72D297353CC}">
              <c16:uniqueId val="{00000007-2C13-4E95-A0F7-F2D6AB2DAA97}"/>
            </c:ext>
          </c:extLst>
        </c:ser>
        <c:ser>
          <c:idx val="8"/>
          <c:order val="8"/>
          <c:tx>
            <c:strRef>
              <c:f>'Order Summary'!$I$28</c:f>
              <c:strCache>
                <c:ptCount val="1"/>
                <c:pt idx="0">
                  <c:v>50ml  Sahara</c:v>
                </c:pt>
              </c:strCache>
            </c:strRef>
          </c:tx>
          <c:spPr>
            <a:gradFill flip="none" rotWithShape="1">
              <a:gsLst>
                <a:gs pos="0">
                  <a:schemeClr val="bg1">
                    <a:lumMod val="50000"/>
                    <a:shade val="30000"/>
                    <a:satMod val="115000"/>
                  </a:schemeClr>
                </a:gs>
                <a:gs pos="50000">
                  <a:schemeClr val="bg1">
                    <a:lumMod val="50000"/>
                    <a:shade val="67500"/>
                    <a:satMod val="115000"/>
                  </a:schemeClr>
                </a:gs>
                <a:gs pos="100000">
                  <a:schemeClr val="bg1">
                    <a:lumMod val="50000"/>
                    <a:shade val="100000"/>
                    <a:satMod val="115000"/>
                  </a:schemeClr>
                </a:gs>
              </a:gsLst>
              <a:lin ang="10800000" scaled="1"/>
              <a:tileRect/>
            </a:gradFill>
            <a:ln>
              <a:noFill/>
            </a:ln>
            <a:effectLst/>
          </c:spPr>
          <c:invertIfNegative val="0"/>
          <c:cat>
            <c:strRef>
              <c:f>'Order Summary'!$A$29</c:f>
              <c:strCache>
                <c:ptCount val="1"/>
                <c:pt idx="0">
                  <c:v>Total</c:v>
                </c:pt>
              </c:strCache>
            </c:strRef>
          </c:cat>
          <c:val>
            <c:numRef>
              <c:f>'Order Summary'!$I$29</c:f>
              <c:numCache>
                <c:formatCode>General</c:formatCode>
                <c:ptCount val="1"/>
                <c:pt idx="0">
                  <c:v>6</c:v>
                </c:pt>
              </c:numCache>
            </c:numRef>
          </c:val>
          <c:extLst>
            <c:ext xmlns:c16="http://schemas.microsoft.com/office/drawing/2014/chart" uri="{C3380CC4-5D6E-409C-BE32-E72D297353CC}">
              <c16:uniqueId val="{00000008-2C13-4E95-A0F7-F2D6AB2DAA97}"/>
            </c:ext>
          </c:extLst>
        </c:ser>
        <c:ser>
          <c:idx val="9"/>
          <c:order val="9"/>
          <c:tx>
            <c:strRef>
              <c:f>'Order Summary'!$J$28</c:f>
              <c:strCache>
                <c:ptCount val="1"/>
                <c:pt idx="0">
                  <c:v>50ml  Sensual</c:v>
                </c:pt>
              </c:strCache>
            </c:strRef>
          </c:tx>
          <c:spPr>
            <a:gradFill flip="none" rotWithShape="1">
              <a:gsLst>
                <a:gs pos="0">
                  <a:schemeClr val="accent2">
                    <a:lumMod val="75000"/>
                    <a:shade val="30000"/>
                    <a:satMod val="115000"/>
                  </a:schemeClr>
                </a:gs>
                <a:gs pos="50000">
                  <a:schemeClr val="accent2">
                    <a:lumMod val="75000"/>
                    <a:shade val="67500"/>
                    <a:satMod val="115000"/>
                  </a:schemeClr>
                </a:gs>
                <a:gs pos="100000">
                  <a:schemeClr val="accent2">
                    <a:lumMod val="75000"/>
                    <a:shade val="100000"/>
                    <a:satMod val="115000"/>
                  </a:schemeClr>
                </a:gs>
              </a:gsLst>
              <a:lin ang="10800000" scaled="1"/>
              <a:tileRect/>
            </a:gradFill>
            <a:ln>
              <a:noFill/>
            </a:ln>
            <a:effectLst/>
          </c:spPr>
          <c:invertIfNegative val="0"/>
          <c:cat>
            <c:strRef>
              <c:f>'Order Summary'!$A$29</c:f>
              <c:strCache>
                <c:ptCount val="1"/>
                <c:pt idx="0">
                  <c:v>Total</c:v>
                </c:pt>
              </c:strCache>
            </c:strRef>
          </c:cat>
          <c:val>
            <c:numRef>
              <c:f>'Order Summary'!$J$29</c:f>
              <c:numCache>
                <c:formatCode>General</c:formatCode>
                <c:ptCount val="1"/>
                <c:pt idx="0">
                  <c:v>10</c:v>
                </c:pt>
              </c:numCache>
            </c:numRef>
          </c:val>
          <c:extLst>
            <c:ext xmlns:c16="http://schemas.microsoft.com/office/drawing/2014/chart" uri="{C3380CC4-5D6E-409C-BE32-E72D297353CC}">
              <c16:uniqueId val="{00000009-2C13-4E95-A0F7-F2D6AB2DAA97}"/>
            </c:ext>
          </c:extLst>
        </c:ser>
        <c:ser>
          <c:idx val="10"/>
          <c:order val="10"/>
          <c:tx>
            <c:strRef>
              <c:f>'Order Summary'!$K$28</c:f>
              <c:strCache>
                <c:ptCount val="1"/>
                <c:pt idx="0">
                  <c:v> 50ml  Sexy</c:v>
                </c:pt>
              </c:strCache>
            </c:strRef>
          </c:tx>
          <c:spPr>
            <a:gradFill flip="none" rotWithShape="1">
              <a:gsLst>
                <a:gs pos="0">
                  <a:srgbClr val="0070C0">
                    <a:shade val="30000"/>
                    <a:satMod val="115000"/>
                  </a:srgbClr>
                </a:gs>
                <a:gs pos="50000">
                  <a:srgbClr val="0070C0">
                    <a:shade val="67500"/>
                    <a:satMod val="115000"/>
                  </a:srgbClr>
                </a:gs>
                <a:gs pos="100000">
                  <a:srgbClr val="0070C0">
                    <a:shade val="100000"/>
                    <a:satMod val="115000"/>
                  </a:srgbClr>
                </a:gs>
              </a:gsLst>
              <a:lin ang="10800000" scaled="1"/>
              <a:tileRect/>
            </a:gradFill>
            <a:ln>
              <a:noFill/>
            </a:ln>
            <a:effectLst/>
          </c:spPr>
          <c:invertIfNegative val="0"/>
          <c:cat>
            <c:strRef>
              <c:f>'Order Summary'!$A$29</c:f>
              <c:strCache>
                <c:ptCount val="1"/>
                <c:pt idx="0">
                  <c:v>Total</c:v>
                </c:pt>
              </c:strCache>
            </c:strRef>
          </c:cat>
          <c:val>
            <c:numRef>
              <c:f>'Order Summary'!$K$29</c:f>
              <c:numCache>
                <c:formatCode>General</c:formatCode>
                <c:ptCount val="1"/>
                <c:pt idx="0">
                  <c:v>18</c:v>
                </c:pt>
              </c:numCache>
            </c:numRef>
          </c:val>
          <c:extLst>
            <c:ext xmlns:c16="http://schemas.microsoft.com/office/drawing/2014/chart" uri="{C3380CC4-5D6E-409C-BE32-E72D297353CC}">
              <c16:uniqueId val="{0000000A-2C13-4E95-A0F7-F2D6AB2DAA97}"/>
            </c:ext>
          </c:extLst>
        </c:ser>
        <c:ser>
          <c:idx val="11"/>
          <c:order val="11"/>
          <c:tx>
            <c:strRef>
              <c:f>'Order Summary'!$L$28</c:f>
              <c:strCache>
                <c:ptCount val="1"/>
                <c:pt idx="0">
                  <c:v>50ml  Vogue</c:v>
                </c:pt>
              </c:strCache>
            </c:strRef>
          </c:tx>
          <c:spPr>
            <a:gradFill flip="none" rotWithShape="1">
              <a:gsLst>
                <a:gs pos="0">
                  <a:schemeClr val="accent6">
                    <a:lumMod val="50000"/>
                    <a:shade val="30000"/>
                    <a:satMod val="115000"/>
                  </a:schemeClr>
                </a:gs>
                <a:gs pos="50000">
                  <a:schemeClr val="accent6">
                    <a:lumMod val="50000"/>
                    <a:shade val="67500"/>
                    <a:satMod val="115000"/>
                  </a:schemeClr>
                </a:gs>
                <a:gs pos="100000">
                  <a:schemeClr val="accent6">
                    <a:lumMod val="50000"/>
                    <a:shade val="100000"/>
                    <a:satMod val="115000"/>
                  </a:schemeClr>
                </a:gs>
              </a:gsLst>
              <a:lin ang="10800000" scaled="1"/>
              <a:tileRect/>
            </a:gradFill>
            <a:ln>
              <a:noFill/>
            </a:ln>
            <a:effectLst/>
          </c:spPr>
          <c:invertIfNegative val="0"/>
          <c:cat>
            <c:strRef>
              <c:f>'Order Summary'!$A$29</c:f>
              <c:strCache>
                <c:ptCount val="1"/>
                <c:pt idx="0">
                  <c:v>Total</c:v>
                </c:pt>
              </c:strCache>
            </c:strRef>
          </c:cat>
          <c:val>
            <c:numRef>
              <c:f>'Order Summary'!$L$29</c:f>
              <c:numCache>
                <c:formatCode>General</c:formatCode>
                <c:ptCount val="1"/>
                <c:pt idx="0">
                  <c:v>9</c:v>
                </c:pt>
              </c:numCache>
            </c:numRef>
          </c:val>
          <c:extLst>
            <c:ext xmlns:c16="http://schemas.microsoft.com/office/drawing/2014/chart" uri="{C3380CC4-5D6E-409C-BE32-E72D297353CC}">
              <c16:uniqueId val="{0000000B-2C13-4E95-A0F7-F2D6AB2DAA97}"/>
            </c:ext>
          </c:extLst>
        </c:ser>
        <c:ser>
          <c:idx val="12"/>
          <c:order val="12"/>
          <c:tx>
            <c:strRef>
              <c:f>'Order Summary'!$M$28</c:f>
              <c:strCache>
                <c:ptCount val="1"/>
                <c:pt idx="0">
                  <c:v>50ml  Warm</c:v>
                </c:pt>
              </c:strCache>
            </c:strRef>
          </c:tx>
          <c:spPr>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0800000" scaled="1"/>
              <a:tileRect/>
            </a:gradFill>
            <a:ln>
              <a:noFill/>
            </a:ln>
            <a:effectLst/>
          </c:spPr>
          <c:invertIfNegative val="0"/>
          <c:cat>
            <c:strRef>
              <c:f>'Order Summary'!$A$29</c:f>
              <c:strCache>
                <c:ptCount val="1"/>
                <c:pt idx="0">
                  <c:v>Total</c:v>
                </c:pt>
              </c:strCache>
            </c:strRef>
          </c:cat>
          <c:val>
            <c:numRef>
              <c:f>'Order Summary'!$M$29</c:f>
              <c:numCache>
                <c:formatCode>General</c:formatCode>
                <c:ptCount val="1"/>
                <c:pt idx="0">
                  <c:v>6</c:v>
                </c:pt>
              </c:numCache>
            </c:numRef>
          </c:val>
          <c:extLst>
            <c:ext xmlns:c16="http://schemas.microsoft.com/office/drawing/2014/chart" uri="{C3380CC4-5D6E-409C-BE32-E72D297353CC}">
              <c16:uniqueId val="{0000000C-2C13-4E95-A0F7-F2D6AB2DAA97}"/>
            </c:ext>
          </c:extLst>
        </c:ser>
        <c:dLbls>
          <c:showLegendKey val="0"/>
          <c:showVal val="0"/>
          <c:showCatName val="0"/>
          <c:showSerName val="0"/>
          <c:showPercent val="0"/>
          <c:showBubbleSize val="0"/>
        </c:dLbls>
        <c:gapWidth val="219"/>
        <c:overlap val="-27"/>
        <c:axId val="2049985135"/>
        <c:axId val="1807997407"/>
      </c:barChart>
      <c:catAx>
        <c:axId val="2049985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7997407"/>
        <c:crosses val="autoZero"/>
        <c:auto val="1"/>
        <c:lblAlgn val="ctr"/>
        <c:lblOffset val="100"/>
        <c:noMultiLvlLbl val="0"/>
      </c:catAx>
      <c:valAx>
        <c:axId val="1807997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985135"/>
        <c:crosses val="autoZero"/>
        <c:crossBetween val="between"/>
      </c:valAx>
      <c:spPr>
        <a:noFill/>
        <a:ln>
          <a:noFill/>
        </a:ln>
        <a:effectLst/>
      </c:spPr>
    </c:plotArea>
    <c:legend>
      <c:legendPos val="r"/>
      <c:layout>
        <c:manualLayout>
          <c:xMode val="edge"/>
          <c:yMode val="edge"/>
          <c:x val="0.80813505342510461"/>
          <c:y val="0.28080896843362013"/>
          <c:w val="0.17784685845815013"/>
          <c:h val="0.719191031566379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[CAT Project Group 8 (Final).xlsm]Order Summary!PivotTable14</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a:effectLst/>
        </c:spPr>
        <c:marker>
          <c:symbol val="none"/>
        </c:marker>
      </c:pivotFmt>
      <c:pivotFmt>
        <c:idx val="5"/>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a:effectLst/>
        </c:spPr>
        <c:marker>
          <c:symbol val="none"/>
        </c:marker>
      </c:pivotFmt>
      <c:pivotFmt>
        <c:idx val="6"/>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0800000" scaled="1"/>
            <a:tileRect/>
          </a:gradFill>
          <a:ln>
            <a:noFill/>
          </a:ln>
          <a:effectLst/>
        </c:spPr>
        <c:marker>
          <c:symbol val="none"/>
        </c:marker>
      </c:pivotFmt>
      <c:pivotFmt>
        <c:idx val="7"/>
        <c:spPr>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10800000" scaled="1"/>
            <a:tileRect/>
          </a:gradFill>
          <a:ln>
            <a:noFill/>
          </a:ln>
          <a:effectLst/>
        </c:spPr>
        <c:marker>
          <c:symbol val="none"/>
        </c:marker>
      </c:pivotFmt>
    </c:pivotFmts>
    <c:plotArea>
      <c:layout/>
      <c:barChart>
        <c:barDir val="col"/>
        <c:grouping val="clustered"/>
        <c:varyColors val="0"/>
        <c:ser>
          <c:idx val="0"/>
          <c:order val="0"/>
          <c:tx>
            <c:strRef>
              <c:f>'Order Summary'!$A$52</c:f>
              <c:strCache>
                <c:ptCount val="1"/>
                <c:pt idx="0">
                  <c:v>100ml  Romance Body Mist</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0800000" scaled="1"/>
              <a:tileRect/>
            </a:gradFill>
            <a:ln>
              <a:noFill/>
            </a:ln>
            <a:effectLst/>
          </c:spPr>
          <c:invertIfNegative val="0"/>
          <c:cat>
            <c:strRef>
              <c:f>'Order Summary'!$A$53</c:f>
              <c:strCache>
                <c:ptCount val="1"/>
                <c:pt idx="0">
                  <c:v>Total</c:v>
                </c:pt>
              </c:strCache>
            </c:strRef>
          </c:cat>
          <c:val>
            <c:numRef>
              <c:f>'Order Summary'!$A$53</c:f>
              <c:numCache>
                <c:formatCode>General</c:formatCode>
                <c:ptCount val="1"/>
                <c:pt idx="0">
                  <c:v>12</c:v>
                </c:pt>
              </c:numCache>
            </c:numRef>
          </c:val>
          <c:extLst>
            <c:ext xmlns:c16="http://schemas.microsoft.com/office/drawing/2014/chart" uri="{C3380CC4-5D6E-409C-BE32-E72D297353CC}">
              <c16:uniqueId val="{00000000-3A4D-49D1-9B64-B3D366E602A7}"/>
            </c:ext>
          </c:extLst>
        </c:ser>
        <c:ser>
          <c:idx val="1"/>
          <c:order val="1"/>
          <c:tx>
            <c:strRef>
              <c:f>'Order Summary'!$B$52</c:f>
              <c:strCache>
                <c:ptCount val="1"/>
                <c:pt idx="0">
                  <c:v> 100ml  Fancy Body Mist</c:v>
                </c:pt>
              </c:strCache>
            </c:strRef>
          </c:tx>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0800000" scaled="1"/>
              <a:tileRect/>
            </a:gradFill>
            <a:ln>
              <a:noFill/>
            </a:ln>
            <a:effectLst/>
          </c:spPr>
          <c:invertIfNegative val="0"/>
          <c:cat>
            <c:strRef>
              <c:f>'Order Summary'!$A$53</c:f>
              <c:strCache>
                <c:ptCount val="1"/>
                <c:pt idx="0">
                  <c:v>Total</c:v>
                </c:pt>
              </c:strCache>
            </c:strRef>
          </c:cat>
          <c:val>
            <c:numRef>
              <c:f>'Order Summary'!$B$53</c:f>
              <c:numCache>
                <c:formatCode>General</c:formatCode>
                <c:ptCount val="1"/>
                <c:pt idx="0">
                  <c:v>6</c:v>
                </c:pt>
              </c:numCache>
            </c:numRef>
          </c:val>
          <c:extLst>
            <c:ext xmlns:c16="http://schemas.microsoft.com/office/drawing/2014/chart" uri="{C3380CC4-5D6E-409C-BE32-E72D297353CC}">
              <c16:uniqueId val="{00000001-3A4D-49D1-9B64-B3D366E602A7}"/>
            </c:ext>
          </c:extLst>
        </c:ser>
        <c:ser>
          <c:idx val="2"/>
          <c:order val="2"/>
          <c:tx>
            <c:strRef>
              <c:f>'Order Summary'!$C$52</c:f>
              <c:strCache>
                <c:ptCount val="1"/>
                <c:pt idx="0">
                  <c:v>100ml  Diamond Body Mist</c:v>
                </c:pt>
              </c:strCache>
            </c:strRef>
          </c:tx>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0800000" scaled="1"/>
              <a:tileRect/>
            </a:gradFill>
            <a:ln>
              <a:noFill/>
            </a:ln>
            <a:effectLst/>
          </c:spPr>
          <c:invertIfNegative val="0"/>
          <c:cat>
            <c:strRef>
              <c:f>'Order Summary'!$A$53</c:f>
              <c:strCache>
                <c:ptCount val="1"/>
                <c:pt idx="0">
                  <c:v>Total</c:v>
                </c:pt>
              </c:strCache>
            </c:strRef>
          </c:cat>
          <c:val>
            <c:numRef>
              <c:f>'Order Summary'!$C$53</c:f>
              <c:numCache>
                <c:formatCode>General</c:formatCode>
                <c:ptCount val="1"/>
                <c:pt idx="0">
                  <c:v>10</c:v>
                </c:pt>
              </c:numCache>
            </c:numRef>
          </c:val>
          <c:extLst>
            <c:ext xmlns:c16="http://schemas.microsoft.com/office/drawing/2014/chart" uri="{C3380CC4-5D6E-409C-BE32-E72D297353CC}">
              <c16:uniqueId val="{00000002-3A4D-49D1-9B64-B3D366E602A7}"/>
            </c:ext>
          </c:extLst>
        </c:ser>
        <c:ser>
          <c:idx val="3"/>
          <c:order val="3"/>
          <c:tx>
            <c:strRef>
              <c:f>'Order Summary'!$D$52</c:f>
              <c:strCache>
                <c:ptCount val="1"/>
                <c:pt idx="0">
                  <c:v>100ml  Elegance Body Mist</c:v>
                </c:pt>
              </c:strCache>
            </c:strRef>
          </c:tx>
          <c:spPr>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10800000" scaled="1"/>
              <a:tileRect/>
            </a:gradFill>
            <a:ln>
              <a:noFill/>
            </a:ln>
            <a:effectLst/>
          </c:spPr>
          <c:invertIfNegative val="0"/>
          <c:cat>
            <c:strRef>
              <c:f>'Order Summary'!$A$53</c:f>
              <c:strCache>
                <c:ptCount val="1"/>
                <c:pt idx="0">
                  <c:v>Total</c:v>
                </c:pt>
              </c:strCache>
            </c:strRef>
          </c:cat>
          <c:val>
            <c:numRef>
              <c:f>'Order Summary'!$D$53</c:f>
              <c:numCache>
                <c:formatCode>General</c:formatCode>
                <c:ptCount val="1"/>
                <c:pt idx="0">
                  <c:v>8</c:v>
                </c:pt>
              </c:numCache>
            </c:numRef>
          </c:val>
          <c:extLst>
            <c:ext xmlns:c16="http://schemas.microsoft.com/office/drawing/2014/chart" uri="{C3380CC4-5D6E-409C-BE32-E72D297353CC}">
              <c16:uniqueId val="{00000003-3A4D-49D1-9B64-B3D366E602A7}"/>
            </c:ext>
          </c:extLst>
        </c:ser>
        <c:dLbls>
          <c:showLegendKey val="0"/>
          <c:showVal val="0"/>
          <c:showCatName val="0"/>
          <c:showSerName val="0"/>
          <c:showPercent val="0"/>
          <c:showBubbleSize val="0"/>
        </c:dLbls>
        <c:gapWidth val="219"/>
        <c:overlap val="-27"/>
        <c:axId val="1781967711"/>
        <c:axId val="1808012799"/>
      </c:barChart>
      <c:catAx>
        <c:axId val="178196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8012799"/>
        <c:crosses val="autoZero"/>
        <c:auto val="1"/>
        <c:lblAlgn val="ctr"/>
        <c:lblOffset val="100"/>
        <c:noMultiLvlLbl val="0"/>
      </c:catAx>
      <c:valAx>
        <c:axId val="18080127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967711"/>
        <c:crosses val="autoZero"/>
        <c:crossBetween val="between"/>
      </c:valAx>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Marketing</a:t>
            </a:r>
            <a:r>
              <a:rPr lang="en-US" baseline="0"/>
              <a:t> Effects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Marketing Cost</c:v>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'Marketing Effects'!$B$4:$B$8</c:f>
              <c:numCache>
                <c:formatCode>General</c:formatCode>
                <c:ptCount val="5"/>
                <c:pt idx="0">
                  <c:v>2014</c:v>
                </c:pt>
                <c:pt idx="1">
                  <c:v>2015</c:v>
                </c:pt>
                <c:pt idx="2">
                  <c:v>2016</c:v>
                </c:pt>
                <c:pt idx="3">
                  <c:v>2017</c:v>
                </c:pt>
                <c:pt idx="4">
                  <c:v>2018</c:v>
                </c:pt>
              </c:numCache>
            </c:numRef>
          </c:cat>
          <c:val>
            <c:numRef>
              <c:f>'Marketing Effects'!$C$4:$C$8</c:f>
              <c:numCache>
                <c:formatCode>"$"#,##0.00</c:formatCode>
                <c:ptCount val="5"/>
                <c:pt idx="0">
                  <c:v>0</c:v>
                </c:pt>
                <c:pt idx="1">
                  <c:v>24800</c:v>
                </c:pt>
                <c:pt idx="2">
                  <c:v>0</c:v>
                </c:pt>
                <c:pt idx="3">
                  <c:v>0</c:v>
                </c:pt>
                <c:pt idx="4">
                  <c:v>0</c:v>
                </c:pt>
              </c:numCache>
            </c:numRef>
          </c:val>
          <c:smooth val="0"/>
          <c:extLst>
            <c:ext xmlns:c16="http://schemas.microsoft.com/office/drawing/2014/chart" uri="{C3380CC4-5D6E-409C-BE32-E72D297353CC}">
              <c16:uniqueId val="{00000000-8110-4A5F-8399-666EBCBD40E1}"/>
            </c:ext>
          </c:extLst>
        </c:ser>
        <c:ser>
          <c:idx val="1"/>
          <c:order val="1"/>
          <c:tx>
            <c:v>Revenue</c:v>
          </c:tx>
          <c:spPr>
            <a:ln w="28575" cap="rnd">
              <a:solidFill>
                <a:sysClr val="windowText" lastClr="000000"/>
              </a:solidFill>
              <a:round/>
            </a:ln>
            <a:effectLst/>
          </c:spPr>
          <c:marker>
            <c:symbol val="circle"/>
            <c:size val="5"/>
            <c:spPr>
              <a:solidFill>
                <a:schemeClr val="accent2"/>
              </a:solidFill>
              <a:ln w="9525">
                <a:solidFill>
                  <a:sysClr val="windowText" lastClr="0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'Marketing Effects'!$B$4:$B$8</c:f>
              <c:numCache>
                <c:formatCode>General</c:formatCode>
                <c:ptCount val="5"/>
                <c:pt idx="0">
                  <c:v>2014</c:v>
                </c:pt>
                <c:pt idx="1">
                  <c:v>2015</c:v>
                </c:pt>
                <c:pt idx="2">
                  <c:v>2016</c:v>
                </c:pt>
                <c:pt idx="3">
                  <c:v>2017</c:v>
                </c:pt>
                <c:pt idx="4">
                  <c:v>2018</c:v>
                </c:pt>
              </c:numCache>
            </c:numRef>
          </c:cat>
          <c:val>
            <c:numRef>
              <c:f>'Marketing Effects'!$D$4:$D$8</c:f>
              <c:numCache>
                <c:formatCode>"$"#,##0.00</c:formatCode>
                <c:ptCount val="5"/>
                <c:pt idx="0">
                  <c:v>41312</c:v>
                </c:pt>
                <c:pt idx="1">
                  <c:v>115898</c:v>
                </c:pt>
                <c:pt idx="2">
                  <c:v>115828</c:v>
                </c:pt>
                <c:pt idx="3">
                  <c:v>128466</c:v>
                </c:pt>
                <c:pt idx="4">
                  <c:v>127746</c:v>
                </c:pt>
              </c:numCache>
            </c:numRef>
          </c:val>
          <c:smooth val="0"/>
          <c:extLst>
            <c:ext xmlns:c16="http://schemas.microsoft.com/office/drawing/2014/chart" uri="{C3380CC4-5D6E-409C-BE32-E72D297353CC}">
              <c16:uniqueId val="{00000001-8110-4A5F-8399-666EBCBD40E1}"/>
            </c:ext>
          </c:extLst>
        </c:ser>
        <c:ser>
          <c:idx val="3"/>
          <c:order val="2"/>
          <c:tx>
            <c:strRef>
              <c:f>'Marketing Effects'!$D$11</c:f>
              <c:strCache>
                <c:ptCount val="1"/>
                <c:pt idx="0">
                  <c:v>Regressed trend after marketing</c:v>
                </c:pt>
              </c:strCache>
            </c:strRef>
          </c:tx>
          <c:spPr>
            <a:ln w="28575" cap="rnd">
              <a:solidFill>
                <a:srgbClr val="FF3300"/>
              </a:solidFill>
              <a:round/>
            </a:ln>
            <a:effectLst/>
          </c:spPr>
          <c:marker>
            <c:symbol val="circle"/>
            <c:size val="5"/>
            <c:spPr>
              <a:solidFill>
                <a:schemeClr val="accent4"/>
              </a:solidFill>
              <a:ln w="9525">
                <a:solidFill>
                  <a:srgbClr val="FF33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'Marketing Effects'!$D$12:$D$16</c:f>
              <c:numCache>
                <c:formatCode>"$"#,##0.00</c:formatCode>
                <c:ptCount val="5"/>
                <c:pt idx="0">
                  <c:v>109939</c:v>
                </c:pt>
                <c:pt idx="1">
                  <c:v>114757.20000000112</c:v>
                </c:pt>
                <c:pt idx="2">
                  <c:v>119575.40000000037</c:v>
                </c:pt>
                <c:pt idx="3">
                  <c:v>124393.60000000149</c:v>
                </c:pt>
                <c:pt idx="4">
                  <c:v>129211.80000000075</c:v>
                </c:pt>
              </c:numCache>
            </c:numRef>
          </c:val>
          <c:smooth val="0"/>
          <c:extLst>
            <c:ext xmlns:c16="http://schemas.microsoft.com/office/drawing/2014/chart" uri="{C3380CC4-5D6E-409C-BE32-E72D297353CC}">
              <c16:uniqueId val="{00000008-8110-4A5F-8399-666EBCBD40E1}"/>
            </c:ext>
          </c:extLst>
        </c:ser>
        <c:dLbls>
          <c:dLblPos val="ctr"/>
          <c:showLegendKey val="0"/>
          <c:showVal val="1"/>
          <c:showCatName val="0"/>
          <c:showSerName val="0"/>
          <c:showPercent val="0"/>
          <c:showBubbleSize val="0"/>
        </c:dLbls>
        <c:marker val="1"/>
        <c:smooth val="0"/>
        <c:axId val="1935550864"/>
        <c:axId val="1935301504"/>
      </c:lineChart>
      <c:catAx>
        <c:axId val="193555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301504"/>
        <c:crosses val="autoZero"/>
        <c:auto val="1"/>
        <c:lblAlgn val="ctr"/>
        <c:lblOffset val="100"/>
        <c:noMultiLvlLbl val="0"/>
      </c:catAx>
      <c:valAx>
        <c:axId val="1935301504"/>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55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Regressed</a:t>
            </a:r>
            <a:r>
              <a:rPr lang="en-SG" baseline="0"/>
              <a:t> Sales after Marketing Effect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'Sensitivity for Marketing'!$D$18</c:f>
              <c:strCache>
                <c:ptCount val="1"/>
                <c:pt idx="0">
                  <c:v> Revenue/Sales </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'Sensitivity for Marketing'!$B$19:$B$23</c:f>
              <c:numCache>
                <c:formatCode>General</c:formatCode>
                <c:ptCount val="5"/>
                <c:pt idx="0">
                  <c:v>2014</c:v>
                </c:pt>
                <c:pt idx="1">
                  <c:v>2015</c:v>
                </c:pt>
                <c:pt idx="2">
                  <c:v>2016</c:v>
                </c:pt>
                <c:pt idx="3">
                  <c:v>2017</c:v>
                </c:pt>
                <c:pt idx="4">
                  <c:v>2018</c:v>
                </c:pt>
              </c:numCache>
            </c:numRef>
          </c:xVal>
          <c:yVal>
            <c:numRef>
              <c:f>'Sensitivity for Marketing'!$D$19:$D$23</c:f>
              <c:numCache>
                <c:formatCode>"$"#,##0.00</c:formatCode>
                <c:ptCount val="5"/>
                <c:pt idx="0">
                  <c:v>41312</c:v>
                </c:pt>
                <c:pt idx="1">
                  <c:v>115898</c:v>
                </c:pt>
                <c:pt idx="2">
                  <c:v>115828</c:v>
                </c:pt>
                <c:pt idx="3">
                  <c:v>128466</c:v>
                </c:pt>
                <c:pt idx="4">
                  <c:v>127746</c:v>
                </c:pt>
              </c:numCache>
            </c:numRef>
          </c:yVal>
          <c:smooth val="0"/>
          <c:extLst>
            <c:ext xmlns:c16="http://schemas.microsoft.com/office/drawing/2014/chart" uri="{C3380CC4-5D6E-409C-BE32-E72D297353CC}">
              <c16:uniqueId val="{00000000-F6EB-44EC-A5E2-F88B72C64190}"/>
            </c:ext>
          </c:extLst>
        </c:ser>
        <c:ser>
          <c:idx val="1"/>
          <c:order val="1"/>
          <c:tx>
            <c:strRef>
              <c:f>'Sensitivity for Marketing'!$D$29</c:f>
              <c:strCache>
                <c:ptCount val="1"/>
                <c:pt idx="0">
                  <c:v>Regressed trend after marketing</c:v>
                </c:pt>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'Sensitivity for Marketing'!$B$19:$B$23</c:f>
              <c:numCache>
                <c:formatCode>General</c:formatCode>
                <c:ptCount val="5"/>
                <c:pt idx="0">
                  <c:v>2014</c:v>
                </c:pt>
                <c:pt idx="1">
                  <c:v>2015</c:v>
                </c:pt>
                <c:pt idx="2">
                  <c:v>2016</c:v>
                </c:pt>
                <c:pt idx="3">
                  <c:v>2017</c:v>
                </c:pt>
                <c:pt idx="4">
                  <c:v>2018</c:v>
                </c:pt>
              </c:numCache>
            </c:numRef>
          </c:xVal>
          <c:yVal>
            <c:numRef>
              <c:f>'Sensitivity for Marketing'!$D$30:$D$34</c:f>
              <c:numCache>
                <c:formatCode>"$"#,##0.00</c:formatCode>
                <c:ptCount val="5"/>
                <c:pt idx="0">
                  <c:v>88722.961323857307</c:v>
                </c:pt>
                <c:pt idx="1">
                  <c:v>99905.972926698625</c:v>
                </c:pt>
                <c:pt idx="2">
                  <c:v>111088.98452954367</c:v>
                </c:pt>
                <c:pt idx="3">
                  <c:v>122271.99613238499</c:v>
                </c:pt>
                <c:pt idx="4">
                  <c:v>133455.0077352263</c:v>
                </c:pt>
              </c:numCache>
            </c:numRef>
          </c:yVal>
          <c:smooth val="0"/>
          <c:extLst>
            <c:ext xmlns:c16="http://schemas.microsoft.com/office/drawing/2014/chart" uri="{C3380CC4-5D6E-409C-BE32-E72D297353CC}">
              <c16:uniqueId val="{00000001-F6EB-44EC-A5E2-F88B72C64190}"/>
            </c:ext>
          </c:extLst>
        </c:ser>
        <c:ser>
          <c:idx val="3"/>
          <c:order val="2"/>
          <c:tx>
            <c:strRef>
              <c:f>'Sensitivity for Marketing'!$C$18</c:f>
              <c:strCache>
                <c:ptCount val="1"/>
                <c:pt idx="0">
                  <c:v> Marketing Cost </c:v>
                </c:pt>
              </c:strCache>
            </c:strRef>
          </c:tx>
          <c:spPr>
            <a:ln w="19050" cap="rnd">
              <a:solidFill>
                <a:srgbClr val="0070C0"/>
              </a:solidFill>
              <a:round/>
            </a:ln>
            <a:effectLst/>
          </c:spPr>
          <c:marker>
            <c:symbol val="circle"/>
            <c:size val="5"/>
            <c:spPr>
              <a:solidFill>
                <a:srgbClr val="0070C0"/>
              </a:solidFill>
              <a:ln w="9525">
                <a:solidFill>
                  <a:srgbClr val="0070C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'Sensitivity for Marketing'!$B$19:$B$23</c:f>
              <c:numCache>
                <c:formatCode>General</c:formatCode>
                <c:ptCount val="5"/>
                <c:pt idx="0">
                  <c:v>2014</c:v>
                </c:pt>
                <c:pt idx="1">
                  <c:v>2015</c:v>
                </c:pt>
                <c:pt idx="2">
                  <c:v>2016</c:v>
                </c:pt>
                <c:pt idx="3">
                  <c:v>2017</c:v>
                </c:pt>
                <c:pt idx="4">
                  <c:v>2018</c:v>
                </c:pt>
              </c:numCache>
            </c:numRef>
          </c:xVal>
          <c:yVal>
            <c:numRef>
              <c:f>'Sensitivity for Marketing'!$C$19:$C$23</c:f>
              <c:numCache>
                <c:formatCode>"$"#,##0.00</c:formatCode>
                <c:ptCount val="5"/>
                <c:pt idx="0">
                  <c:v>0</c:v>
                </c:pt>
                <c:pt idx="1">
                  <c:v>24800</c:v>
                </c:pt>
                <c:pt idx="2">
                  <c:v>0</c:v>
                </c:pt>
                <c:pt idx="3">
                  <c:v>0</c:v>
                </c:pt>
                <c:pt idx="4">
                  <c:v>0</c:v>
                </c:pt>
              </c:numCache>
            </c:numRef>
          </c:yVal>
          <c:smooth val="0"/>
          <c:extLst>
            <c:ext xmlns:c16="http://schemas.microsoft.com/office/drawing/2014/chart" uri="{C3380CC4-5D6E-409C-BE32-E72D297353CC}">
              <c16:uniqueId val="{00000003-F6EB-44EC-A5E2-F88B72C64190}"/>
            </c:ext>
          </c:extLst>
        </c:ser>
        <c:dLbls>
          <c:dLblPos val="t"/>
          <c:showLegendKey val="0"/>
          <c:showVal val="1"/>
          <c:showCatName val="0"/>
          <c:showSerName val="0"/>
          <c:showPercent val="0"/>
          <c:showBubbleSize val="0"/>
        </c:dLbls>
        <c:axId val="65683728"/>
        <c:axId val="348418688"/>
      </c:scatterChart>
      <c:valAx>
        <c:axId val="6568372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418688"/>
        <c:crosses val="autoZero"/>
        <c:crossBetween val="midCat"/>
      </c:valAx>
      <c:valAx>
        <c:axId val="348418688"/>
        <c:scaling>
          <c:orientation val="minMax"/>
        </c:scaling>
        <c:delete val="0"/>
        <c:axPos val="l"/>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837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Backtesting for</a:t>
            </a:r>
            <a:r>
              <a:rPr lang="en-SG" baseline="0"/>
              <a:t> Slope</a:t>
            </a:r>
            <a:endParaRPr lang="en-S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'Sensitivity for Marketing'!$D$18</c:f>
              <c:strCache>
                <c:ptCount val="1"/>
                <c:pt idx="0">
                  <c:v> Revenue/Sales </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xVal>
            <c:numRef>
              <c:f>'Sensitivity for Marketing'!$B$30:$B$34</c:f>
              <c:numCache>
                <c:formatCode>General</c:formatCode>
                <c:ptCount val="5"/>
                <c:pt idx="0">
                  <c:v>2014</c:v>
                </c:pt>
                <c:pt idx="1">
                  <c:v>2015</c:v>
                </c:pt>
                <c:pt idx="2">
                  <c:v>2016</c:v>
                </c:pt>
                <c:pt idx="3">
                  <c:v>2017</c:v>
                </c:pt>
                <c:pt idx="4">
                  <c:v>2018</c:v>
                </c:pt>
              </c:numCache>
            </c:numRef>
          </c:xVal>
          <c:yVal>
            <c:numRef>
              <c:f>'Sensitivity for Marketing'!$D$19:$D$23</c:f>
              <c:numCache>
                <c:formatCode>"$"#,##0.00</c:formatCode>
                <c:ptCount val="5"/>
                <c:pt idx="0">
                  <c:v>41312</c:v>
                </c:pt>
                <c:pt idx="1">
                  <c:v>115898</c:v>
                </c:pt>
                <c:pt idx="2">
                  <c:v>115828</c:v>
                </c:pt>
                <c:pt idx="3">
                  <c:v>128466</c:v>
                </c:pt>
                <c:pt idx="4">
                  <c:v>127746</c:v>
                </c:pt>
              </c:numCache>
            </c:numRef>
          </c:yVal>
          <c:smooth val="0"/>
          <c:extLst>
            <c:ext xmlns:c16="http://schemas.microsoft.com/office/drawing/2014/chart" uri="{C3380CC4-5D6E-409C-BE32-E72D297353CC}">
              <c16:uniqueId val="{00000000-AB33-4A9D-9C08-A712C8171037}"/>
            </c:ext>
          </c:extLst>
        </c:ser>
        <c:ser>
          <c:idx val="1"/>
          <c:order val="1"/>
          <c:tx>
            <c:strRef>
              <c:f>'Sensitivity for Marketing'!$D$29</c:f>
              <c:strCache>
                <c:ptCount val="1"/>
                <c:pt idx="0">
                  <c:v>Regressed trend after marketing</c:v>
                </c:pt>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'Sensitivity for Marketing'!$B$30:$B$34</c:f>
              <c:numCache>
                <c:formatCode>General</c:formatCode>
                <c:ptCount val="5"/>
                <c:pt idx="0">
                  <c:v>2014</c:v>
                </c:pt>
                <c:pt idx="1">
                  <c:v>2015</c:v>
                </c:pt>
                <c:pt idx="2">
                  <c:v>2016</c:v>
                </c:pt>
                <c:pt idx="3">
                  <c:v>2017</c:v>
                </c:pt>
                <c:pt idx="4">
                  <c:v>2018</c:v>
                </c:pt>
              </c:numCache>
            </c:numRef>
          </c:xVal>
          <c:yVal>
            <c:numRef>
              <c:f>'Sensitivity for Marketing'!$D$30:$D$34</c:f>
              <c:numCache>
                <c:formatCode>"$"#,##0.00</c:formatCode>
                <c:ptCount val="5"/>
                <c:pt idx="0">
                  <c:v>88722.961323857307</c:v>
                </c:pt>
                <c:pt idx="1">
                  <c:v>99905.972926698625</c:v>
                </c:pt>
                <c:pt idx="2">
                  <c:v>111088.98452954367</c:v>
                </c:pt>
                <c:pt idx="3">
                  <c:v>122271.99613238499</c:v>
                </c:pt>
                <c:pt idx="4">
                  <c:v>133455.0077352263</c:v>
                </c:pt>
              </c:numCache>
            </c:numRef>
          </c:yVal>
          <c:smooth val="0"/>
          <c:extLst>
            <c:ext xmlns:c16="http://schemas.microsoft.com/office/drawing/2014/chart" uri="{C3380CC4-5D6E-409C-BE32-E72D297353CC}">
              <c16:uniqueId val="{00000001-AB33-4A9D-9C08-A712C8171037}"/>
            </c:ext>
          </c:extLst>
        </c:ser>
        <c:ser>
          <c:idx val="3"/>
          <c:order val="2"/>
          <c:tx>
            <c:strRef>
              <c:f>'Sensitivity for Marketing'!$C$18</c:f>
              <c:strCache>
                <c:ptCount val="1"/>
                <c:pt idx="0">
                  <c:v> Marketing Cost </c:v>
                </c:pt>
              </c:strCache>
            </c:strRef>
          </c:tx>
          <c:spPr>
            <a:ln w="19050" cap="rnd">
              <a:solidFill>
                <a:srgbClr val="0070C0"/>
              </a:solidFill>
              <a:round/>
            </a:ln>
            <a:effectLst/>
          </c:spPr>
          <c:marker>
            <c:symbol val="circle"/>
            <c:size val="5"/>
            <c:spPr>
              <a:solidFill>
                <a:srgbClr val="0070C0"/>
              </a:solidFill>
              <a:ln w="9525">
                <a:solidFill>
                  <a:srgbClr val="0070C0"/>
                </a:solidFill>
              </a:ln>
              <a:effectLst/>
            </c:spPr>
          </c:marker>
          <c:xVal>
            <c:numRef>
              <c:f>'Sensitivity for Marketing'!$B$30:$B$34</c:f>
              <c:numCache>
                <c:formatCode>General</c:formatCode>
                <c:ptCount val="5"/>
                <c:pt idx="0">
                  <c:v>2014</c:v>
                </c:pt>
                <c:pt idx="1">
                  <c:v>2015</c:v>
                </c:pt>
                <c:pt idx="2">
                  <c:v>2016</c:v>
                </c:pt>
                <c:pt idx="3">
                  <c:v>2017</c:v>
                </c:pt>
                <c:pt idx="4">
                  <c:v>2018</c:v>
                </c:pt>
              </c:numCache>
            </c:numRef>
          </c:xVal>
          <c:yVal>
            <c:numRef>
              <c:f>'Sensitivity for Marketing'!$C$19:$C$23</c:f>
              <c:numCache>
                <c:formatCode>"$"#,##0.00</c:formatCode>
                <c:ptCount val="5"/>
                <c:pt idx="0">
                  <c:v>0</c:v>
                </c:pt>
                <c:pt idx="1">
                  <c:v>24800</c:v>
                </c:pt>
                <c:pt idx="2">
                  <c:v>0</c:v>
                </c:pt>
                <c:pt idx="3">
                  <c:v>0</c:v>
                </c:pt>
                <c:pt idx="4">
                  <c:v>0</c:v>
                </c:pt>
              </c:numCache>
            </c:numRef>
          </c:yVal>
          <c:smooth val="0"/>
          <c:extLst>
            <c:ext xmlns:c16="http://schemas.microsoft.com/office/drawing/2014/chart" uri="{C3380CC4-5D6E-409C-BE32-E72D297353CC}">
              <c16:uniqueId val="{00000003-AB33-4A9D-9C08-A712C8171037}"/>
            </c:ext>
          </c:extLst>
        </c:ser>
        <c:ser>
          <c:idx val="4"/>
          <c:order val="3"/>
          <c:tx>
            <c:v>Backtesting (2014-2017)</c:v>
          </c:tx>
          <c:spPr>
            <a:ln w="19050" cap="rnd">
              <a:solidFill>
                <a:srgbClr val="00B050"/>
              </a:solidFill>
              <a:round/>
            </a:ln>
            <a:effectLst/>
          </c:spPr>
          <c:marker>
            <c:symbol val="circle"/>
            <c:size val="5"/>
            <c:spPr>
              <a:solidFill>
                <a:srgbClr val="00B050"/>
              </a:solidFill>
              <a:ln w="9525">
                <a:solidFill>
                  <a:srgbClr val="00B050"/>
                </a:solidFill>
              </a:ln>
              <a:effectLst/>
            </c:spPr>
          </c:marker>
          <c:trendline>
            <c:spPr>
              <a:ln w="19050" cap="rnd">
                <a:solidFill>
                  <a:srgbClr val="00B050"/>
                </a:solidFill>
                <a:prstDash val="sysDot"/>
              </a:ln>
              <a:effectLst/>
            </c:spPr>
            <c:trendlineType val="linear"/>
            <c:forward val="1"/>
            <c:dispRSqr val="0"/>
            <c:dispEq val="0"/>
          </c:trendline>
          <c:xVal>
            <c:numRef>
              <c:f>'Sensitivity for Marketing'!$B$30:$B$34</c:f>
              <c:numCache>
                <c:formatCode>General</c:formatCode>
                <c:ptCount val="5"/>
                <c:pt idx="0">
                  <c:v>2014</c:v>
                </c:pt>
                <c:pt idx="1">
                  <c:v>2015</c:v>
                </c:pt>
                <c:pt idx="2">
                  <c:v>2016</c:v>
                </c:pt>
                <c:pt idx="3">
                  <c:v>2017</c:v>
                </c:pt>
                <c:pt idx="4">
                  <c:v>2018</c:v>
                </c:pt>
              </c:numCache>
            </c:numRef>
          </c:xVal>
          <c:yVal>
            <c:numRef>
              <c:f>'Sensitivity for Marketing'!$D$62:$D$65</c:f>
              <c:numCache>
                <c:formatCode>"$"#,##0.00</c:formatCode>
                <c:ptCount val="4"/>
                <c:pt idx="0">
                  <c:v>79207.948431819677</c:v>
                </c:pt>
                <c:pt idx="1">
                  <c:v>96099.967769891024</c:v>
                </c:pt>
                <c:pt idx="2">
                  <c:v>112991.98710795492</c:v>
                </c:pt>
                <c:pt idx="3">
                  <c:v>129884.00644602627</c:v>
                </c:pt>
              </c:numCache>
            </c:numRef>
          </c:yVal>
          <c:smooth val="0"/>
          <c:extLst>
            <c:ext xmlns:c16="http://schemas.microsoft.com/office/drawing/2014/chart" uri="{C3380CC4-5D6E-409C-BE32-E72D297353CC}">
              <c16:uniqueId val="{00000004-AB33-4A9D-9C08-A712C8171037}"/>
            </c:ext>
          </c:extLst>
        </c:ser>
        <c:dLbls>
          <c:showLegendKey val="0"/>
          <c:showVal val="0"/>
          <c:showCatName val="0"/>
          <c:showSerName val="0"/>
          <c:showPercent val="0"/>
          <c:showBubbleSize val="0"/>
        </c:dLbls>
        <c:axId val="65683728"/>
        <c:axId val="348418688"/>
      </c:scatterChart>
      <c:valAx>
        <c:axId val="6568372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418688"/>
        <c:crosses val="autoZero"/>
        <c:crossBetween val="midCat"/>
      </c:valAx>
      <c:valAx>
        <c:axId val="348418688"/>
        <c:scaling>
          <c:orientation val="minMax"/>
        </c:scaling>
        <c:delete val="0"/>
        <c:axPos val="l"/>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83728"/>
        <c:crosses val="autoZero"/>
        <c:crossBetween val="midCat"/>
      </c:valAx>
      <c:spPr>
        <a:noFill/>
        <a:ln>
          <a:noFill/>
        </a:ln>
        <a:effectLst/>
      </c:spPr>
    </c:plotArea>
    <c:legend>
      <c:legendPos val="b"/>
      <c:overlay val="0"/>
      <c:spPr>
        <a:noFill/>
        <a:ln>
          <a:solidFill>
            <a:srgbClr val="00B05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Trade-off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'Price Elasticty of Demand'!$D$65</c:f>
              <c:strCache>
                <c:ptCount val="1"/>
                <c:pt idx="0">
                  <c:v>Total Revenue</c:v>
                </c:pt>
              </c:strCache>
            </c:strRef>
          </c:tx>
          <c:spPr>
            <a:ln w="19050" cap="rnd">
              <a:solidFill>
                <a:schemeClr val="accent1"/>
              </a:solidFill>
              <a:round/>
            </a:ln>
            <a:effectLst/>
          </c:spPr>
          <c:marker>
            <c:symbol val="diamond"/>
            <c:size val="5"/>
            <c:spPr>
              <a:solidFill>
                <a:schemeClr val="accent1"/>
              </a:solidFill>
              <a:ln w="9525">
                <a:solidFill>
                  <a:schemeClr val="accent1"/>
                </a:solidFill>
              </a:ln>
              <a:effectLst/>
            </c:spPr>
          </c:marker>
          <c:xVal>
            <c:numRef>
              <c:f>'Price Elasticty of Demand'!$C$66:$C$70</c:f>
              <c:numCache>
                <c:formatCode>0%</c:formatCode>
                <c:ptCount val="5"/>
                <c:pt idx="0">
                  <c:v>1.2</c:v>
                </c:pt>
                <c:pt idx="1">
                  <c:v>1.1000000000000001</c:v>
                </c:pt>
                <c:pt idx="2">
                  <c:v>1</c:v>
                </c:pt>
                <c:pt idx="3">
                  <c:v>0.9</c:v>
                </c:pt>
                <c:pt idx="4">
                  <c:v>0.8</c:v>
                </c:pt>
              </c:numCache>
            </c:numRef>
          </c:xVal>
          <c:yVal>
            <c:numRef>
              <c:f>'Price Elasticty of Demand'!$D$66:$D$70</c:f>
              <c:numCache>
                <c:formatCode>"$"#,##0.00</c:formatCode>
                <c:ptCount val="5"/>
                <c:pt idx="0">
                  <c:v>101500.64590985667</c:v>
                </c:pt>
                <c:pt idx="1">
                  <c:v>116737.17937535097</c:v>
                </c:pt>
                <c:pt idx="2">
                  <c:v>127746</c:v>
                </c:pt>
                <c:pt idx="3">
                  <c:v>134527.10778380375</c:v>
                </c:pt>
                <c:pt idx="4">
                  <c:v>137080.50272676221</c:v>
                </c:pt>
              </c:numCache>
            </c:numRef>
          </c:yVal>
          <c:smooth val="1"/>
          <c:extLst>
            <c:ext xmlns:c16="http://schemas.microsoft.com/office/drawing/2014/chart" uri="{C3380CC4-5D6E-409C-BE32-E72D297353CC}">
              <c16:uniqueId val="{00000000-7AB4-49EE-BB85-DDA60408EB03}"/>
            </c:ext>
          </c:extLst>
        </c:ser>
        <c:ser>
          <c:idx val="1"/>
          <c:order val="1"/>
          <c:tx>
            <c:strRef>
              <c:f>'Price Elasticty of Demand'!$E$65</c:f>
              <c:strCache>
                <c:ptCount val="1"/>
                <c:pt idx="0">
                  <c:v>Total Cost</c:v>
                </c:pt>
              </c:strCache>
            </c:strRef>
          </c:tx>
          <c:spPr>
            <a:ln w="19050" cap="rnd">
              <a:solidFill>
                <a:srgbClr val="FF0000"/>
              </a:solidFill>
              <a:round/>
            </a:ln>
            <a:effectLst/>
          </c:spPr>
          <c:marker>
            <c:symbol val="circle"/>
            <c:size val="5"/>
            <c:spPr>
              <a:solidFill>
                <a:srgbClr val="FF0000"/>
              </a:solidFill>
              <a:ln w="9525">
                <a:solidFill>
                  <a:srgbClr val="FF0000"/>
                </a:solidFill>
              </a:ln>
              <a:effectLst/>
            </c:spPr>
          </c:marker>
          <c:xVal>
            <c:numRef>
              <c:f>'Price Elasticty of Demand'!$C$66:$C$70</c:f>
              <c:numCache>
                <c:formatCode>0%</c:formatCode>
                <c:ptCount val="5"/>
                <c:pt idx="0">
                  <c:v>1.2</c:v>
                </c:pt>
                <c:pt idx="1">
                  <c:v>1.1000000000000001</c:v>
                </c:pt>
                <c:pt idx="2">
                  <c:v>1</c:v>
                </c:pt>
                <c:pt idx="3">
                  <c:v>0.9</c:v>
                </c:pt>
                <c:pt idx="4">
                  <c:v>0.8</c:v>
                </c:pt>
              </c:numCache>
            </c:numRef>
          </c:xVal>
          <c:yVal>
            <c:numRef>
              <c:f>'Price Elasticty of Demand'!$E$66:$E$70</c:f>
              <c:numCache>
                <c:formatCode>"$"#,##0.00</c:formatCode>
                <c:ptCount val="5"/>
                <c:pt idx="0">
                  <c:v>85348.009977561538</c:v>
                </c:pt>
                <c:pt idx="1">
                  <c:v>89953.110478780756</c:v>
                </c:pt>
                <c:pt idx="2">
                  <c:v>94558.210980000003</c:v>
                </c:pt>
                <c:pt idx="3">
                  <c:v>99163.311481219222</c:v>
                </c:pt>
                <c:pt idx="4">
                  <c:v>103768.41198243845</c:v>
                </c:pt>
              </c:numCache>
            </c:numRef>
          </c:yVal>
          <c:smooth val="1"/>
          <c:extLst>
            <c:ext xmlns:c16="http://schemas.microsoft.com/office/drawing/2014/chart" uri="{C3380CC4-5D6E-409C-BE32-E72D297353CC}">
              <c16:uniqueId val="{00000001-7AB4-49EE-BB85-DDA60408EB03}"/>
            </c:ext>
          </c:extLst>
        </c:ser>
        <c:ser>
          <c:idx val="2"/>
          <c:order val="2"/>
          <c:tx>
            <c:strRef>
              <c:f>'Price Elasticty of Demand'!$F$65</c:f>
              <c:strCache>
                <c:ptCount val="1"/>
                <c:pt idx="0">
                  <c:v>Total Profit</c:v>
                </c:pt>
              </c:strCache>
            </c:strRef>
          </c:tx>
          <c:spPr>
            <a:ln w="19050" cap="rnd">
              <a:solidFill>
                <a:sysClr val="windowText" lastClr="000000"/>
              </a:solidFill>
              <a:round/>
            </a:ln>
            <a:effectLst/>
          </c:spPr>
          <c:marker>
            <c:symbol val="triangle"/>
            <c:size val="5"/>
            <c:spPr>
              <a:solidFill>
                <a:schemeClr val="tx1"/>
              </a:solidFill>
              <a:ln w="9525">
                <a:solidFill>
                  <a:sysClr val="windowText" lastClr="000000"/>
                </a:solidFill>
              </a:ln>
              <a:effectLst/>
            </c:spPr>
          </c:marker>
          <c:xVal>
            <c:numRef>
              <c:f>'Price Elasticty of Demand'!$C$66:$C$70</c:f>
              <c:numCache>
                <c:formatCode>0%</c:formatCode>
                <c:ptCount val="5"/>
                <c:pt idx="0">
                  <c:v>1.2</c:v>
                </c:pt>
                <c:pt idx="1">
                  <c:v>1.1000000000000001</c:v>
                </c:pt>
                <c:pt idx="2">
                  <c:v>1</c:v>
                </c:pt>
                <c:pt idx="3">
                  <c:v>0.9</c:v>
                </c:pt>
                <c:pt idx="4">
                  <c:v>0.8</c:v>
                </c:pt>
              </c:numCache>
            </c:numRef>
          </c:xVal>
          <c:yVal>
            <c:numRef>
              <c:f>'Price Elasticty of Demand'!$F$66:$F$70</c:f>
              <c:numCache>
                <c:formatCode>"$"#,##0.00</c:formatCode>
                <c:ptCount val="5"/>
                <c:pt idx="0">
                  <c:v>16152.635932295132</c:v>
                </c:pt>
                <c:pt idx="1">
                  <c:v>26784.068896570214</c:v>
                </c:pt>
                <c:pt idx="2">
                  <c:v>33187.789019999997</c:v>
                </c:pt>
                <c:pt idx="3">
                  <c:v>35363.796302584524</c:v>
                </c:pt>
                <c:pt idx="4">
                  <c:v>33312.090744323752</c:v>
                </c:pt>
              </c:numCache>
            </c:numRef>
          </c:yVal>
          <c:smooth val="1"/>
          <c:extLst>
            <c:ext xmlns:c16="http://schemas.microsoft.com/office/drawing/2014/chart" uri="{C3380CC4-5D6E-409C-BE32-E72D297353CC}">
              <c16:uniqueId val="{00000002-7AB4-49EE-BB85-DDA60408EB03}"/>
            </c:ext>
          </c:extLst>
        </c:ser>
        <c:dLbls>
          <c:showLegendKey val="0"/>
          <c:showVal val="0"/>
          <c:showCatName val="0"/>
          <c:showSerName val="0"/>
          <c:showPercent val="0"/>
          <c:showBubbleSize val="0"/>
        </c:dLbls>
        <c:axId val="1472387919"/>
        <c:axId val="1737520383"/>
      </c:scatterChart>
      <c:scatterChart>
        <c:scatterStyle val="smoothMarker"/>
        <c:varyColors val="0"/>
        <c:ser>
          <c:idx val="3"/>
          <c:order val="3"/>
          <c:tx>
            <c:strRef>
              <c:f>'Price Elasticty of Demand'!$G$65</c:f>
              <c:strCache>
                <c:ptCount val="1"/>
                <c:pt idx="0">
                  <c:v>Total Profit %</c:v>
                </c:pt>
              </c:strCache>
            </c:strRef>
          </c:tx>
          <c:spPr>
            <a:ln w="19050" cap="rnd">
              <a:solidFill>
                <a:srgbClr val="00B050"/>
              </a:solidFill>
              <a:round/>
            </a:ln>
            <a:effectLst/>
          </c:spPr>
          <c:marker>
            <c:symbol val="circle"/>
            <c:size val="5"/>
            <c:spPr>
              <a:solidFill>
                <a:srgbClr val="00B050"/>
              </a:solidFill>
              <a:ln w="9525">
                <a:solidFill>
                  <a:srgbClr val="00B050"/>
                </a:solidFill>
              </a:ln>
              <a:effectLst/>
            </c:spPr>
          </c:marker>
          <c:xVal>
            <c:numRef>
              <c:f>'Price Elasticty of Demand'!$C$66:$C$70</c:f>
              <c:numCache>
                <c:formatCode>0%</c:formatCode>
                <c:ptCount val="5"/>
                <c:pt idx="0">
                  <c:v>1.2</c:v>
                </c:pt>
                <c:pt idx="1">
                  <c:v>1.1000000000000001</c:v>
                </c:pt>
                <c:pt idx="2">
                  <c:v>1</c:v>
                </c:pt>
                <c:pt idx="3">
                  <c:v>0.9</c:v>
                </c:pt>
                <c:pt idx="4">
                  <c:v>0.8</c:v>
                </c:pt>
              </c:numCache>
            </c:numRef>
          </c:xVal>
          <c:yVal>
            <c:numRef>
              <c:f>'Price Elasticty of Demand'!$G$66:$G$70</c:f>
              <c:numCache>
                <c:formatCode>0%</c:formatCode>
                <c:ptCount val="5"/>
                <c:pt idx="0">
                  <c:v>0.15913825756971423</c:v>
                </c:pt>
                <c:pt idx="1">
                  <c:v>0.22943906165875433</c:v>
                </c:pt>
                <c:pt idx="2">
                  <c:v>0.25979513268517213</c:v>
                </c:pt>
                <c:pt idx="3">
                  <c:v>0.26287487247118319</c:v>
                </c:pt>
                <c:pt idx="4">
                  <c:v>0.24301115097836767</c:v>
                </c:pt>
              </c:numCache>
            </c:numRef>
          </c:yVal>
          <c:smooth val="1"/>
          <c:extLst>
            <c:ext xmlns:c16="http://schemas.microsoft.com/office/drawing/2014/chart" uri="{C3380CC4-5D6E-409C-BE32-E72D297353CC}">
              <c16:uniqueId val="{00000000-4E97-45A0-B3A7-12DB68CFBB85}"/>
            </c:ext>
          </c:extLst>
        </c:ser>
        <c:dLbls>
          <c:showLegendKey val="0"/>
          <c:showVal val="0"/>
          <c:showCatName val="0"/>
          <c:showSerName val="0"/>
          <c:showPercent val="0"/>
          <c:showBubbleSize val="0"/>
        </c:dLbls>
        <c:axId val="171777232"/>
        <c:axId val="171776816"/>
      </c:scatterChart>
      <c:valAx>
        <c:axId val="14723879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Price changes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0383"/>
        <c:crosses val="autoZero"/>
        <c:crossBetween val="midCat"/>
      </c:valAx>
      <c:valAx>
        <c:axId val="1737520383"/>
        <c:scaling>
          <c:orientation val="minMax"/>
        </c:scaling>
        <c:delete val="0"/>
        <c:axPos val="l"/>
        <c:numFmt formatCode="&quot;$&quot;#,##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2387919"/>
        <c:crosses val="autoZero"/>
        <c:crossBetween val="midCat"/>
      </c:valAx>
      <c:valAx>
        <c:axId val="17177681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77232"/>
        <c:crosses val="max"/>
        <c:crossBetween val="midCat"/>
      </c:valAx>
      <c:valAx>
        <c:axId val="171777232"/>
        <c:scaling>
          <c:orientation val="minMax"/>
        </c:scaling>
        <c:delete val="1"/>
        <c:axPos val="b"/>
        <c:numFmt formatCode="0%" sourceLinked="1"/>
        <c:majorTickMark val="out"/>
        <c:minorTickMark val="none"/>
        <c:tickLblPos val="nextTo"/>
        <c:crossAx val="17177681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a:t>
            </a:r>
            <a:r>
              <a:rPr lang="en-SG" baseline="0"/>
              <a:t> Analysis (30 ml)</a:t>
            </a:r>
            <a:endParaRPr lang="en-S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54027953867629"/>
          <c:y val="6.3660033788449866E-2"/>
          <c:w val="0.86372955753394731"/>
          <c:h val="0.72267239645394576"/>
        </c:manualLayout>
      </c:layout>
      <c:scatterChart>
        <c:scatterStyle val="smoothMarker"/>
        <c:varyColors val="0"/>
        <c:ser>
          <c:idx val="0"/>
          <c:order val="0"/>
          <c:tx>
            <c:strRef>
              <c:f>'Sensitivity Analysis of PED'!$D$22</c:f>
              <c:strCache>
                <c:ptCount val="1"/>
                <c:pt idx="0">
                  <c:v>-2.27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PED'!$D$23:$D$33</c:f>
              <c:numCache>
                <c:formatCode>"$"#,##0.00</c:formatCode>
                <c:ptCount val="11"/>
                <c:pt idx="0">
                  <c:v>21527.092796242923</c:v>
                </c:pt>
                <c:pt idx="1">
                  <c:v>26682.377396251839</c:v>
                </c:pt>
                <c:pt idx="2">
                  <c:v>30813.089526972297</c:v>
                </c:pt>
                <c:pt idx="3">
                  <c:v>34003.13553127653</c:v>
                </c:pt>
                <c:pt idx="4">
                  <c:v>36330.941653479131</c:v>
                </c:pt>
                <c:pt idx="5">
                  <c:v>37869.769319999999</c:v>
                </c:pt>
                <c:pt idx="6">
                  <c:v>38688.013691708999</c:v>
                </c:pt>
                <c:pt idx="7">
                  <c:v>38849.48632711167</c:v>
                </c:pt>
                <c:pt idx="8">
                  <c:v>38413.682755136266</c:v>
                </c:pt>
                <c:pt idx="9">
                  <c:v>37436.035717768922</c:v>
                </c:pt>
                <c:pt idx="10">
                  <c:v>35968.154806068924</c:v>
                </c:pt>
              </c:numCache>
            </c:numRef>
          </c:yVal>
          <c:smooth val="1"/>
          <c:extLst>
            <c:ext xmlns:c16="http://schemas.microsoft.com/office/drawing/2014/chart" uri="{C3380CC4-5D6E-409C-BE32-E72D297353CC}">
              <c16:uniqueId val="{00000000-8BFB-4FA4-A51C-403CE3BED736}"/>
            </c:ext>
          </c:extLst>
        </c:ser>
        <c:ser>
          <c:idx val="1"/>
          <c:order val="1"/>
          <c:tx>
            <c:strRef>
              <c:f>'Sensitivity Analysis of PED'!$E$22</c:f>
              <c:strCache>
                <c:ptCount val="1"/>
                <c:pt idx="0">
                  <c:v>-2.17</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PED'!$E$23:$E$33</c:f>
              <c:numCache>
                <c:formatCode>"$"#,##0.00</c:formatCode>
                <c:ptCount val="11"/>
                <c:pt idx="0">
                  <c:v>15418.745604269985</c:v>
                </c:pt>
                <c:pt idx="1">
                  <c:v>22202.305907984581</c:v>
                </c:pt>
                <c:pt idx="2">
                  <c:v>27740.491971701122</c:v>
                </c:pt>
                <c:pt idx="3">
                  <c:v>32135.292479595446</c:v>
                </c:pt>
                <c:pt idx="4">
                  <c:v>35482.035021795964</c:v>
                </c:pt>
                <c:pt idx="5">
                  <c:v>37869.769319999999</c:v>
                </c:pt>
                <c:pt idx="6">
                  <c:v>39381.630119714609</c:v>
                </c:pt>
                <c:pt idx="7">
                  <c:v>40095.180769125538</c:v>
                </c:pt>
                <c:pt idx="8">
                  <c:v>40082.738455492101</c:v>
                </c:pt>
                <c:pt idx="9">
                  <c:v>39411.682023153116</c:v>
                </c:pt>
                <c:pt idx="10">
                  <c:v>38144.74325260106</c:v>
                </c:pt>
              </c:numCache>
            </c:numRef>
          </c:yVal>
          <c:smooth val="1"/>
          <c:extLst>
            <c:ext xmlns:c16="http://schemas.microsoft.com/office/drawing/2014/chart" uri="{C3380CC4-5D6E-409C-BE32-E72D297353CC}">
              <c16:uniqueId val="{00000001-8BFB-4FA4-A51C-403CE3BED736}"/>
            </c:ext>
          </c:extLst>
        </c:ser>
        <c:ser>
          <c:idx val="2"/>
          <c:order val="2"/>
          <c:tx>
            <c:strRef>
              <c:f>'Sensitivity Analysis of PED'!$F$22</c:f>
              <c:strCache>
                <c:ptCount val="1"/>
                <c:pt idx="0">
                  <c:v>-2.06</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PED'!$F$23:$F$33</c:f>
              <c:numCache>
                <c:formatCode>"$"#,##0.00</c:formatCode>
                <c:ptCount val="11"/>
                <c:pt idx="0">
                  <c:v>9988.1665535780503</c:v>
                </c:pt>
                <c:pt idx="1">
                  <c:v>18219.332837665643</c:v>
                </c:pt>
                <c:pt idx="2">
                  <c:v>25008.822767175508</c:v>
                </c:pt>
                <c:pt idx="3">
                  <c:v>30474.700992626676</c:v>
                </c:pt>
                <c:pt idx="4">
                  <c:v>34727.321115541563</c:v>
                </c:pt>
                <c:pt idx="5">
                  <c:v>37869.769319999999</c:v>
                </c:pt>
                <c:pt idx="6">
                  <c:v>39998.284465769626</c:v>
                </c:pt>
                <c:pt idx="7">
                  <c:v>41202.655823793946</c:v>
                </c:pt>
                <c:pt idx="8">
                  <c:v>41566.599577974055</c:v>
                </c:pt>
                <c:pt idx="9">
                  <c:v>41168.115162987626</c:v>
                </c:pt>
                <c:pt idx="10">
                  <c:v>40079.82245622731</c:v>
                </c:pt>
              </c:numCache>
            </c:numRef>
          </c:yVal>
          <c:smooth val="1"/>
          <c:extLst>
            <c:ext xmlns:c16="http://schemas.microsoft.com/office/drawing/2014/chart" uri="{C3380CC4-5D6E-409C-BE32-E72D297353CC}">
              <c16:uniqueId val="{00000002-8BFB-4FA4-A51C-403CE3BED736}"/>
            </c:ext>
          </c:extLst>
        </c:ser>
        <c:ser>
          <c:idx val="3"/>
          <c:order val="3"/>
          <c:tx>
            <c:strRef>
              <c:f>'Sensitivity Analysis of PED'!$G$22</c:f>
              <c:strCache>
                <c:ptCount val="1"/>
                <c:pt idx="0">
                  <c:v>-1.96</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PED'!$G$23:$G$33</c:f>
              <c:numCache>
                <c:formatCode>"$"#,##0.00</c:formatCode>
                <c:ptCount val="11"/>
                <c:pt idx="0">
                  <c:v>5900.1485200197894</c:v>
                </c:pt>
                <c:pt idx="1">
                  <c:v>15221.040098226376</c:v>
                </c:pt>
                <c:pt idx="2">
                  <c:v>22952.483495511002</c:v>
                </c:pt>
                <c:pt idx="3">
                  <c:v>29224.644989070912</c:v>
                </c:pt>
                <c:pt idx="4">
                  <c:v>34159.189424584561</c:v>
                </c:pt>
                <c:pt idx="5">
                  <c:v>37869.769319999999</c:v>
                </c:pt>
                <c:pt idx="6">
                  <c:v>40462.488018211006</c:v>
                </c:pt>
                <c:pt idx="7">
                  <c:v>42036.338190432827</c:v>
                </c:pt>
                <c:pt idx="8">
                  <c:v>42683.616929416385</c:v>
                </c:pt>
                <c:pt idx="9">
                  <c:v>42490.318611893861</c:v>
                </c:pt>
                <c:pt idx="10">
                  <c:v>41536.506652690608</c:v>
                </c:pt>
              </c:numCache>
            </c:numRef>
          </c:yVal>
          <c:smooth val="1"/>
          <c:extLst>
            <c:ext xmlns:c16="http://schemas.microsoft.com/office/drawing/2014/chart" uri="{C3380CC4-5D6E-409C-BE32-E72D297353CC}">
              <c16:uniqueId val="{00000003-8BFB-4FA4-A51C-403CE3BED736}"/>
            </c:ext>
          </c:extLst>
        </c:ser>
        <c:ser>
          <c:idx val="4"/>
          <c:order val="4"/>
          <c:tx>
            <c:strRef>
              <c:f>'Sensitivity Analysis of PED'!$H$22</c:f>
              <c:strCache>
                <c:ptCount val="1"/>
                <c:pt idx="0">
                  <c:v>-1.87</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PED'!$H$23:$H$33</c:f>
              <c:numCache>
                <c:formatCode>"$"#,##0.00</c:formatCode>
                <c:ptCount val="11"/>
                <c:pt idx="0">
                  <c:v>3701.5924800207749</c:v>
                </c:pt>
                <c:pt idx="1">
                  <c:v>13608.543637137689</c:v>
                </c:pt>
                <c:pt idx="2">
                  <c:v>21846.574204286546</c:v>
                </c:pt>
                <c:pt idx="3">
                  <c:v>28552.358772524462</c:v>
                </c:pt>
                <c:pt idx="4">
                  <c:v>33853.645429813791</c:v>
                </c:pt>
                <c:pt idx="5">
                  <c:v>37869.769319999999</c:v>
                </c:pt>
                <c:pt idx="6">
                  <c:v>40712.138953121561</c:v>
                </c:pt>
                <c:pt idx="7">
                  <c:v>42484.696633954474</c:v>
                </c:pt>
                <c:pt idx="8">
                  <c:v>43284.354309887211</c:v>
                </c:pt>
                <c:pt idx="9">
                  <c:v>43201.406076488551</c:v>
                </c:pt>
                <c:pt idx="10">
                  <c:v>42319.918519325147</c:v>
                </c:pt>
              </c:numCache>
            </c:numRef>
          </c:yVal>
          <c:smooth val="1"/>
          <c:extLst>
            <c:ext xmlns:c16="http://schemas.microsoft.com/office/drawing/2014/chart" uri="{C3380CC4-5D6E-409C-BE32-E72D297353CC}">
              <c16:uniqueId val="{00000004-8BFB-4FA4-A51C-403CE3BED736}"/>
            </c:ext>
          </c:extLst>
        </c:ser>
        <c:ser>
          <c:idx val="5"/>
          <c:order val="5"/>
          <c:tx>
            <c:strRef>
              <c:f>'Sensitivity Analysis of PED'!$I$22</c:f>
              <c:strCache>
                <c:ptCount val="1"/>
                <c:pt idx="0">
                  <c:v>-1.78</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PED'!$I$23:$I$33</c:f>
              <c:numCache>
                <c:formatCode>"$"#,##0.00</c:formatCode>
                <c:ptCount val="11"/>
                <c:pt idx="0">
                  <c:v>3701.5924800207749</c:v>
                </c:pt>
                <c:pt idx="1">
                  <c:v>13608.543637137689</c:v>
                </c:pt>
                <c:pt idx="2">
                  <c:v>21846.574204286546</c:v>
                </c:pt>
                <c:pt idx="3">
                  <c:v>28552.358772524462</c:v>
                </c:pt>
                <c:pt idx="4">
                  <c:v>33853.645429813791</c:v>
                </c:pt>
                <c:pt idx="5">
                  <c:v>37869.769319999999</c:v>
                </c:pt>
                <c:pt idx="6">
                  <c:v>40712.138953121561</c:v>
                </c:pt>
                <c:pt idx="7">
                  <c:v>42484.696633954474</c:v>
                </c:pt>
                <c:pt idx="8">
                  <c:v>43284.354309887211</c:v>
                </c:pt>
                <c:pt idx="9">
                  <c:v>43201.406076488551</c:v>
                </c:pt>
                <c:pt idx="10">
                  <c:v>42319.918519325147</c:v>
                </c:pt>
              </c:numCache>
            </c:numRef>
          </c:yVal>
          <c:smooth val="1"/>
          <c:extLst>
            <c:ext xmlns:c16="http://schemas.microsoft.com/office/drawing/2014/chart" uri="{C3380CC4-5D6E-409C-BE32-E72D297353CC}">
              <c16:uniqueId val="{00000005-8BFB-4FA4-A51C-403CE3BED736}"/>
            </c:ext>
          </c:extLst>
        </c:ser>
        <c:ser>
          <c:idx val="6"/>
          <c:order val="6"/>
          <c:tx>
            <c:strRef>
              <c:f>'Sensitivity Analysis of PED'!$J$22</c:f>
              <c:strCache>
                <c:ptCount val="1"/>
                <c:pt idx="0">
                  <c:v>-1.69</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PED'!$J$23:$J$33</c:f>
              <c:numCache>
                <c:formatCode>"$"#,##0.00</c:formatCode>
                <c:ptCount val="11"/>
                <c:pt idx="0">
                  <c:v>6010.076322019745</c:v>
                </c:pt>
                <c:pt idx="1">
                  <c:v>15301.664921280806</c:v>
                </c:pt>
                <c:pt idx="2">
                  <c:v>23007.778960072221</c:v>
                </c:pt>
                <c:pt idx="3">
                  <c:v>29258.259299898236</c:v>
                </c:pt>
                <c:pt idx="4">
                  <c:v>34174.466624323104</c:v>
                </c:pt>
                <c:pt idx="5">
                  <c:v>37869.769319999999</c:v>
                </c:pt>
                <c:pt idx="6">
                  <c:v>40450.005471465483</c:v>
                </c:pt>
                <c:pt idx="7">
                  <c:v>42013.920268256756</c:v>
                </c:pt>
                <c:pt idx="8">
                  <c:v>42653.580060392851</c:v>
                </c:pt>
                <c:pt idx="9">
                  <c:v>42454.764238664124</c:v>
                </c:pt>
                <c:pt idx="10">
                  <c:v>41497.336059358888</c:v>
                </c:pt>
              </c:numCache>
            </c:numRef>
          </c:yVal>
          <c:smooth val="1"/>
          <c:extLst>
            <c:ext xmlns:c16="http://schemas.microsoft.com/office/drawing/2014/chart" uri="{C3380CC4-5D6E-409C-BE32-E72D297353CC}">
              <c16:uniqueId val="{00000006-8BFB-4FA4-A51C-403CE3BED736}"/>
            </c:ext>
          </c:extLst>
        </c:ser>
        <c:ser>
          <c:idx val="7"/>
          <c:order val="7"/>
          <c:tx>
            <c:strRef>
              <c:f>'Sensitivity Analysis of PED'!$K$22</c:f>
              <c:strCache>
                <c:ptCount val="1"/>
                <c:pt idx="0">
                  <c:v>-1.61</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PED'!$K$23:$K$33</c:f>
              <c:numCache>
                <c:formatCode>"$"#,##0.00</c:formatCode>
                <c:ptCount val="11"/>
                <c:pt idx="0">
                  <c:v>10286.542639322819</c:v>
                </c:pt>
                <c:pt idx="1">
                  <c:v>18438.172100155924</c:v>
                </c:pt>
                <c:pt idx="2">
                  <c:v>25158.910770165181</c:v>
                </c:pt>
                <c:pt idx="3">
                  <c:v>30565.940026858159</c:v>
                </c:pt>
                <c:pt idx="4">
                  <c:v>34768.7878871516</c:v>
                </c:pt>
                <c:pt idx="5">
                  <c:v>37869.769319999999</c:v>
                </c:pt>
                <c:pt idx="6">
                  <c:v>39964.403196697604</c:v>
                </c:pt>
                <c:pt idx="7">
                  <c:v>41141.807050801712</c:v>
                </c:pt>
                <c:pt idx="8">
                  <c:v>41485.070763204545</c:v>
                </c:pt>
                <c:pt idx="9">
                  <c:v>41071.610234094376</c:v>
                </c:pt>
                <c:pt idx="10">
                  <c:v>39973.502052271397</c:v>
                </c:pt>
              </c:numCache>
            </c:numRef>
          </c:yVal>
          <c:smooth val="1"/>
          <c:extLst>
            <c:ext xmlns:c16="http://schemas.microsoft.com/office/drawing/2014/chart" uri="{C3380CC4-5D6E-409C-BE32-E72D297353CC}">
              <c16:uniqueId val="{00000007-8BFB-4FA4-A51C-403CE3BED736}"/>
            </c:ext>
          </c:extLst>
        </c:ser>
        <c:ser>
          <c:idx val="8"/>
          <c:order val="8"/>
          <c:tx>
            <c:strRef>
              <c:f>'Sensitivity Analysis of PED'!$L$22</c:f>
              <c:strCache>
                <c:ptCount val="1"/>
                <c:pt idx="0">
                  <c:v>-1.53</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PED'!$L$23:$L$33</c:f>
              <c:numCache>
                <c:formatCode>"$"#,##0.00</c:formatCode>
                <c:ptCount val="11"/>
                <c:pt idx="0">
                  <c:v>15932.314282154408</c:v>
                </c:pt>
                <c:pt idx="1">
                  <c:v>22578.974803636193</c:v>
                </c:pt>
                <c:pt idx="2">
                  <c:v>27998.825333335382</c:v>
                </c:pt>
                <c:pt idx="3">
                  <c:v>32292.334254792513</c:v>
                </c:pt>
                <c:pt idx="4">
                  <c:v>35553.408151511612</c:v>
                </c:pt>
                <c:pt idx="5">
                  <c:v>37869.769319999999</c:v>
                </c:pt>
                <c:pt idx="6">
                  <c:v>39323.313252533611</c:v>
                </c:pt>
                <c:pt idx="7">
                  <c:v>39990.447094446121</c:v>
                </c:pt>
                <c:pt idx="8">
                  <c:v>39942.410032367494</c:v>
                </c:pt>
                <c:pt idx="9">
                  <c:v>39245.576523721669</c:v>
                </c:pt>
                <c:pt idx="10">
                  <c:v>37961.743233831192</c:v>
                </c:pt>
              </c:numCache>
            </c:numRef>
          </c:yVal>
          <c:smooth val="1"/>
          <c:extLst>
            <c:ext xmlns:c16="http://schemas.microsoft.com/office/drawing/2014/chart" uri="{C3380CC4-5D6E-409C-BE32-E72D297353CC}">
              <c16:uniqueId val="{00000008-8BFB-4FA4-A51C-403CE3BED736}"/>
            </c:ext>
          </c:extLst>
        </c:ser>
        <c:ser>
          <c:idx val="9"/>
          <c:order val="9"/>
          <c:tx>
            <c:strRef>
              <c:f>'Sensitivity Analysis of PED'!$M$22</c:f>
              <c:strCache>
                <c:ptCount val="1"/>
                <c:pt idx="0">
                  <c:v>-1.45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PED'!$M$23:$M$33</c:f>
              <c:numCache>
                <c:formatCode>"$"#,##0.00</c:formatCode>
                <c:ptCount val="11"/>
                <c:pt idx="0">
                  <c:v>22227.778323205785</c:v>
                </c:pt>
                <c:pt idx="1">
                  <c:v>27196.28421145595</c:v>
                </c:pt>
                <c:pt idx="2">
                  <c:v>31165.545693836753</c:v>
                </c:pt>
                <c:pt idx="3">
                  <c:v>34217.39489666935</c:v>
                </c:pt>
                <c:pt idx="4">
                  <c:v>36428.319319133901</c:v>
                </c:pt>
                <c:pt idx="5">
                  <c:v>37869.769319999999</c:v>
                </c:pt>
                <c:pt idx="6">
                  <c:v>38608.449289573204</c:v>
                </c:pt>
                <c:pt idx="7">
                  <c:v>38706.593325272457</c:v>
                </c:pt>
                <c:pt idx="8">
                  <c:v>38222.226189852772</c:v>
                </c:pt>
                <c:pt idx="9">
                  <c:v>37209.410293726316</c:v>
                </c:pt>
                <c:pt idx="10">
                  <c:v>35718.479407027466</c:v>
                </c:pt>
              </c:numCache>
            </c:numRef>
          </c:yVal>
          <c:smooth val="1"/>
          <c:extLst>
            <c:ext xmlns:c16="http://schemas.microsoft.com/office/drawing/2014/chart" uri="{C3380CC4-5D6E-409C-BE32-E72D297353CC}">
              <c16:uniqueId val="{00000009-8BFB-4FA4-A51C-403CE3BED736}"/>
            </c:ext>
          </c:extLst>
        </c:ser>
        <c:ser>
          <c:idx val="10"/>
          <c:order val="10"/>
          <c:tx>
            <c:strRef>
              <c:f>'Sensitivity Analysis of PED'!$N$22</c:f>
              <c:strCache>
                <c:ptCount val="1"/>
                <c:pt idx="0">
                  <c:v>-1.38</c:v>
                </c:pt>
              </c:strCache>
            </c:strRef>
          </c:tx>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xVal>
            <c:numRef>
              <c:f>'Sensitivity Analysis of PED'!$C$23:$C$33</c:f>
              <c:numCache>
                <c:formatCode>0.00</c:formatCode>
                <c:ptCount val="11"/>
                <c:pt idx="0">
                  <c:v>78.75</c:v>
                </c:pt>
                <c:pt idx="1">
                  <c:v>75.599999999999994</c:v>
                </c:pt>
                <c:pt idx="2">
                  <c:v>72.45</c:v>
                </c:pt>
                <c:pt idx="3">
                  <c:v>69.3</c:v>
                </c:pt>
                <c:pt idx="4">
                  <c:v>66.150000000000006</c:v>
                </c:pt>
                <c:pt idx="5">
                  <c:v>63</c:v>
                </c:pt>
                <c:pt idx="6">
                  <c:v>59.85</c:v>
                </c:pt>
                <c:pt idx="7">
                  <c:v>56.7</c:v>
                </c:pt>
                <c:pt idx="8">
                  <c:v>53.55</c:v>
                </c:pt>
                <c:pt idx="9">
                  <c:v>50.4</c:v>
                </c:pt>
                <c:pt idx="10">
                  <c:v>47.25</c:v>
                </c:pt>
              </c:numCache>
            </c:numRef>
          </c:xVal>
          <c:yVal>
            <c:numRef>
              <c:f>'Sensitivity Analysis of PED'!$N$23:$N$33</c:f>
              <c:numCache>
                <c:formatCode>"$"#,##0.00</c:formatCode>
                <c:ptCount val="11"/>
                <c:pt idx="0">
                  <c:v>28481.262940727771</c:v>
                </c:pt>
                <c:pt idx="1">
                  <c:v>31782.804469193499</c:v>
                </c:pt>
                <c:pt idx="2">
                  <c:v>34311.149724494004</c:v>
                </c:pt>
                <c:pt idx="3">
                  <c:v>36129.618846051686</c:v>
                </c:pt>
                <c:pt idx="4">
                  <c:v>37297.396402689206</c:v>
                </c:pt>
                <c:pt idx="5">
                  <c:v>37869.769319999999</c:v>
                </c:pt>
                <c:pt idx="6">
                  <c:v>37898.352183650073</c:v>
                </c:pt>
                <c:pt idx="7">
                  <c:v>37431.300551884728</c:v>
                </c:pt>
                <c:pt idx="8">
                  <c:v>36513.512880026748</c:v>
                </c:pt>
                <c:pt idx="9">
                  <c:v>35186.821630688362</c:v>
                </c:pt>
                <c:pt idx="10">
                  <c:v>33490.174115712063</c:v>
                </c:pt>
              </c:numCache>
            </c:numRef>
          </c:yVal>
          <c:smooth val="1"/>
          <c:extLst>
            <c:ext xmlns:c16="http://schemas.microsoft.com/office/drawing/2014/chart" uri="{C3380CC4-5D6E-409C-BE32-E72D297353CC}">
              <c16:uniqueId val="{0000000A-8BFB-4FA4-A51C-403CE3BED736}"/>
            </c:ext>
          </c:extLst>
        </c:ser>
        <c:dLbls>
          <c:showLegendKey val="0"/>
          <c:showVal val="0"/>
          <c:showCatName val="0"/>
          <c:showSerName val="0"/>
          <c:showPercent val="0"/>
          <c:showBubbleSize val="0"/>
        </c:dLbls>
        <c:axId val="721808960"/>
        <c:axId val="721809616"/>
      </c:scatterChart>
      <c:valAx>
        <c:axId val="721808960"/>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809616"/>
        <c:crosses val="autoZero"/>
        <c:crossBetween val="midCat"/>
      </c:valAx>
      <c:valAx>
        <c:axId val="721809616"/>
        <c:scaling>
          <c:orientation val="minMax"/>
        </c:scaling>
        <c:delete val="0"/>
        <c:axPos val="l"/>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808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Sensitivity</a:t>
            </a:r>
            <a:r>
              <a:rPr lang="en-SG" baseline="0"/>
              <a:t> Analysis (50 ml)</a:t>
            </a:r>
            <a:endParaRPr lang="en-S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'Sensitivity Analysis of PED'!$R$22</c:f>
              <c:strCache>
                <c:ptCount val="1"/>
                <c:pt idx="0">
                  <c:v>-2.16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PED'!$R$23:$R$33</c:f>
              <c:numCache>
                <c:formatCode>"$"#,##0.00</c:formatCode>
                <c:ptCount val="11"/>
                <c:pt idx="0">
                  <c:v>35212.58815799412</c:v>
                </c:pt>
                <c:pt idx="1">
                  <c:v>42509.281452020572</c:v>
                </c:pt>
                <c:pt idx="2">
                  <c:v>48304.81497898353</c:v>
                </c:pt>
                <c:pt idx="3">
                  <c:v>52722.323370612488</c:v>
                </c:pt>
                <c:pt idx="4">
                  <c:v>55876.892690275701</c:v>
                </c:pt>
                <c:pt idx="5">
                  <c:v>57876.023699999998</c:v>
                </c:pt>
                <c:pt idx="6">
                  <c:v>58820.070539638866</c:v>
                </c:pt>
                <c:pt idx="7">
                  <c:v>58802.656051883154</c:v>
                </c:pt>
                <c:pt idx="8">
                  <c:v>57911.064927406886</c:v>
                </c:pt>
                <c:pt idx="9">
                  <c:v>56226.615787810792</c:v>
                </c:pt>
                <c:pt idx="10">
                  <c:v>53825.013270041636</c:v>
                </c:pt>
              </c:numCache>
            </c:numRef>
          </c:yVal>
          <c:smooth val="0"/>
          <c:extLst>
            <c:ext xmlns:c16="http://schemas.microsoft.com/office/drawing/2014/chart" uri="{C3380CC4-5D6E-409C-BE32-E72D297353CC}">
              <c16:uniqueId val="{00000000-3A69-4AFF-BA57-B69074C13512}"/>
            </c:ext>
          </c:extLst>
        </c:ser>
        <c:ser>
          <c:idx val="1"/>
          <c:order val="1"/>
          <c:tx>
            <c:strRef>
              <c:f>'Sensitivity Analysis of PED'!$S$22</c:f>
              <c:strCache>
                <c:ptCount val="1"/>
                <c:pt idx="0">
                  <c:v>-2.06</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PED'!$S$23:$S$33</c:f>
              <c:numCache>
                <c:formatCode>"$"#,##0.00</c:formatCode>
                <c:ptCount val="11"/>
                <c:pt idx="0">
                  <c:v>26318.443605344706</c:v>
                </c:pt>
                <c:pt idx="1">
                  <c:v>35989.626417941938</c:v>
                </c:pt>
                <c:pt idx="2">
                  <c:v>43836.140151424988</c:v>
                </c:pt>
                <c:pt idx="3">
                  <c:v>50007.655720252413</c:v>
                </c:pt>
                <c:pt idx="4">
                  <c:v>54644.060953736291</c:v>
                </c:pt>
                <c:pt idx="5">
                  <c:v>57876.023699999998</c:v>
                </c:pt>
                <c:pt idx="6">
                  <c:v>59825.52504324881</c:v>
                </c:pt>
                <c:pt idx="7">
                  <c:v>60606.364133916191</c:v>
                </c:pt>
                <c:pt idx="8">
                  <c:v>60324.636059045748</c:v>
                </c:pt>
                <c:pt idx="9">
                  <c:v>59079.184111434559</c:v>
                </c:pt>
                <c:pt idx="10">
                  <c:v>56962.027750445435</c:v>
                </c:pt>
              </c:numCache>
            </c:numRef>
          </c:yVal>
          <c:smooth val="0"/>
          <c:extLst>
            <c:ext xmlns:c16="http://schemas.microsoft.com/office/drawing/2014/chart" uri="{C3380CC4-5D6E-409C-BE32-E72D297353CC}">
              <c16:uniqueId val="{00000001-3A69-4AFF-BA57-B69074C13512}"/>
            </c:ext>
          </c:extLst>
        </c:ser>
        <c:ser>
          <c:idx val="2"/>
          <c:order val="2"/>
          <c:tx>
            <c:strRef>
              <c:f>'Sensitivity Analysis of PED'!$T$22</c:f>
              <c:strCache>
                <c:ptCount val="1"/>
                <c:pt idx="0">
                  <c:v>-1.96</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PED'!$T$23:$T$33</c:f>
              <c:numCache>
                <c:formatCode>"$"#,##0.00</c:formatCode>
                <c:ptCount val="11"/>
                <c:pt idx="0">
                  <c:v>18411.172855424658</c:v>
                </c:pt>
                <c:pt idx="1">
                  <c:v>30193.377296357532</c:v>
                </c:pt>
                <c:pt idx="2">
                  <c:v>39863.299194580846</c:v>
                </c:pt>
                <c:pt idx="3">
                  <c:v>47594.2013424447</c:v>
                </c:pt>
                <c:pt idx="4">
                  <c:v>53548.021388356472</c:v>
                </c:pt>
                <c:pt idx="5">
                  <c:v>57876.023699999998</c:v>
                </c:pt>
                <c:pt idx="6">
                  <c:v>60719.416629978405</c:v>
                </c:pt>
                <c:pt idx="7">
                  <c:v>62209.936919812229</c:v>
                </c:pt>
                <c:pt idx="8">
                  <c:v>62470.402894640327</c:v>
                </c:pt>
                <c:pt idx="9">
                  <c:v>61615.238021286947</c:v>
                </c:pt>
                <c:pt idx="10">
                  <c:v>59750.966326396891</c:v>
                </c:pt>
              </c:numCache>
            </c:numRef>
          </c:yVal>
          <c:smooth val="0"/>
          <c:extLst>
            <c:ext xmlns:c16="http://schemas.microsoft.com/office/drawing/2014/chart" uri="{C3380CC4-5D6E-409C-BE32-E72D297353CC}">
              <c16:uniqueId val="{00000002-3A69-4AFF-BA57-B69074C13512}"/>
            </c:ext>
          </c:extLst>
        </c:ser>
        <c:ser>
          <c:idx val="3"/>
          <c:order val="3"/>
          <c:tx>
            <c:strRef>
              <c:f>'Sensitivity Analysis of PED'!$U$22</c:f>
              <c:strCache>
                <c:ptCount val="1"/>
                <c:pt idx="0">
                  <c:v>-1.86</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PED'!$U$23:$U$33</c:f>
              <c:numCache>
                <c:formatCode>"$"#,##0.00</c:formatCode>
                <c:ptCount val="11"/>
                <c:pt idx="0">
                  <c:v>12458.756893855683</c:v>
                </c:pt>
                <c:pt idx="1">
                  <c:v>25830.091039984174</c:v>
                </c:pt>
                <c:pt idx="2">
                  <c:v>36872.633682775384</c:v>
                </c:pt>
                <c:pt idx="3">
                  <c:v>45777.407050795278</c:v>
                </c:pt>
                <c:pt idx="4">
                  <c:v>52722.947401413025</c:v>
                </c:pt>
                <c:pt idx="5">
                  <c:v>57876.023699999998</c:v>
                </c:pt>
                <c:pt idx="6">
                  <c:v>61392.318155301196</c:v>
                </c:pt>
                <c:pt idx="7">
                  <c:v>63417.070524842988</c:v>
                </c:pt>
                <c:pt idx="8">
                  <c:v>64085.688012090955</c:v>
                </c:pt>
                <c:pt idx="9">
                  <c:v>63524.322489218852</c:v>
                </c:pt>
                <c:pt idx="10">
                  <c:v>61850.416695602587</c:v>
                </c:pt>
              </c:numCache>
            </c:numRef>
          </c:yVal>
          <c:smooth val="0"/>
          <c:extLst>
            <c:ext xmlns:c16="http://schemas.microsoft.com/office/drawing/2014/chart" uri="{C3380CC4-5D6E-409C-BE32-E72D297353CC}">
              <c16:uniqueId val="{00000003-3A69-4AFF-BA57-B69074C13512}"/>
            </c:ext>
          </c:extLst>
        </c:ser>
        <c:ser>
          <c:idx val="4"/>
          <c:order val="4"/>
          <c:tx>
            <c:strRef>
              <c:f>'Sensitivity Analysis of PED'!$V$22</c:f>
              <c:strCache>
                <c:ptCount val="1"/>
                <c:pt idx="0">
                  <c:v>-1.78</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PED'!$V$23:$V$33</c:f>
              <c:numCache>
                <c:formatCode>"$"#,##0.00</c:formatCode>
                <c:ptCount val="11"/>
                <c:pt idx="0">
                  <c:v>9257.5185535484597</c:v>
                </c:pt>
                <c:pt idx="1">
                  <c:v>23483.494406983373</c:v>
                </c:pt>
                <c:pt idx="2">
                  <c:v>35264.239181914149</c:v>
                </c:pt>
                <c:pt idx="3">
                  <c:v>44800.326218335045</c:v>
                </c:pt>
                <c:pt idx="4">
                  <c:v>52279.218586483672</c:v>
                </c:pt>
                <c:pt idx="5">
                  <c:v>57876.023699999998</c:v>
                </c:pt>
                <c:pt idx="6">
                  <c:v>61754.207878066256</c:v>
                </c:pt>
                <c:pt idx="7">
                  <c:v>64066.272866085128</c:v>
                </c:pt>
                <c:pt idx="8">
                  <c:v>64954.396227695514</c:v>
                </c:pt>
                <c:pt idx="9">
                  <c:v>64551.037428679796</c:v>
                </c:pt>
                <c:pt idx="10">
                  <c:v>62979.511345382707</c:v>
                </c:pt>
              </c:numCache>
            </c:numRef>
          </c:yVal>
          <c:smooth val="0"/>
          <c:extLst>
            <c:ext xmlns:c16="http://schemas.microsoft.com/office/drawing/2014/chart" uri="{C3380CC4-5D6E-409C-BE32-E72D297353CC}">
              <c16:uniqueId val="{00000004-3A69-4AFF-BA57-B69074C13512}"/>
            </c:ext>
          </c:extLst>
        </c:ser>
        <c:ser>
          <c:idx val="5"/>
          <c:order val="5"/>
          <c:tx>
            <c:strRef>
              <c:f>'Sensitivity Analysis of PED'!$W$22</c:f>
              <c:strCache>
                <c:ptCount val="1"/>
                <c:pt idx="0">
                  <c:v>-1.69</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PED'!$W$23:$W$33</c:f>
              <c:numCache>
                <c:formatCode>"$"#,##0.00</c:formatCode>
                <c:ptCount val="11"/>
                <c:pt idx="0">
                  <c:v>9257.5185535484597</c:v>
                </c:pt>
                <c:pt idx="1">
                  <c:v>23483.494406983373</c:v>
                </c:pt>
                <c:pt idx="2">
                  <c:v>35264.239181914149</c:v>
                </c:pt>
                <c:pt idx="3">
                  <c:v>44800.326218335045</c:v>
                </c:pt>
                <c:pt idx="4">
                  <c:v>52279.218586483672</c:v>
                </c:pt>
                <c:pt idx="5">
                  <c:v>57876.023699999998</c:v>
                </c:pt>
                <c:pt idx="6">
                  <c:v>61754.207878066256</c:v>
                </c:pt>
                <c:pt idx="7">
                  <c:v>64066.272866085128</c:v>
                </c:pt>
                <c:pt idx="8">
                  <c:v>64954.396227695514</c:v>
                </c:pt>
                <c:pt idx="9">
                  <c:v>64551.037428679796</c:v>
                </c:pt>
                <c:pt idx="10">
                  <c:v>62979.511345382707</c:v>
                </c:pt>
              </c:numCache>
            </c:numRef>
          </c:yVal>
          <c:smooth val="0"/>
          <c:extLst>
            <c:ext xmlns:c16="http://schemas.microsoft.com/office/drawing/2014/chart" uri="{C3380CC4-5D6E-409C-BE32-E72D297353CC}">
              <c16:uniqueId val="{00000005-3A69-4AFF-BA57-B69074C13512}"/>
            </c:ext>
          </c:extLst>
        </c:ser>
        <c:ser>
          <c:idx val="6"/>
          <c:order val="6"/>
          <c:tx>
            <c:strRef>
              <c:f>'Sensitivity Analysis of PED'!$X$22</c:f>
              <c:strCache>
                <c:ptCount val="1"/>
                <c:pt idx="0">
                  <c:v>-1.61</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PED'!$X$23:$X$33</c:f>
              <c:numCache>
                <c:formatCode>"$"#,##0.00</c:formatCode>
                <c:ptCount val="11"/>
                <c:pt idx="0">
                  <c:v>12618.81881087104</c:v>
                </c:pt>
                <c:pt idx="1">
                  <c:v>25947.420871634211</c:v>
                </c:pt>
                <c:pt idx="2">
                  <c:v>36953.053407818443</c:v>
                </c:pt>
                <c:pt idx="3">
                  <c:v>45826.261092418288</c:v>
                </c:pt>
                <c:pt idx="4">
                  <c:v>52745.133842159485</c:v>
                </c:pt>
                <c:pt idx="5">
                  <c:v>57876.023699999998</c:v>
                </c:pt>
                <c:pt idx="6">
                  <c:v>61374.22366916293</c:v>
                </c:pt>
                <c:pt idx="7">
                  <c:v>63384.610407780885</c:v>
                </c:pt>
                <c:pt idx="8">
                  <c:v>64042.252601310742</c:v>
                </c:pt>
                <c:pt idx="9">
                  <c:v>63472.986742245805</c:v>
                </c:pt>
                <c:pt idx="10">
                  <c:v>61793.961963113565</c:v>
                </c:pt>
              </c:numCache>
            </c:numRef>
          </c:yVal>
          <c:smooth val="0"/>
          <c:extLst>
            <c:ext xmlns:c16="http://schemas.microsoft.com/office/drawing/2014/chart" uri="{C3380CC4-5D6E-409C-BE32-E72D297353CC}">
              <c16:uniqueId val="{00000006-3A69-4AFF-BA57-B69074C13512}"/>
            </c:ext>
          </c:extLst>
        </c:ser>
        <c:ser>
          <c:idx val="7"/>
          <c:order val="7"/>
          <c:tx>
            <c:strRef>
              <c:f>'Sensitivity Analysis of PED'!$Y$22</c:f>
              <c:strCache>
                <c:ptCount val="1"/>
                <c:pt idx="0">
                  <c:v>-1.53</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PED'!$Y$23:$Y$33</c:f>
              <c:numCache>
                <c:formatCode>"$"#,##0.00</c:formatCode>
                <c:ptCount val="11"/>
                <c:pt idx="0">
                  <c:v>18845.627537561122</c:v>
                </c:pt>
                <c:pt idx="1">
                  <c:v>30511.844647399881</c:v>
                </c:pt>
                <c:pt idx="2">
                  <c:v>40081.581761306144</c:v>
                </c:pt>
                <c:pt idx="3">
                  <c:v>47726.805446657512</c:v>
                </c:pt>
                <c:pt idx="4">
                  <c:v>53608.24185329894</c:v>
                </c:pt>
                <c:pt idx="5">
                  <c:v>57876.023699999998</c:v>
                </c:pt>
                <c:pt idx="6">
                  <c:v>60670.302922169547</c:v>
                </c:pt>
                <c:pt idx="7">
                  <c:v>62121.830703772241</c:v>
                </c:pt>
                <c:pt idx="8">
                  <c:v>62352.506533432934</c:v>
                </c:pt>
                <c:pt idx="9">
                  <c:v>61475.897845626823</c:v>
                </c:pt>
                <c:pt idx="10">
                  <c:v>59597.731732460001</c:v>
                </c:pt>
              </c:numCache>
            </c:numRef>
          </c:yVal>
          <c:smooth val="0"/>
          <c:extLst>
            <c:ext xmlns:c16="http://schemas.microsoft.com/office/drawing/2014/chart" uri="{C3380CC4-5D6E-409C-BE32-E72D297353CC}">
              <c16:uniqueId val="{00000007-3A69-4AFF-BA57-B69074C13512}"/>
            </c:ext>
          </c:extLst>
        </c:ser>
        <c:ser>
          <c:idx val="8"/>
          <c:order val="8"/>
          <c:tx>
            <c:strRef>
              <c:f>'Sensitivity Analysis of PED'!$Z$22</c:f>
              <c:strCache>
                <c:ptCount val="1"/>
                <c:pt idx="0">
                  <c:v>-1.45</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PED'!$Z$23:$Z$33</c:f>
              <c:numCache>
                <c:formatCode>"$"#,##0.00</c:formatCode>
                <c:ptCount val="11"/>
                <c:pt idx="0">
                  <c:v>27066.232477728972</c:v>
                </c:pt>
                <c:pt idx="1">
                  <c:v>36537.776434776977</c:v>
                </c:pt>
                <c:pt idx="2">
                  <c:v>44211.850855312361</c:v>
                </c:pt>
                <c:pt idx="3">
                  <c:v>50235.895575040486</c:v>
                </c:pt>
                <c:pt idx="4">
                  <c:v>54747.713176684687</c:v>
                </c:pt>
                <c:pt idx="5">
                  <c:v>57876.023699999998</c:v>
                </c:pt>
                <c:pt idx="6">
                  <c:v>59740.989910607612</c:v>
                </c:pt>
                <c:pt idx="7">
                  <c:v>60454.714604859226</c:v>
                </c:pt>
                <c:pt idx="8">
                  <c:v>60121.711356814558</c:v>
                </c:pt>
                <c:pt idx="9">
                  <c:v>58839.3500456068</c:v>
                </c:pt>
                <c:pt idx="10">
                  <c:v>56698.278436830398</c:v>
                </c:pt>
              </c:numCache>
            </c:numRef>
          </c:yVal>
          <c:smooth val="0"/>
          <c:extLst>
            <c:ext xmlns:c16="http://schemas.microsoft.com/office/drawing/2014/chart" uri="{C3380CC4-5D6E-409C-BE32-E72D297353CC}">
              <c16:uniqueId val="{00000008-3A69-4AFF-BA57-B69074C13512}"/>
            </c:ext>
          </c:extLst>
        </c:ser>
        <c:ser>
          <c:idx val="9"/>
          <c:order val="9"/>
          <c:tx>
            <c:strRef>
              <c:f>'Sensitivity Analysis of PED'!$AA$22</c:f>
              <c:strCache>
                <c:ptCount val="1"/>
                <c:pt idx="0">
                  <c:v>-1.38</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PED'!$AA$23:$AA$33</c:f>
              <c:numCache>
                <c:formatCode>"$"#,##0.00</c:formatCode>
                <c:ptCount val="11"/>
                <c:pt idx="0">
                  <c:v>36232.831141390117</c:v>
                </c:pt>
                <c:pt idx="1">
                  <c:v>43257.147900930446</c:v>
                </c:pt>
                <c:pt idx="2">
                  <c:v>48817.414488796639</c:v>
                </c:pt>
                <c:pt idx="3">
                  <c:v>53033.721572669703</c:v>
                </c:pt>
                <c:pt idx="4">
                  <c:v>56018.310217443912</c:v>
                </c:pt>
                <c:pt idx="5">
                  <c:v>57876.023699999998</c:v>
                </c:pt>
                <c:pt idx="6">
                  <c:v>58704.735343953726</c:v>
                </c:pt>
                <c:pt idx="7">
                  <c:v>58595.753577575982</c:v>
                </c:pt>
                <c:pt idx="8">
                  <c:v>57634.205360148306</c:v>
                </c:pt>
                <c:pt idx="9">
                  <c:v>55899.399066786405</c:v>
                </c:pt>
                <c:pt idx="10">
                  <c:v>53465.167869115459</c:v>
                </c:pt>
              </c:numCache>
            </c:numRef>
          </c:yVal>
          <c:smooth val="0"/>
          <c:extLst>
            <c:ext xmlns:c16="http://schemas.microsoft.com/office/drawing/2014/chart" uri="{C3380CC4-5D6E-409C-BE32-E72D297353CC}">
              <c16:uniqueId val="{00000009-3A69-4AFF-BA57-B69074C13512}"/>
            </c:ext>
          </c:extLst>
        </c:ser>
        <c:ser>
          <c:idx val="10"/>
          <c:order val="10"/>
          <c:tx>
            <c:strRef>
              <c:f>'Sensitivity Analysis of PED'!$AB$22</c:f>
              <c:strCache>
                <c:ptCount val="1"/>
                <c:pt idx="0">
                  <c:v>-1.31</c:v>
                </c:pt>
              </c:strCache>
            </c:strRef>
          </c:tx>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xVal>
            <c:numRef>
              <c:f>'Sensitivity Analysis of PED'!$Q$23:$Q$33</c:f>
              <c:numCache>
                <c:formatCode>0.00</c:formatCode>
                <c:ptCount val="11"/>
                <c:pt idx="0">
                  <c:v>112.5</c:v>
                </c:pt>
                <c:pt idx="1">
                  <c:v>108</c:v>
                </c:pt>
                <c:pt idx="2">
                  <c:v>103.49999999999999</c:v>
                </c:pt>
                <c:pt idx="3">
                  <c:v>99.000000000000014</c:v>
                </c:pt>
                <c:pt idx="4">
                  <c:v>94.5</c:v>
                </c:pt>
                <c:pt idx="5">
                  <c:v>90</c:v>
                </c:pt>
                <c:pt idx="6">
                  <c:v>85.5</c:v>
                </c:pt>
                <c:pt idx="7">
                  <c:v>81</c:v>
                </c:pt>
                <c:pt idx="8">
                  <c:v>76.5</c:v>
                </c:pt>
                <c:pt idx="9">
                  <c:v>72</c:v>
                </c:pt>
                <c:pt idx="10">
                  <c:v>67.5</c:v>
                </c:pt>
              </c:numCache>
            </c:numRef>
          </c:xVal>
          <c:yVal>
            <c:numRef>
              <c:f>'Sensitivity Analysis of PED'!$AB$23:$AB$33</c:f>
              <c:numCache>
                <c:formatCode>"$"#,##0.00</c:formatCode>
                <c:ptCount val="11"/>
                <c:pt idx="0">
                  <c:v>45338.305076974575</c:v>
                </c:pt>
                <c:pt idx="1">
                  <c:v>49931.713243374907</c:v>
                </c:pt>
                <c:pt idx="2">
                  <c:v>53392.267295390171</c:v>
                </c:pt>
                <c:pt idx="3">
                  <c:v>55812.891102443624</c:v>
                </c:pt>
                <c:pt idx="4">
                  <c:v>57280.434660955099</c:v>
                </c:pt>
                <c:pt idx="5">
                  <c:v>57876.023699999998</c:v>
                </c:pt>
                <c:pt idx="6">
                  <c:v>57675.390731681924</c:v>
                </c:pt>
                <c:pt idx="7">
                  <c:v>56749.188477230004</c:v>
                </c:pt>
                <c:pt idx="8">
                  <c:v>55163.286555003622</c:v>
                </c:pt>
                <c:pt idx="9">
                  <c:v>52979.052273851383</c:v>
                </c:pt>
                <c:pt idx="10">
                  <c:v>50253.61633453206</c:v>
                </c:pt>
              </c:numCache>
            </c:numRef>
          </c:yVal>
          <c:smooth val="0"/>
          <c:extLst>
            <c:ext xmlns:c16="http://schemas.microsoft.com/office/drawing/2014/chart" uri="{C3380CC4-5D6E-409C-BE32-E72D297353CC}">
              <c16:uniqueId val="{0000000A-3A69-4AFF-BA57-B69074C13512}"/>
            </c:ext>
          </c:extLst>
        </c:ser>
        <c:dLbls>
          <c:showLegendKey val="0"/>
          <c:showVal val="0"/>
          <c:showCatName val="0"/>
          <c:showSerName val="0"/>
          <c:showPercent val="0"/>
          <c:showBubbleSize val="0"/>
        </c:dLbls>
        <c:axId val="529914648"/>
        <c:axId val="529915632"/>
      </c:scatterChart>
      <c:valAx>
        <c:axId val="529914648"/>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915632"/>
        <c:crosses val="autoZero"/>
        <c:crossBetween val="midCat"/>
      </c:valAx>
      <c:valAx>
        <c:axId val="529915632"/>
        <c:scaling>
          <c:orientation val="minMax"/>
        </c:scaling>
        <c:delete val="0"/>
        <c:axPos val="l"/>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9146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Perfume</a:t>
            </a:r>
            <a:r>
              <a:rPr lang="en-SG" baseline="0"/>
              <a:t> 30ml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2014</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Analysis'!$C$3:$N$3</c:f>
              <c:numCache>
                <c:formatCode>General</c:formatCode>
                <c:ptCount val="12"/>
                <c:pt idx="0">
                  <c:v>30</c:v>
                </c:pt>
                <c:pt idx="1">
                  <c:v>36</c:v>
                </c:pt>
                <c:pt idx="2">
                  <c:v>12</c:v>
                </c:pt>
                <c:pt idx="3">
                  <c:v>11</c:v>
                </c:pt>
                <c:pt idx="4">
                  <c:v>23</c:v>
                </c:pt>
                <c:pt idx="5">
                  <c:v>24</c:v>
                </c:pt>
                <c:pt idx="6">
                  <c:v>24</c:v>
                </c:pt>
                <c:pt idx="7">
                  <c:v>12</c:v>
                </c:pt>
                <c:pt idx="8">
                  <c:v>17</c:v>
                </c:pt>
                <c:pt idx="9">
                  <c:v>16</c:v>
                </c:pt>
                <c:pt idx="10">
                  <c:v>26</c:v>
                </c:pt>
                <c:pt idx="11">
                  <c:v>52</c:v>
                </c:pt>
              </c:numCache>
            </c:numRef>
          </c:yVal>
          <c:smooth val="0"/>
          <c:extLst>
            <c:ext xmlns:c16="http://schemas.microsoft.com/office/drawing/2014/chart" uri="{C3380CC4-5D6E-409C-BE32-E72D297353CC}">
              <c16:uniqueId val="{00000000-4C1D-4FC8-9360-4A3E21751459}"/>
            </c:ext>
          </c:extLst>
        </c:ser>
        <c:ser>
          <c:idx val="1"/>
          <c:order val="1"/>
          <c:tx>
            <c:v>2015</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Analysis'!$C$6:$N$6</c:f>
              <c:numCache>
                <c:formatCode>General</c:formatCode>
                <c:ptCount val="12"/>
                <c:pt idx="0">
                  <c:v>65</c:v>
                </c:pt>
                <c:pt idx="1">
                  <c:v>75</c:v>
                </c:pt>
                <c:pt idx="2">
                  <c:v>59</c:v>
                </c:pt>
                <c:pt idx="3">
                  <c:v>56</c:v>
                </c:pt>
                <c:pt idx="4">
                  <c:v>68</c:v>
                </c:pt>
                <c:pt idx="5">
                  <c:v>58</c:v>
                </c:pt>
                <c:pt idx="6">
                  <c:v>70</c:v>
                </c:pt>
                <c:pt idx="7">
                  <c:v>57</c:v>
                </c:pt>
                <c:pt idx="8">
                  <c:v>59</c:v>
                </c:pt>
                <c:pt idx="9">
                  <c:v>54</c:v>
                </c:pt>
                <c:pt idx="10">
                  <c:v>63</c:v>
                </c:pt>
                <c:pt idx="11">
                  <c:v>85</c:v>
                </c:pt>
              </c:numCache>
            </c:numRef>
          </c:yVal>
          <c:smooth val="0"/>
          <c:extLst>
            <c:ext xmlns:c16="http://schemas.microsoft.com/office/drawing/2014/chart" uri="{C3380CC4-5D6E-409C-BE32-E72D297353CC}">
              <c16:uniqueId val="{00000001-4C1D-4FC8-9360-4A3E21751459}"/>
            </c:ext>
          </c:extLst>
        </c:ser>
        <c:ser>
          <c:idx val="2"/>
          <c:order val="2"/>
          <c:tx>
            <c:v>2016</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Analysis'!$C$9:$N$9</c:f>
              <c:numCache>
                <c:formatCode>General</c:formatCode>
                <c:ptCount val="12"/>
                <c:pt idx="0">
                  <c:v>58</c:v>
                </c:pt>
                <c:pt idx="1">
                  <c:v>68</c:v>
                </c:pt>
                <c:pt idx="2">
                  <c:v>55</c:v>
                </c:pt>
                <c:pt idx="3">
                  <c:v>56</c:v>
                </c:pt>
                <c:pt idx="4">
                  <c:v>72</c:v>
                </c:pt>
                <c:pt idx="5">
                  <c:v>70</c:v>
                </c:pt>
                <c:pt idx="6">
                  <c:v>72</c:v>
                </c:pt>
                <c:pt idx="7">
                  <c:v>61</c:v>
                </c:pt>
                <c:pt idx="8">
                  <c:v>57</c:v>
                </c:pt>
                <c:pt idx="9">
                  <c:v>57</c:v>
                </c:pt>
                <c:pt idx="10">
                  <c:v>55</c:v>
                </c:pt>
                <c:pt idx="11">
                  <c:v>77</c:v>
                </c:pt>
              </c:numCache>
            </c:numRef>
          </c:yVal>
          <c:smooth val="0"/>
          <c:extLst>
            <c:ext xmlns:c16="http://schemas.microsoft.com/office/drawing/2014/chart" uri="{C3380CC4-5D6E-409C-BE32-E72D297353CC}">
              <c16:uniqueId val="{00000002-4C1D-4FC8-9360-4A3E21751459}"/>
            </c:ext>
          </c:extLst>
        </c:ser>
        <c:ser>
          <c:idx val="3"/>
          <c:order val="3"/>
          <c:tx>
            <c:v>2017</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Analysis'!$C$12:$N$12</c:f>
              <c:numCache>
                <c:formatCode>General</c:formatCode>
                <c:ptCount val="12"/>
                <c:pt idx="0">
                  <c:v>67</c:v>
                </c:pt>
                <c:pt idx="1">
                  <c:v>70</c:v>
                </c:pt>
                <c:pt idx="2">
                  <c:v>60</c:v>
                </c:pt>
                <c:pt idx="3">
                  <c:v>59</c:v>
                </c:pt>
                <c:pt idx="4">
                  <c:v>66</c:v>
                </c:pt>
                <c:pt idx="5">
                  <c:v>69</c:v>
                </c:pt>
                <c:pt idx="6">
                  <c:v>64</c:v>
                </c:pt>
                <c:pt idx="7">
                  <c:v>57</c:v>
                </c:pt>
                <c:pt idx="8">
                  <c:v>58</c:v>
                </c:pt>
                <c:pt idx="9">
                  <c:v>59</c:v>
                </c:pt>
                <c:pt idx="10">
                  <c:v>58</c:v>
                </c:pt>
                <c:pt idx="11">
                  <c:v>73</c:v>
                </c:pt>
              </c:numCache>
            </c:numRef>
          </c:yVal>
          <c:smooth val="0"/>
          <c:extLst>
            <c:ext xmlns:c16="http://schemas.microsoft.com/office/drawing/2014/chart" uri="{C3380CC4-5D6E-409C-BE32-E72D297353CC}">
              <c16:uniqueId val="{00000003-4C1D-4FC8-9360-4A3E21751459}"/>
            </c:ext>
          </c:extLst>
        </c:ser>
        <c:ser>
          <c:idx val="4"/>
          <c:order val="4"/>
          <c:tx>
            <c:v>2018</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Analysis'!$C$15:$N$15</c:f>
              <c:numCache>
                <c:formatCode>General</c:formatCode>
                <c:ptCount val="12"/>
                <c:pt idx="0">
                  <c:v>62</c:v>
                </c:pt>
                <c:pt idx="1">
                  <c:v>74</c:v>
                </c:pt>
                <c:pt idx="2">
                  <c:v>61</c:v>
                </c:pt>
                <c:pt idx="3">
                  <c:v>60</c:v>
                </c:pt>
                <c:pt idx="4">
                  <c:v>66</c:v>
                </c:pt>
                <c:pt idx="5">
                  <c:v>71</c:v>
                </c:pt>
                <c:pt idx="6">
                  <c:v>60</c:v>
                </c:pt>
                <c:pt idx="7">
                  <c:v>54</c:v>
                </c:pt>
                <c:pt idx="8">
                  <c:v>57</c:v>
                </c:pt>
                <c:pt idx="9">
                  <c:v>61</c:v>
                </c:pt>
                <c:pt idx="10">
                  <c:v>53</c:v>
                </c:pt>
                <c:pt idx="11">
                  <c:v>83</c:v>
                </c:pt>
              </c:numCache>
            </c:numRef>
          </c:yVal>
          <c:smooth val="0"/>
          <c:extLst>
            <c:ext xmlns:c16="http://schemas.microsoft.com/office/drawing/2014/chart" uri="{C3380CC4-5D6E-409C-BE32-E72D297353CC}">
              <c16:uniqueId val="{00000004-4C1D-4FC8-9360-4A3E21751459}"/>
            </c:ext>
          </c:extLst>
        </c:ser>
        <c:dLbls>
          <c:showLegendKey val="0"/>
          <c:showVal val="0"/>
          <c:showCatName val="0"/>
          <c:showSerName val="0"/>
          <c:showPercent val="0"/>
          <c:showBubbleSize val="0"/>
        </c:dLbls>
        <c:axId val="1815145263"/>
        <c:axId val="1829500751"/>
      </c:scatterChart>
      <c:valAx>
        <c:axId val="1815145263"/>
        <c:scaling>
          <c:orientation val="minMax"/>
          <c:max val="12"/>
          <c:min val="1"/>
        </c:scaling>
        <c:delete val="0"/>
        <c:axPos val="b"/>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500751"/>
        <c:crosses val="autoZero"/>
        <c:crossBetween val="midCat"/>
      </c:valAx>
      <c:valAx>
        <c:axId val="182950075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45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Perfume</a:t>
            </a:r>
            <a:r>
              <a:rPr lang="en-SG" baseline="0"/>
              <a:t> 50ml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2014</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Analysis'!$C$4:$N$4</c:f>
              <c:numCache>
                <c:formatCode>General</c:formatCode>
                <c:ptCount val="12"/>
                <c:pt idx="0">
                  <c:v>21</c:v>
                </c:pt>
                <c:pt idx="1">
                  <c:v>24</c:v>
                </c:pt>
                <c:pt idx="2">
                  <c:v>8</c:v>
                </c:pt>
                <c:pt idx="3">
                  <c:v>9</c:v>
                </c:pt>
                <c:pt idx="4">
                  <c:v>20</c:v>
                </c:pt>
                <c:pt idx="5">
                  <c:v>17</c:v>
                </c:pt>
                <c:pt idx="6">
                  <c:v>20</c:v>
                </c:pt>
                <c:pt idx="7">
                  <c:v>9</c:v>
                </c:pt>
                <c:pt idx="8">
                  <c:v>12</c:v>
                </c:pt>
                <c:pt idx="9">
                  <c:v>10</c:v>
                </c:pt>
                <c:pt idx="10">
                  <c:v>19</c:v>
                </c:pt>
                <c:pt idx="11">
                  <c:v>43</c:v>
                </c:pt>
              </c:numCache>
            </c:numRef>
          </c:yVal>
          <c:smooth val="0"/>
          <c:extLst>
            <c:ext xmlns:c16="http://schemas.microsoft.com/office/drawing/2014/chart" uri="{C3380CC4-5D6E-409C-BE32-E72D297353CC}">
              <c16:uniqueId val="{00000000-8349-4FAB-B0FC-2D081533EECF}"/>
            </c:ext>
          </c:extLst>
        </c:ser>
        <c:ser>
          <c:idx val="1"/>
          <c:order val="1"/>
          <c:tx>
            <c:v>2015</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Analysis'!$C$7:$N$7</c:f>
              <c:numCache>
                <c:formatCode>General</c:formatCode>
                <c:ptCount val="12"/>
                <c:pt idx="0">
                  <c:v>50</c:v>
                </c:pt>
                <c:pt idx="1">
                  <c:v>66</c:v>
                </c:pt>
                <c:pt idx="2">
                  <c:v>51</c:v>
                </c:pt>
                <c:pt idx="3">
                  <c:v>48</c:v>
                </c:pt>
                <c:pt idx="4">
                  <c:v>60</c:v>
                </c:pt>
                <c:pt idx="5">
                  <c:v>50</c:v>
                </c:pt>
                <c:pt idx="6">
                  <c:v>62</c:v>
                </c:pt>
                <c:pt idx="7">
                  <c:v>47</c:v>
                </c:pt>
                <c:pt idx="8">
                  <c:v>51</c:v>
                </c:pt>
                <c:pt idx="9">
                  <c:v>46</c:v>
                </c:pt>
                <c:pt idx="10">
                  <c:v>45</c:v>
                </c:pt>
                <c:pt idx="11">
                  <c:v>71</c:v>
                </c:pt>
              </c:numCache>
            </c:numRef>
          </c:yVal>
          <c:smooth val="0"/>
          <c:extLst>
            <c:ext xmlns:c16="http://schemas.microsoft.com/office/drawing/2014/chart" uri="{C3380CC4-5D6E-409C-BE32-E72D297353CC}">
              <c16:uniqueId val="{00000001-8349-4FAB-B0FC-2D081533EECF}"/>
            </c:ext>
          </c:extLst>
        </c:ser>
        <c:ser>
          <c:idx val="2"/>
          <c:order val="2"/>
          <c:tx>
            <c:v>2016</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Analysis'!$C$10:$N$10</c:f>
              <c:numCache>
                <c:formatCode>General</c:formatCode>
                <c:ptCount val="12"/>
                <c:pt idx="0">
                  <c:v>56</c:v>
                </c:pt>
                <c:pt idx="1">
                  <c:v>57</c:v>
                </c:pt>
                <c:pt idx="2">
                  <c:v>48</c:v>
                </c:pt>
                <c:pt idx="3">
                  <c:v>50</c:v>
                </c:pt>
                <c:pt idx="4">
                  <c:v>61</c:v>
                </c:pt>
                <c:pt idx="5">
                  <c:v>60</c:v>
                </c:pt>
                <c:pt idx="6">
                  <c:v>59</c:v>
                </c:pt>
                <c:pt idx="7">
                  <c:v>48</c:v>
                </c:pt>
                <c:pt idx="8">
                  <c:v>47</c:v>
                </c:pt>
                <c:pt idx="9">
                  <c:v>50</c:v>
                </c:pt>
                <c:pt idx="10">
                  <c:v>49</c:v>
                </c:pt>
                <c:pt idx="11">
                  <c:v>67</c:v>
                </c:pt>
              </c:numCache>
            </c:numRef>
          </c:yVal>
          <c:smooth val="0"/>
          <c:extLst>
            <c:ext xmlns:c16="http://schemas.microsoft.com/office/drawing/2014/chart" uri="{C3380CC4-5D6E-409C-BE32-E72D297353CC}">
              <c16:uniqueId val="{00000002-8349-4FAB-B0FC-2D081533EECF}"/>
            </c:ext>
          </c:extLst>
        </c:ser>
        <c:ser>
          <c:idx val="3"/>
          <c:order val="3"/>
          <c:tx>
            <c:v>2017</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Analysis'!$C$13:$N$13</c:f>
              <c:numCache>
                <c:formatCode>General</c:formatCode>
                <c:ptCount val="12"/>
                <c:pt idx="0">
                  <c:v>71</c:v>
                </c:pt>
                <c:pt idx="1">
                  <c:v>76</c:v>
                </c:pt>
                <c:pt idx="2">
                  <c:v>63</c:v>
                </c:pt>
                <c:pt idx="3">
                  <c:v>65</c:v>
                </c:pt>
                <c:pt idx="4">
                  <c:v>71</c:v>
                </c:pt>
                <c:pt idx="5">
                  <c:v>73</c:v>
                </c:pt>
                <c:pt idx="6">
                  <c:v>70</c:v>
                </c:pt>
                <c:pt idx="7">
                  <c:v>63</c:v>
                </c:pt>
                <c:pt idx="8">
                  <c:v>62</c:v>
                </c:pt>
                <c:pt idx="9">
                  <c:v>63</c:v>
                </c:pt>
                <c:pt idx="10">
                  <c:v>70</c:v>
                </c:pt>
                <c:pt idx="11">
                  <c:v>92</c:v>
                </c:pt>
              </c:numCache>
            </c:numRef>
          </c:yVal>
          <c:smooth val="0"/>
          <c:extLst>
            <c:ext xmlns:c16="http://schemas.microsoft.com/office/drawing/2014/chart" uri="{C3380CC4-5D6E-409C-BE32-E72D297353CC}">
              <c16:uniqueId val="{00000003-8349-4FAB-B0FC-2D081533EECF}"/>
            </c:ext>
          </c:extLst>
        </c:ser>
        <c:ser>
          <c:idx val="4"/>
          <c:order val="4"/>
          <c:tx>
            <c:v>2018</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Analysis'!$C$16:$N$16</c:f>
              <c:numCache>
                <c:formatCode>General</c:formatCode>
                <c:ptCount val="12"/>
                <c:pt idx="0">
                  <c:v>65</c:v>
                </c:pt>
                <c:pt idx="1">
                  <c:v>72</c:v>
                </c:pt>
                <c:pt idx="2">
                  <c:v>60</c:v>
                </c:pt>
                <c:pt idx="3">
                  <c:v>58</c:v>
                </c:pt>
                <c:pt idx="4">
                  <c:v>70</c:v>
                </c:pt>
                <c:pt idx="5">
                  <c:v>78</c:v>
                </c:pt>
                <c:pt idx="6">
                  <c:v>68</c:v>
                </c:pt>
                <c:pt idx="7">
                  <c:v>66</c:v>
                </c:pt>
                <c:pt idx="8">
                  <c:v>70</c:v>
                </c:pt>
                <c:pt idx="9">
                  <c:v>53</c:v>
                </c:pt>
                <c:pt idx="10">
                  <c:v>65</c:v>
                </c:pt>
                <c:pt idx="11">
                  <c:v>102</c:v>
                </c:pt>
              </c:numCache>
            </c:numRef>
          </c:yVal>
          <c:smooth val="0"/>
          <c:extLst>
            <c:ext xmlns:c16="http://schemas.microsoft.com/office/drawing/2014/chart" uri="{C3380CC4-5D6E-409C-BE32-E72D297353CC}">
              <c16:uniqueId val="{00000004-8349-4FAB-B0FC-2D081533EECF}"/>
            </c:ext>
          </c:extLst>
        </c:ser>
        <c:dLbls>
          <c:showLegendKey val="0"/>
          <c:showVal val="0"/>
          <c:showCatName val="0"/>
          <c:showSerName val="0"/>
          <c:showPercent val="0"/>
          <c:showBubbleSize val="0"/>
        </c:dLbls>
        <c:axId val="1815145263"/>
        <c:axId val="1829500751"/>
      </c:scatterChart>
      <c:valAx>
        <c:axId val="1815145263"/>
        <c:scaling>
          <c:orientation val="minMax"/>
          <c:max val="12"/>
          <c:min val="1"/>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500751"/>
        <c:crosses val="autoZero"/>
        <c:crossBetween val="midCat"/>
      </c:valAx>
      <c:valAx>
        <c:axId val="182950075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45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baseline="0"/>
              <a:t>Body Mist 100ml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2014</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Analysis'!$C$5:$N$5</c:f>
              <c:numCache>
                <c:formatCode>General</c:formatCode>
                <c:ptCount val="12"/>
                <c:pt idx="0">
                  <c:v>12</c:v>
                </c:pt>
                <c:pt idx="1">
                  <c:v>20</c:v>
                </c:pt>
                <c:pt idx="2">
                  <c:v>7</c:v>
                </c:pt>
                <c:pt idx="3">
                  <c:v>6</c:v>
                </c:pt>
                <c:pt idx="4">
                  <c:v>14</c:v>
                </c:pt>
                <c:pt idx="5">
                  <c:v>16</c:v>
                </c:pt>
                <c:pt idx="6">
                  <c:v>18</c:v>
                </c:pt>
                <c:pt idx="7">
                  <c:v>7</c:v>
                </c:pt>
                <c:pt idx="8">
                  <c:v>9</c:v>
                </c:pt>
                <c:pt idx="9">
                  <c:v>9</c:v>
                </c:pt>
                <c:pt idx="10">
                  <c:v>14</c:v>
                </c:pt>
                <c:pt idx="11">
                  <c:v>42</c:v>
                </c:pt>
              </c:numCache>
            </c:numRef>
          </c:yVal>
          <c:smooth val="0"/>
          <c:extLst>
            <c:ext xmlns:c16="http://schemas.microsoft.com/office/drawing/2014/chart" uri="{C3380CC4-5D6E-409C-BE32-E72D297353CC}">
              <c16:uniqueId val="{00000000-CB2C-4640-8664-253C8057C8AE}"/>
            </c:ext>
          </c:extLst>
        </c:ser>
        <c:ser>
          <c:idx val="1"/>
          <c:order val="1"/>
          <c:tx>
            <c:v>2015</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Analysis'!$C$8:$N$8</c:f>
              <c:numCache>
                <c:formatCode>General</c:formatCode>
                <c:ptCount val="12"/>
                <c:pt idx="0">
                  <c:v>23</c:v>
                </c:pt>
                <c:pt idx="1">
                  <c:v>28</c:v>
                </c:pt>
                <c:pt idx="2">
                  <c:v>19</c:v>
                </c:pt>
                <c:pt idx="3">
                  <c:v>18</c:v>
                </c:pt>
                <c:pt idx="4">
                  <c:v>26</c:v>
                </c:pt>
                <c:pt idx="5">
                  <c:v>28</c:v>
                </c:pt>
                <c:pt idx="6">
                  <c:v>30</c:v>
                </c:pt>
                <c:pt idx="7">
                  <c:v>17</c:v>
                </c:pt>
                <c:pt idx="8">
                  <c:v>16</c:v>
                </c:pt>
                <c:pt idx="9">
                  <c:v>20</c:v>
                </c:pt>
                <c:pt idx="10">
                  <c:v>21</c:v>
                </c:pt>
                <c:pt idx="11">
                  <c:v>35</c:v>
                </c:pt>
              </c:numCache>
            </c:numRef>
          </c:yVal>
          <c:smooth val="0"/>
          <c:extLst>
            <c:ext xmlns:c16="http://schemas.microsoft.com/office/drawing/2014/chart" uri="{C3380CC4-5D6E-409C-BE32-E72D297353CC}">
              <c16:uniqueId val="{00000001-CB2C-4640-8664-253C8057C8AE}"/>
            </c:ext>
          </c:extLst>
        </c:ser>
        <c:ser>
          <c:idx val="2"/>
          <c:order val="2"/>
          <c:tx>
            <c:v>2016</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Analysis'!$C$11:$N$11</c:f>
              <c:numCache>
                <c:formatCode>General</c:formatCode>
                <c:ptCount val="12"/>
                <c:pt idx="0">
                  <c:v>22</c:v>
                </c:pt>
                <c:pt idx="1">
                  <c:v>31</c:v>
                </c:pt>
                <c:pt idx="2">
                  <c:v>19</c:v>
                </c:pt>
                <c:pt idx="3">
                  <c:v>18</c:v>
                </c:pt>
                <c:pt idx="4">
                  <c:v>26</c:v>
                </c:pt>
                <c:pt idx="5">
                  <c:v>25</c:v>
                </c:pt>
                <c:pt idx="6">
                  <c:v>27</c:v>
                </c:pt>
                <c:pt idx="7">
                  <c:v>18</c:v>
                </c:pt>
                <c:pt idx="8">
                  <c:v>19</c:v>
                </c:pt>
                <c:pt idx="9">
                  <c:v>22</c:v>
                </c:pt>
                <c:pt idx="10">
                  <c:v>17</c:v>
                </c:pt>
                <c:pt idx="11">
                  <c:v>42</c:v>
                </c:pt>
              </c:numCache>
            </c:numRef>
          </c:yVal>
          <c:smooth val="0"/>
          <c:extLst>
            <c:ext xmlns:c16="http://schemas.microsoft.com/office/drawing/2014/chart" uri="{C3380CC4-5D6E-409C-BE32-E72D297353CC}">
              <c16:uniqueId val="{00000002-CB2C-4640-8664-253C8057C8AE}"/>
            </c:ext>
          </c:extLst>
        </c:ser>
        <c:ser>
          <c:idx val="3"/>
          <c:order val="3"/>
          <c:tx>
            <c:v>2017</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Analysis'!$C$14:$N$14</c:f>
              <c:numCache>
                <c:formatCode>General</c:formatCode>
                <c:ptCount val="12"/>
                <c:pt idx="0">
                  <c:v>29</c:v>
                </c:pt>
                <c:pt idx="1">
                  <c:v>32</c:v>
                </c:pt>
                <c:pt idx="2">
                  <c:v>22</c:v>
                </c:pt>
                <c:pt idx="3">
                  <c:v>20</c:v>
                </c:pt>
                <c:pt idx="4">
                  <c:v>22</c:v>
                </c:pt>
                <c:pt idx="5">
                  <c:v>25</c:v>
                </c:pt>
                <c:pt idx="6">
                  <c:v>19</c:v>
                </c:pt>
                <c:pt idx="7">
                  <c:v>15</c:v>
                </c:pt>
                <c:pt idx="8">
                  <c:v>21</c:v>
                </c:pt>
                <c:pt idx="9">
                  <c:v>22</c:v>
                </c:pt>
                <c:pt idx="10">
                  <c:v>16</c:v>
                </c:pt>
                <c:pt idx="11">
                  <c:v>39</c:v>
                </c:pt>
              </c:numCache>
            </c:numRef>
          </c:yVal>
          <c:smooth val="0"/>
          <c:extLst>
            <c:ext xmlns:c16="http://schemas.microsoft.com/office/drawing/2014/chart" uri="{C3380CC4-5D6E-409C-BE32-E72D297353CC}">
              <c16:uniqueId val="{00000003-CB2C-4640-8664-253C8057C8AE}"/>
            </c:ext>
          </c:extLst>
        </c:ser>
        <c:ser>
          <c:idx val="4"/>
          <c:order val="4"/>
          <c:tx>
            <c:v>2018</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strRef>
              <c:f>'Seasonality Analysis'!$C$2:$N$2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'Seasonality Analysis'!$C$17:$N$17</c:f>
              <c:numCache>
                <c:formatCode>General</c:formatCode>
                <c:ptCount val="12"/>
                <c:pt idx="0">
                  <c:v>23</c:v>
                </c:pt>
                <c:pt idx="1">
                  <c:v>34</c:v>
                </c:pt>
                <c:pt idx="2">
                  <c:v>17</c:v>
                </c:pt>
                <c:pt idx="3">
                  <c:v>13</c:v>
                </c:pt>
                <c:pt idx="4">
                  <c:v>26</c:v>
                </c:pt>
                <c:pt idx="5">
                  <c:v>28</c:v>
                </c:pt>
                <c:pt idx="6">
                  <c:v>24</c:v>
                </c:pt>
                <c:pt idx="7">
                  <c:v>22</c:v>
                </c:pt>
                <c:pt idx="8">
                  <c:v>20</c:v>
                </c:pt>
                <c:pt idx="9">
                  <c:v>21</c:v>
                </c:pt>
                <c:pt idx="10">
                  <c:v>20</c:v>
                </c:pt>
                <c:pt idx="11">
                  <c:v>47</c:v>
                </c:pt>
              </c:numCache>
            </c:numRef>
          </c:yVal>
          <c:smooth val="0"/>
          <c:extLst>
            <c:ext xmlns:c16="http://schemas.microsoft.com/office/drawing/2014/chart" uri="{C3380CC4-5D6E-409C-BE32-E72D297353CC}">
              <c16:uniqueId val="{00000004-CB2C-4640-8664-253C8057C8AE}"/>
            </c:ext>
          </c:extLst>
        </c:ser>
        <c:dLbls>
          <c:showLegendKey val="0"/>
          <c:showVal val="0"/>
          <c:showCatName val="0"/>
          <c:showSerName val="0"/>
          <c:showPercent val="0"/>
          <c:showBubbleSize val="0"/>
        </c:dLbls>
        <c:axId val="1815145263"/>
        <c:axId val="1829500751"/>
      </c:scatterChart>
      <c:valAx>
        <c:axId val="1815145263"/>
        <c:scaling>
          <c:orientation val="minMax"/>
          <c:max val="12"/>
          <c:min val="1"/>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500751"/>
        <c:crosses val="autoZero"/>
        <c:crossBetween val="midCat"/>
      </c:valAx>
      <c:valAx>
        <c:axId val="182950075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45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81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clustered"/>
        <c:varyColors val="0"/>
        <c:ser>
          <c:idx val="0"/>
          <c:order val="0"/>
          <c:tx>
            <c:v>Sum of Year</c:v>
          </c:tx>
          <c:spPr>
            <a:solidFill>
              <a:schemeClr val="accent1"/>
            </a:solidFill>
            <a:ln>
              <a:noFill/>
            </a:ln>
            <a:effectLst/>
          </c:spPr>
          <c:invertIfNegative val="0"/>
          <c:cat>
            <c:strLit>
              <c:ptCount val="1"/>
              <c:pt idx="0">
                <c:v>Perfume (30ml)</c:v>
              </c:pt>
            </c:strLit>
          </c:cat>
          <c:val>
            <c:numLit>
              <c:formatCode>General</c:formatCode>
              <c:ptCount val="1"/>
              <c:pt idx="0">
                <c:v>2014</c:v>
              </c:pt>
            </c:numLit>
          </c:val>
          <c:extLst>
            <c:ext xmlns:c16="http://schemas.microsoft.com/office/drawing/2014/chart" uri="{C3380CC4-5D6E-409C-BE32-E72D297353CC}">
              <c16:uniqueId val="{00000000-BD42-4A90-958E-D447E49C5BB6}"/>
            </c:ext>
          </c:extLst>
        </c:ser>
        <c:ser>
          <c:idx val="1"/>
          <c:order val="1"/>
          <c:tx>
            <c:v>Sum of Jan</c:v>
          </c:tx>
          <c:spPr>
            <a:solidFill>
              <a:schemeClr val="accent2"/>
            </a:solidFill>
            <a:ln>
              <a:noFill/>
            </a:ln>
            <a:effectLst/>
          </c:spPr>
          <c:invertIfNegative val="0"/>
          <c:cat>
            <c:strLit>
              <c:ptCount val="1"/>
              <c:pt idx="0">
                <c:v>Perfume (30ml)</c:v>
              </c:pt>
            </c:strLit>
          </c:cat>
          <c:val>
            <c:numLit>
              <c:formatCode>General</c:formatCode>
              <c:ptCount val="1"/>
              <c:pt idx="0">
                <c:v>30</c:v>
              </c:pt>
            </c:numLit>
          </c:val>
          <c:extLst>
            <c:ext xmlns:c16="http://schemas.microsoft.com/office/drawing/2014/chart" uri="{C3380CC4-5D6E-409C-BE32-E72D297353CC}">
              <c16:uniqueId val="{00000003-BD42-4A90-958E-D447E49C5BB6}"/>
            </c:ext>
          </c:extLst>
        </c:ser>
        <c:ser>
          <c:idx val="2"/>
          <c:order val="2"/>
          <c:tx>
            <c:v>Sum of Feb</c:v>
          </c:tx>
          <c:spPr>
            <a:solidFill>
              <a:schemeClr val="accent3"/>
            </a:solidFill>
            <a:ln>
              <a:noFill/>
            </a:ln>
            <a:effectLst/>
          </c:spPr>
          <c:invertIfNegative val="0"/>
          <c:cat>
            <c:strLit>
              <c:ptCount val="1"/>
              <c:pt idx="0">
                <c:v>Perfume (30ml)</c:v>
              </c:pt>
            </c:strLit>
          </c:cat>
          <c:val>
            <c:numLit>
              <c:formatCode>General</c:formatCode>
              <c:ptCount val="1"/>
              <c:pt idx="0">
                <c:v>36</c:v>
              </c:pt>
            </c:numLit>
          </c:val>
          <c:extLst>
            <c:ext xmlns:c16="http://schemas.microsoft.com/office/drawing/2014/chart" uri="{C3380CC4-5D6E-409C-BE32-E72D297353CC}">
              <c16:uniqueId val="{00000006-BD42-4A90-958E-D447E49C5BB6}"/>
            </c:ext>
          </c:extLst>
        </c:ser>
        <c:ser>
          <c:idx val="3"/>
          <c:order val="3"/>
          <c:tx>
            <c:v>Sum of Mar</c:v>
          </c:tx>
          <c:spPr>
            <a:solidFill>
              <a:schemeClr val="accent4"/>
            </a:solidFill>
            <a:ln>
              <a:noFill/>
            </a:ln>
            <a:effectLst/>
          </c:spPr>
          <c:invertIfNegative val="0"/>
          <c:cat>
            <c:strLit>
              <c:ptCount val="1"/>
              <c:pt idx="0">
                <c:v>Perfume (30ml)</c:v>
              </c:pt>
            </c:strLit>
          </c:cat>
          <c:val>
            <c:numLit>
              <c:formatCode>General</c:formatCode>
              <c:ptCount val="1"/>
              <c:pt idx="0">
                <c:v>12</c:v>
              </c:pt>
            </c:numLit>
          </c:val>
          <c:extLst>
            <c:ext xmlns:c16="http://schemas.microsoft.com/office/drawing/2014/chart" uri="{C3380CC4-5D6E-409C-BE32-E72D297353CC}">
              <c16:uniqueId val="{00000007-BD42-4A90-958E-D447E49C5BB6}"/>
            </c:ext>
          </c:extLst>
        </c:ser>
        <c:ser>
          <c:idx val="4"/>
          <c:order val="4"/>
          <c:tx>
            <c:v>Sum of Apr</c:v>
          </c:tx>
          <c:spPr>
            <a:solidFill>
              <a:schemeClr val="accent5"/>
            </a:solidFill>
            <a:ln>
              <a:noFill/>
            </a:ln>
            <a:effectLst/>
          </c:spPr>
          <c:invertIfNegative val="0"/>
          <c:cat>
            <c:strLit>
              <c:ptCount val="1"/>
              <c:pt idx="0">
                <c:v>Perfume (30ml)</c:v>
              </c:pt>
            </c:strLit>
          </c:cat>
          <c:val>
            <c:numLit>
              <c:formatCode>General</c:formatCode>
              <c:ptCount val="1"/>
              <c:pt idx="0">
                <c:v>11</c:v>
              </c:pt>
            </c:numLit>
          </c:val>
          <c:extLst>
            <c:ext xmlns:c16="http://schemas.microsoft.com/office/drawing/2014/chart" uri="{C3380CC4-5D6E-409C-BE32-E72D297353CC}">
              <c16:uniqueId val="{00000008-BD42-4A90-958E-D447E49C5BB6}"/>
            </c:ext>
          </c:extLst>
        </c:ser>
        <c:ser>
          <c:idx val="5"/>
          <c:order val="5"/>
          <c:tx>
            <c:v>Sum of May</c:v>
          </c:tx>
          <c:spPr>
            <a:solidFill>
              <a:schemeClr val="accent6"/>
            </a:solidFill>
            <a:ln>
              <a:noFill/>
            </a:ln>
            <a:effectLst/>
          </c:spPr>
          <c:invertIfNegative val="0"/>
          <c:cat>
            <c:strLit>
              <c:ptCount val="1"/>
              <c:pt idx="0">
                <c:v>Perfume (30ml)</c:v>
              </c:pt>
            </c:strLit>
          </c:cat>
          <c:val>
            <c:numLit>
              <c:formatCode>General</c:formatCode>
              <c:ptCount val="1"/>
              <c:pt idx="0">
                <c:v>23</c:v>
              </c:pt>
            </c:numLit>
          </c:val>
          <c:extLst>
            <c:ext xmlns:c16="http://schemas.microsoft.com/office/drawing/2014/chart" uri="{C3380CC4-5D6E-409C-BE32-E72D297353CC}">
              <c16:uniqueId val="{00000009-BD42-4A90-958E-D447E49C5BB6}"/>
            </c:ext>
          </c:extLst>
        </c:ser>
        <c:ser>
          <c:idx val="6"/>
          <c:order val="6"/>
          <c:tx>
            <c:v>Sum of Jun</c:v>
          </c:tx>
          <c:spPr>
            <a:solidFill>
              <a:schemeClr val="accent1">
                <a:lumMod val="60000"/>
              </a:schemeClr>
            </a:solidFill>
            <a:ln>
              <a:noFill/>
            </a:ln>
            <a:effectLst/>
          </c:spPr>
          <c:invertIfNegative val="0"/>
          <c:cat>
            <c:strLit>
              <c:ptCount val="1"/>
              <c:pt idx="0">
                <c:v>Perfume (30ml)</c:v>
              </c:pt>
            </c:strLit>
          </c:cat>
          <c:val>
            <c:numLit>
              <c:formatCode>General</c:formatCode>
              <c:ptCount val="1"/>
              <c:pt idx="0">
                <c:v>24</c:v>
              </c:pt>
            </c:numLit>
          </c:val>
          <c:extLst>
            <c:ext xmlns:c16="http://schemas.microsoft.com/office/drawing/2014/chart" uri="{C3380CC4-5D6E-409C-BE32-E72D297353CC}">
              <c16:uniqueId val="{0000000A-BD42-4A90-958E-D447E49C5BB6}"/>
            </c:ext>
          </c:extLst>
        </c:ser>
        <c:ser>
          <c:idx val="7"/>
          <c:order val="7"/>
          <c:tx>
            <c:v>Sum of Jul</c:v>
          </c:tx>
          <c:spPr>
            <a:solidFill>
              <a:schemeClr val="accent2">
                <a:lumMod val="60000"/>
              </a:schemeClr>
            </a:solidFill>
            <a:ln>
              <a:noFill/>
            </a:ln>
            <a:effectLst/>
          </c:spPr>
          <c:invertIfNegative val="0"/>
          <c:cat>
            <c:strLit>
              <c:ptCount val="1"/>
              <c:pt idx="0">
                <c:v>Perfume (30ml)</c:v>
              </c:pt>
            </c:strLit>
          </c:cat>
          <c:val>
            <c:numLit>
              <c:formatCode>General</c:formatCode>
              <c:ptCount val="1"/>
              <c:pt idx="0">
                <c:v>24</c:v>
              </c:pt>
            </c:numLit>
          </c:val>
          <c:extLst>
            <c:ext xmlns:c16="http://schemas.microsoft.com/office/drawing/2014/chart" uri="{C3380CC4-5D6E-409C-BE32-E72D297353CC}">
              <c16:uniqueId val="{0000000B-BD42-4A90-958E-D447E49C5BB6}"/>
            </c:ext>
          </c:extLst>
        </c:ser>
        <c:ser>
          <c:idx val="8"/>
          <c:order val="8"/>
          <c:tx>
            <c:v>Sum of Aug</c:v>
          </c:tx>
          <c:spPr>
            <a:solidFill>
              <a:schemeClr val="accent3">
                <a:lumMod val="60000"/>
              </a:schemeClr>
            </a:solidFill>
            <a:ln>
              <a:noFill/>
            </a:ln>
            <a:effectLst/>
          </c:spPr>
          <c:invertIfNegative val="0"/>
          <c:cat>
            <c:strLit>
              <c:ptCount val="1"/>
              <c:pt idx="0">
                <c:v>Perfume (30ml)</c:v>
              </c:pt>
            </c:strLit>
          </c:cat>
          <c:val>
            <c:numLit>
              <c:formatCode>General</c:formatCode>
              <c:ptCount val="1"/>
              <c:pt idx="0">
                <c:v>12</c:v>
              </c:pt>
            </c:numLit>
          </c:val>
          <c:extLst>
            <c:ext xmlns:c16="http://schemas.microsoft.com/office/drawing/2014/chart" uri="{C3380CC4-5D6E-409C-BE32-E72D297353CC}">
              <c16:uniqueId val="{0000000C-BD42-4A90-958E-D447E49C5BB6}"/>
            </c:ext>
          </c:extLst>
        </c:ser>
        <c:ser>
          <c:idx val="9"/>
          <c:order val="9"/>
          <c:tx>
            <c:v>Sum of Sep</c:v>
          </c:tx>
          <c:spPr>
            <a:solidFill>
              <a:schemeClr val="accent4">
                <a:lumMod val="60000"/>
              </a:schemeClr>
            </a:solidFill>
            <a:ln>
              <a:noFill/>
            </a:ln>
            <a:effectLst/>
          </c:spPr>
          <c:invertIfNegative val="0"/>
          <c:cat>
            <c:strLit>
              <c:ptCount val="1"/>
              <c:pt idx="0">
                <c:v>Perfume (30ml)</c:v>
              </c:pt>
            </c:strLit>
          </c:cat>
          <c:val>
            <c:numLit>
              <c:formatCode>General</c:formatCode>
              <c:ptCount val="1"/>
              <c:pt idx="0">
                <c:v>17</c:v>
              </c:pt>
            </c:numLit>
          </c:val>
          <c:extLst>
            <c:ext xmlns:c16="http://schemas.microsoft.com/office/drawing/2014/chart" uri="{C3380CC4-5D6E-409C-BE32-E72D297353CC}">
              <c16:uniqueId val="{0000000D-BD42-4A90-958E-D447E49C5BB6}"/>
            </c:ext>
          </c:extLst>
        </c:ser>
        <c:ser>
          <c:idx val="10"/>
          <c:order val="10"/>
          <c:tx>
            <c:v>Sum of Oct</c:v>
          </c:tx>
          <c:spPr>
            <a:solidFill>
              <a:schemeClr val="accent5">
                <a:lumMod val="60000"/>
              </a:schemeClr>
            </a:solidFill>
            <a:ln>
              <a:noFill/>
            </a:ln>
            <a:effectLst/>
          </c:spPr>
          <c:invertIfNegative val="0"/>
          <c:cat>
            <c:strLit>
              <c:ptCount val="1"/>
              <c:pt idx="0">
                <c:v>Perfume (30ml)</c:v>
              </c:pt>
            </c:strLit>
          </c:cat>
          <c:val>
            <c:numLit>
              <c:formatCode>General</c:formatCode>
              <c:ptCount val="1"/>
              <c:pt idx="0">
                <c:v>16</c:v>
              </c:pt>
            </c:numLit>
          </c:val>
          <c:extLst>
            <c:ext xmlns:c16="http://schemas.microsoft.com/office/drawing/2014/chart" uri="{C3380CC4-5D6E-409C-BE32-E72D297353CC}">
              <c16:uniqueId val="{0000000E-BD42-4A90-958E-D447E49C5BB6}"/>
            </c:ext>
          </c:extLst>
        </c:ser>
        <c:ser>
          <c:idx val="11"/>
          <c:order val="11"/>
          <c:tx>
            <c:v>Sum of Nov</c:v>
          </c:tx>
          <c:spPr>
            <a:solidFill>
              <a:schemeClr val="accent6">
                <a:lumMod val="60000"/>
              </a:schemeClr>
            </a:solidFill>
            <a:ln>
              <a:noFill/>
            </a:ln>
            <a:effectLst/>
          </c:spPr>
          <c:invertIfNegative val="0"/>
          <c:cat>
            <c:strLit>
              <c:ptCount val="1"/>
              <c:pt idx="0">
                <c:v>Perfume (30ml)</c:v>
              </c:pt>
            </c:strLit>
          </c:cat>
          <c:val>
            <c:numLit>
              <c:formatCode>General</c:formatCode>
              <c:ptCount val="1"/>
              <c:pt idx="0">
                <c:v>26</c:v>
              </c:pt>
            </c:numLit>
          </c:val>
          <c:extLst>
            <c:ext xmlns:c16="http://schemas.microsoft.com/office/drawing/2014/chart" uri="{C3380CC4-5D6E-409C-BE32-E72D297353CC}">
              <c16:uniqueId val="{0000000F-BD42-4A90-958E-D447E49C5BB6}"/>
            </c:ext>
          </c:extLst>
        </c:ser>
        <c:ser>
          <c:idx val="12"/>
          <c:order val="12"/>
          <c:tx>
            <c:v>Sum of Dec</c:v>
          </c:tx>
          <c:spPr>
            <a:solidFill>
              <a:schemeClr val="accent1">
                <a:lumMod val="80000"/>
                <a:lumOff val="20000"/>
              </a:schemeClr>
            </a:solidFill>
            <a:ln>
              <a:noFill/>
            </a:ln>
            <a:effectLst/>
          </c:spPr>
          <c:invertIfNegative val="0"/>
          <c:cat>
            <c:strLit>
              <c:ptCount val="1"/>
              <c:pt idx="0">
                <c:v>Perfume (30ml)</c:v>
              </c:pt>
            </c:strLit>
          </c:cat>
          <c:val>
            <c:numLit>
              <c:formatCode>General</c:formatCode>
              <c:ptCount val="1"/>
              <c:pt idx="0">
                <c:v>52</c:v>
              </c:pt>
            </c:numLit>
          </c:val>
          <c:extLst>
            <c:ext xmlns:c16="http://schemas.microsoft.com/office/drawing/2014/chart" uri="{C3380CC4-5D6E-409C-BE32-E72D297353CC}">
              <c16:uniqueId val="{00000010-BD42-4A90-958E-D447E49C5BB6}"/>
            </c:ext>
          </c:extLst>
        </c:ser>
        <c:dLbls>
          <c:showLegendKey val="0"/>
          <c:showVal val="0"/>
          <c:showCatName val="0"/>
          <c:showSerName val="0"/>
          <c:showPercent val="0"/>
          <c:showBubbleSize val="0"/>
        </c:dLbls>
        <c:gapWidth val="219"/>
        <c:overlap val="-27"/>
        <c:axId val="556419048"/>
        <c:axId val="556397400"/>
      </c:barChart>
      <c:catAx>
        <c:axId val="55641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97400"/>
        <c:crosses val="autoZero"/>
        <c:auto val="1"/>
        <c:lblAlgn val="ctr"/>
        <c:lblOffset val="100"/>
        <c:noMultiLvlLbl val="0"/>
      </c:catAx>
      <c:valAx>
        <c:axId val="556397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419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[CAT Project Group 8 (Final).xlsm]Seasonality Analysis!PivotTable6</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'Seasonality Analysis'!$T$3</c:f>
              <c:strCache>
                <c:ptCount val="1"/>
                <c:pt idx="0">
                  <c:v>Sum of Jan</c:v>
                </c:pt>
              </c:strCache>
            </c:strRef>
          </c:tx>
          <c:spPr>
            <a:solidFill>
              <a:schemeClr val="accent1"/>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Analysis'!$T$4:$T$7</c:f>
              <c:numCache>
                <c:formatCode>General</c:formatCode>
                <c:ptCount val="3"/>
                <c:pt idx="0">
                  <c:v>23</c:v>
                </c:pt>
                <c:pt idx="1">
                  <c:v>65</c:v>
                </c:pt>
                <c:pt idx="2">
                  <c:v>50</c:v>
                </c:pt>
              </c:numCache>
            </c:numRef>
          </c:val>
          <c:extLst>
            <c:ext xmlns:c16="http://schemas.microsoft.com/office/drawing/2014/chart" uri="{C3380CC4-5D6E-409C-BE32-E72D297353CC}">
              <c16:uniqueId val="{00000000-6369-5A46-9C21-76433F608F59}"/>
            </c:ext>
          </c:extLst>
        </c:ser>
        <c:ser>
          <c:idx val="1"/>
          <c:order val="1"/>
          <c:tx>
            <c:strRef>
              <c:f>'Seasonality Analysis'!$U$3</c:f>
              <c:strCache>
                <c:ptCount val="1"/>
                <c:pt idx="0">
                  <c:v>Sum of Feb</c:v>
                </c:pt>
              </c:strCache>
            </c:strRef>
          </c:tx>
          <c:spPr>
            <a:solidFill>
              <a:schemeClr val="accent2"/>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Analysis'!$U$4:$U$7</c:f>
              <c:numCache>
                <c:formatCode>General</c:formatCode>
                <c:ptCount val="3"/>
                <c:pt idx="0">
                  <c:v>28</c:v>
                </c:pt>
                <c:pt idx="1">
                  <c:v>75</c:v>
                </c:pt>
                <c:pt idx="2">
                  <c:v>66</c:v>
                </c:pt>
              </c:numCache>
            </c:numRef>
          </c:val>
          <c:extLst>
            <c:ext xmlns:c16="http://schemas.microsoft.com/office/drawing/2014/chart" uri="{C3380CC4-5D6E-409C-BE32-E72D297353CC}">
              <c16:uniqueId val="{00000001-6369-5A46-9C21-76433F608F59}"/>
            </c:ext>
          </c:extLst>
        </c:ser>
        <c:ser>
          <c:idx val="2"/>
          <c:order val="2"/>
          <c:tx>
            <c:strRef>
              <c:f>'Seasonality Analysis'!$V$3</c:f>
              <c:strCache>
                <c:ptCount val="1"/>
                <c:pt idx="0">
                  <c:v>Sum of Mar</c:v>
                </c:pt>
              </c:strCache>
            </c:strRef>
          </c:tx>
          <c:spPr>
            <a:solidFill>
              <a:schemeClr val="accent3"/>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Analysis'!$V$4:$V$7</c:f>
              <c:numCache>
                <c:formatCode>General</c:formatCode>
                <c:ptCount val="3"/>
                <c:pt idx="0">
                  <c:v>19</c:v>
                </c:pt>
                <c:pt idx="1">
                  <c:v>59</c:v>
                </c:pt>
                <c:pt idx="2">
                  <c:v>51</c:v>
                </c:pt>
              </c:numCache>
            </c:numRef>
          </c:val>
          <c:extLst>
            <c:ext xmlns:c16="http://schemas.microsoft.com/office/drawing/2014/chart" uri="{C3380CC4-5D6E-409C-BE32-E72D297353CC}">
              <c16:uniqueId val="{00000002-6369-5A46-9C21-76433F608F59}"/>
            </c:ext>
          </c:extLst>
        </c:ser>
        <c:ser>
          <c:idx val="3"/>
          <c:order val="3"/>
          <c:tx>
            <c:strRef>
              <c:f>'Seasonality Analysis'!$W$3</c:f>
              <c:strCache>
                <c:ptCount val="1"/>
                <c:pt idx="0">
                  <c:v>Sum of Apr</c:v>
                </c:pt>
              </c:strCache>
            </c:strRef>
          </c:tx>
          <c:spPr>
            <a:solidFill>
              <a:schemeClr val="accent4"/>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Analysis'!$W$4:$W$7</c:f>
              <c:numCache>
                <c:formatCode>General</c:formatCode>
                <c:ptCount val="3"/>
                <c:pt idx="0">
                  <c:v>18</c:v>
                </c:pt>
                <c:pt idx="1">
                  <c:v>56</c:v>
                </c:pt>
                <c:pt idx="2">
                  <c:v>48</c:v>
                </c:pt>
              </c:numCache>
            </c:numRef>
          </c:val>
          <c:extLst>
            <c:ext xmlns:c16="http://schemas.microsoft.com/office/drawing/2014/chart" uri="{C3380CC4-5D6E-409C-BE32-E72D297353CC}">
              <c16:uniqueId val="{00000003-6369-5A46-9C21-76433F608F59}"/>
            </c:ext>
          </c:extLst>
        </c:ser>
        <c:ser>
          <c:idx val="4"/>
          <c:order val="4"/>
          <c:tx>
            <c:strRef>
              <c:f>'Seasonality Analysis'!$X$3</c:f>
              <c:strCache>
                <c:ptCount val="1"/>
                <c:pt idx="0">
                  <c:v>Sum of May</c:v>
                </c:pt>
              </c:strCache>
            </c:strRef>
          </c:tx>
          <c:spPr>
            <a:solidFill>
              <a:schemeClr val="accent5"/>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Analysis'!$X$4:$X$7</c:f>
              <c:numCache>
                <c:formatCode>General</c:formatCode>
                <c:ptCount val="3"/>
                <c:pt idx="0">
                  <c:v>26</c:v>
                </c:pt>
                <c:pt idx="1">
                  <c:v>68</c:v>
                </c:pt>
                <c:pt idx="2">
                  <c:v>60</c:v>
                </c:pt>
              </c:numCache>
            </c:numRef>
          </c:val>
          <c:extLst>
            <c:ext xmlns:c16="http://schemas.microsoft.com/office/drawing/2014/chart" uri="{C3380CC4-5D6E-409C-BE32-E72D297353CC}">
              <c16:uniqueId val="{00000004-6369-5A46-9C21-76433F608F59}"/>
            </c:ext>
          </c:extLst>
        </c:ser>
        <c:ser>
          <c:idx val="5"/>
          <c:order val="5"/>
          <c:tx>
            <c:strRef>
              <c:f>'Seasonality Analysis'!$Y$3</c:f>
              <c:strCache>
                <c:ptCount val="1"/>
                <c:pt idx="0">
                  <c:v>Sum of Jun</c:v>
                </c:pt>
              </c:strCache>
            </c:strRef>
          </c:tx>
          <c:spPr>
            <a:solidFill>
              <a:schemeClr val="accent6"/>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Analysis'!$Y$4:$Y$7</c:f>
              <c:numCache>
                <c:formatCode>General</c:formatCode>
                <c:ptCount val="3"/>
                <c:pt idx="0">
                  <c:v>28</c:v>
                </c:pt>
                <c:pt idx="1">
                  <c:v>58</c:v>
                </c:pt>
                <c:pt idx="2">
                  <c:v>50</c:v>
                </c:pt>
              </c:numCache>
            </c:numRef>
          </c:val>
          <c:extLst>
            <c:ext xmlns:c16="http://schemas.microsoft.com/office/drawing/2014/chart" uri="{C3380CC4-5D6E-409C-BE32-E72D297353CC}">
              <c16:uniqueId val="{00000005-6369-5A46-9C21-76433F608F59}"/>
            </c:ext>
          </c:extLst>
        </c:ser>
        <c:ser>
          <c:idx val="6"/>
          <c:order val="6"/>
          <c:tx>
            <c:strRef>
              <c:f>'Seasonality Analysis'!$Z$3</c:f>
              <c:strCache>
                <c:ptCount val="1"/>
                <c:pt idx="0">
                  <c:v>Sum of Jul</c:v>
                </c:pt>
              </c:strCache>
            </c:strRef>
          </c:tx>
          <c:spPr>
            <a:solidFill>
              <a:schemeClr val="accent1">
                <a:lumMod val="60000"/>
              </a:schemeClr>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Analysis'!$Z$4:$Z$7</c:f>
              <c:numCache>
                <c:formatCode>General</c:formatCode>
                <c:ptCount val="3"/>
                <c:pt idx="0">
                  <c:v>30</c:v>
                </c:pt>
                <c:pt idx="1">
                  <c:v>70</c:v>
                </c:pt>
                <c:pt idx="2">
                  <c:v>62</c:v>
                </c:pt>
              </c:numCache>
            </c:numRef>
          </c:val>
          <c:extLst>
            <c:ext xmlns:c16="http://schemas.microsoft.com/office/drawing/2014/chart" uri="{C3380CC4-5D6E-409C-BE32-E72D297353CC}">
              <c16:uniqueId val="{00000006-6369-5A46-9C21-76433F608F59}"/>
            </c:ext>
          </c:extLst>
        </c:ser>
        <c:ser>
          <c:idx val="7"/>
          <c:order val="7"/>
          <c:tx>
            <c:strRef>
              <c:f>'Seasonality Analysis'!$AA$3</c:f>
              <c:strCache>
                <c:ptCount val="1"/>
                <c:pt idx="0">
                  <c:v>Sum of Aug</c:v>
                </c:pt>
              </c:strCache>
            </c:strRef>
          </c:tx>
          <c:spPr>
            <a:solidFill>
              <a:schemeClr val="accent2">
                <a:lumMod val="60000"/>
              </a:schemeClr>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Analysis'!$AA$4:$AA$7</c:f>
              <c:numCache>
                <c:formatCode>General</c:formatCode>
                <c:ptCount val="3"/>
                <c:pt idx="0">
                  <c:v>17</c:v>
                </c:pt>
                <c:pt idx="1">
                  <c:v>57</c:v>
                </c:pt>
                <c:pt idx="2">
                  <c:v>47</c:v>
                </c:pt>
              </c:numCache>
            </c:numRef>
          </c:val>
          <c:extLst>
            <c:ext xmlns:c16="http://schemas.microsoft.com/office/drawing/2014/chart" uri="{C3380CC4-5D6E-409C-BE32-E72D297353CC}">
              <c16:uniqueId val="{00000007-6369-5A46-9C21-76433F608F59}"/>
            </c:ext>
          </c:extLst>
        </c:ser>
        <c:ser>
          <c:idx val="8"/>
          <c:order val="8"/>
          <c:tx>
            <c:strRef>
              <c:f>'Seasonality Analysis'!$AB$3</c:f>
              <c:strCache>
                <c:ptCount val="1"/>
                <c:pt idx="0">
                  <c:v>Sum of Sep</c:v>
                </c:pt>
              </c:strCache>
            </c:strRef>
          </c:tx>
          <c:spPr>
            <a:solidFill>
              <a:schemeClr val="accent3">
                <a:lumMod val="60000"/>
              </a:schemeClr>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Analysis'!$AB$4:$AB$7</c:f>
              <c:numCache>
                <c:formatCode>General</c:formatCode>
                <c:ptCount val="3"/>
                <c:pt idx="0">
                  <c:v>16</c:v>
                </c:pt>
                <c:pt idx="1">
                  <c:v>59</c:v>
                </c:pt>
                <c:pt idx="2">
                  <c:v>51</c:v>
                </c:pt>
              </c:numCache>
            </c:numRef>
          </c:val>
          <c:extLst>
            <c:ext xmlns:c16="http://schemas.microsoft.com/office/drawing/2014/chart" uri="{C3380CC4-5D6E-409C-BE32-E72D297353CC}">
              <c16:uniqueId val="{00000008-6369-5A46-9C21-76433F608F59}"/>
            </c:ext>
          </c:extLst>
        </c:ser>
        <c:ser>
          <c:idx val="9"/>
          <c:order val="9"/>
          <c:tx>
            <c:strRef>
              <c:f>'Seasonality Analysis'!$AC$3</c:f>
              <c:strCache>
                <c:ptCount val="1"/>
                <c:pt idx="0">
                  <c:v>Sum of Oct</c:v>
                </c:pt>
              </c:strCache>
            </c:strRef>
          </c:tx>
          <c:spPr>
            <a:solidFill>
              <a:schemeClr val="accent4">
                <a:lumMod val="60000"/>
              </a:schemeClr>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Analysis'!$AC$4:$AC$7</c:f>
              <c:numCache>
                <c:formatCode>General</c:formatCode>
                <c:ptCount val="3"/>
                <c:pt idx="0">
                  <c:v>20</c:v>
                </c:pt>
                <c:pt idx="1">
                  <c:v>54</c:v>
                </c:pt>
                <c:pt idx="2">
                  <c:v>46</c:v>
                </c:pt>
              </c:numCache>
            </c:numRef>
          </c:val>
          <c:extLst>
            <c:ext xmlns:c16="http://schemas.microsoft.com/office/drawing/2014/chart" uri="{C3380CC4-5D6E-409C-BE32-E72D297353CC}">
              <c16:uniqueId val="{00000009-6369-5A46-9C21-76433F608F59}"/>
            </c:ext>
          </c:extLst>
        </c:ser>
        <c:ser>
          <c:idx val="10"/>
          <c:order val="10"/>
          <c:tx>
            <c:strRef>
              <c:f>'Seasonality Analysis'!$AD$3</c:f>
              <c:strCache>
                <c:ptCount val="1"/>
                <c:pt idx="0">
                  <c:v>Sum of Nov</c:v>
                </c:pt>
              </c:strCache>
            </c:strRef>
          </c:tx>
          <c:spPr>
            <a:solidFill>
              <a:schemeClr val="accent5">
                <a:lumMod val="60000"/>
              </a:schemeClr>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Analysis'!$AD$4:$AD$7</c:f>
              <c:numCache>
                <c:formatCode>General</c:formatCode>
                <c:ptCount val="3"/>
                <c:pt idx="0">
                  <c:v>21</c:v>
                </c:pt>
                <c:pt idx="1">
                  <c:v>63</c:v>
                </c:pt>
                <c:pt idx="2">
                  <c:v>45</c:v>
                </c:pt>
              </c:numCache>
            </c:numRef>
          </c:val>
          <c:extLst>
            <c:ext xmlns:c16="http://schemas.microsoft.com/office/drawing/2014/chart" uri="{C3380CC4-5D6E-409C-BE32-E72D297353CC}">
              <c16:uniqueId val="{0000000A-6369-5A46-9C21-76433F608F59}"/>
            </c:ext>
          </c:extLst>
        </c:ser>
        <c:ser>
          <c:idx val="11"/>
          <c:order val="11"/>
          <c:tx>
            <c:strRef>
              <c:f>'Seasonality Analysis'!$AE$3</c:f>
              <c:strCache>
                <c:ptCount val="1"/>
                <c:pt idx="0">
                  <c:v>Sum of Dec</c:v>
                </c:pt>
              </c:strCache>
            </c:strRef>
          </c:tx>
          <c:spPr>
            <a:solidFill>
              <a:schemeClr val="accent6">
                <a:lumMod val="60000"/>
              </a:schemeClr>
            </a:solidFill>
            <a:ln>
              <a:noFill/>
            </a:ln>
            <a:effectLst/>
          </c:spPr>
          <c:invertIfNegative val="0"/>
          <c:cat>
            <c:strRef>
              <c:f>'Seasonality Analysis'!$S$4:$S$7</c:f>
              <c:strCache>
                <c:ptCount val="3"/>
                <c:pt idx="0">
                  <c:v>Body Mist (100ml)</c:v>
                </c:pt>
                <c:pt idx="1">
                  <c:v>Perfume (30ml)</c:v>
                </c:pt>
                <c:pt idx="2">
                  <c:v>Perfume (50ml)</c:v>
                </c:pt>
              </c:strCache>
            </c:strRef>
          </c:cat>
          <c:val>
            <c:numRef>
              <c:f>'Seasonality Analysis'!$AE$4:$AE$7</c:f>
              <c:numCache>
                <c:formatCode>General</c:formatCode>
                <c:ptCount val="3"/>
                <c:pt idx="0">
                  <c:v>35</c:v>
                </c:pt>
                <c:pt idx="1">
                  <c:v>85</c:v>
                </c:pt>
                <c:pt idx="2">
                  <c:v>71</c:v>
                </c:pt>
              </c:numCache>
            </c:numRef>
          </c:val>
          <c:extLst>
            <c:ext xmlns:c16="http://schemas.microsoft.com/office/drawing/2014/chart" uri="{C3380CC4-5D6E-409C-BE32-E72D297353CC}">
              <c16:uniqueId val="{0000000B-6369-5A46-9C21-76433F608F59}"/>
            </c:ext>
          </c:extLst>
        </c:ser>
        <c:dLbls>
          <c:showLegendKey val="0"/>
          <c:showVal val="0"/>
          <c:showCatName val="0"/>
          <c:showSerName val="0"/>
          <c:showPercent val="0"/>
          <c:showBubbleSize val="0"/>
        </c:dLbls>
        <c:gapWidth val="219"/>
        <c:overlap val="-27"/>
        <c:axId val="391160751"/>
        <c:axId val="457287663"/>
      </c:barChart>
      <c:catAx>
        <c:axId val="39116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287663"/>
        <c:crosses val="autoZero"/>
        <c:auto val="1"/>
        <c:lblAlgn val="ctr"/>
        <c:lblOffset val="100"/>
        <c:noMultiLvlLbl val="0"/>
      </c:catAx>
      <c:valAx>
        <c:axId val="457287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16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Fraction</a:t>
            </a:r>
            <a:r>
              <a:rPr lang="en-SG" baseline="0"/>
              <a:t> of Products From 2014 to 2018</a:t>
            </a:r>
            <a:endParaRPr lang="en-SG"/>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Fractions!$C$13</c:f>
              <c:strCache>
                <c:ptCount val="1"/>
                <c:pt idx="0">
                  <c:v>2014</c:v>
                </c:pt>
              </c:strCache>
            </c:strRef>
          </c:tx>
          <c:spPr>
            <a:solidFill>
              <a:schemeClr val="accent1"/>
            </a:solidFill>
            <a:ln>
              <a:noFill/>
            </a:ln>
            <a:effectLst/>
          </c:spPr>
          <c:invertIfNegative val="0"/>
          <c:cat>
            <c:strRef>
              <c:f>Fractions!$D$11:$AG$12</c:f>
              <c:strCache>
                <c:ptCount val="30"/>
                <c:pt idx="0">
                  <c:v>30ml Blue</c:v>
                </c:pt>
                <c:pt idx="1">
                  <c:v>30ml Black</c:v>
                </c:pt>
                <c:pt idx="2">
                  <c:v>30ml Christmas</c:v>
                </c:pt>
                <c:pt idx="3">
                  <c:v>30ml Diamond</c:v>
                </c:pt>
                <c:pt idx="4">
                  <c:v>30ml Elegance</c:v>
                </c:pt>
                <c:pt idx="5">
                  <c:v>30ml Fancy</c:v>
                </c:pt>
                <c:pt idx="6">
                  <c:v>30ml Love</c:v>
                </c:pt>
                <c:pt idx="7">
                  <c:v>30ml Romance</c:v>
                </c:pt>
                <c:pt idx="8">
                  <c:v>30ml Sahara</c:v>
                </c:pt>
                <c:pt idx="9">
                  <c:v>30ml Sensual</c:v>
                </c:pt>
                <c:pt idx="10">
                  <c:v>30ml Sexy</c:v>
                </c:pt>
                <c:pt idx="11">
                  <c:v>30ml Vogue</c:v>
                </c:pt>
                <c:pt idx="12">
                  <c:v>30ml Warm</c:v>
                </c:pt>
                <c:pt idx="13">
                  <c:v>50ml Blue</c:v>
                </c:pt>
                <c:pt idx="14">
                  <c:v>50ml Black</c:v>
                </c:pt>
                <c:pt idx="15">
                  <c:v>50ml Christmas</c:v>
                </c:pt>
                <c:pt idx="16">
                  <c:v>50ml Diamond</c:v>
                </c:pt>
                <c:pt idx="17">
                  <c:v>50ml Elegance</c:v>
                </c:pt>
                <c:pt idx="18">
                  <c:v>50ml Fancy</c:v>
                </c:pt>
                <c:pt idx="19">
                  <c:v>50ml Love</c:v>
                </c:pt>
                <c:pt idx="20">
                  <c:v>50ml Romance</c:v>
                </c:pt>
                <c:pt idx="21">
                  <c:v>50ml Sahara</c:v>
                </c:pt>
                <c:pt idx="22">
                  <c:v>50ml Sensual</c:v>
                </c:pt>
                <c:pt idx="23">
                  <c:v>50ml Sexy</c:v>
                </c:pt>
                <c:pt idx="24">
                  <c:v>50ml Vogue</c:v>
                </c:pt>
                <c:pt idx="25">
                  <c:v>50ml Warm</c:v>
                </c:pt>
                <c:pt idx="26">
                  <c:v>100ml Diamond Body Mist</c:v>
                </c:pt>
                <c:pt idx="27">
                  <c:v>100ml Elegance Body Mist</c:v>
                </c:pt>
                <c:pt idx="28">
                  <c:v>100ml Fancy Body Mist</c:v>
                </c:pt>
                <c:pt idx="29">
                  <c:v>100ml Romance Body Mist</c:v>
                </c:pt>
              </c:strCache>
            </c:strRef>
          </c:cat>
          <c:val>
            <c:numRef>
              <c:f>Fractions!$D$13:$AG$13</c:f>
              <c:numCache>
                <c:formatCode>0.00%</c:formatCode>
                <c:ptCount val="30"/>
                <c:pt idx="0">
                  <c:v>8.1272084805653705E-2</c:v>
                </c:pt>
                <c:pt idx="1">
                  <c:v>8.8339222614840993E-2</c:v>
                </c:pt>
                <c:pt idx="2">
                  <c:v>4.9469964664310952E-2</c:v>
                </c:pt>
                <c:pt idx="3">
                  <c:v>0.15547703180212014</c:v>
                </c:pt>
                <c:pt idx="4">
                  <c:v>6.3604240282685506E-2</c:v>
                </c:pt>
                <c:pt idx="5">
                  <c:v>6.0070671378091869E-2</c:v>
                </c:pt>
                <c:pt idx="6">
                  <c:v>6.0070671378091869E-2</c:v>
                </c:pt>
                <c:pt idx="7">
                  <c:v>5.3003533568904596E-2</c:v>
                </c:pt>
                <c:pt idx="8">
                  <c:v>4.9469964664310952E-2</c:v>
                </c:pt>
                <c:pt idx="9">
                  <c:v>5.3003533568904596E-2</c:v>
                </c:pt>
                <c:pt idx="10">
                  <c:v>0.19787985865724381</c:v>
                </c:pt>
                <c:pt idx="11">
                  <c:v>5.3003533568904596E-2</c:v>
                </c:pt>
                <c:pt idx="12">
                  <c:v>3.5335689045936397E-2</c:v>
                </c:pt>
                <c:pt idx="13">
                  <c:v>7.5471698113207544E-2</c:v>
                </c:pt>
                <c:pt idx="14">
                  <c:v>8.9622641509433956E-2</c:v>
                </c:pt>
                <c:pt idx="15">
                  <c:v>5.6603773584905662E-2</c:v>
                </c:pt>
                <c:pt idx="16">
                  <c:v>0.14150943396226415</c:v>
                </c:pt>
                <c:pt idx="17">
                  <c:v>7.0754716981132074E-2</c:v>
                </c:pt>
                <c:pt idx="18">
                  <c:v>6.1320754716981132E-2</c:v>
                </c:pt>
                <c:pt idx="19">
                  <c:v>4.716981132075472E-2</c:v>
                </c:pt>
                <c:pt idx="20">
                  <c:v>7.5471698113207544E-2</c:v>
                </c:pt>
                <c:pt idx="21">
                  <c:v>3.7735849056603772E-2</c:v>
                </c:pt>
                <c:pt idx="22">
                  <c:v>7.5471698113207544E-2</c:v>
                </c:pt>
                <c:pt idx="23">
                  <c:v>0.16981132075471697</c:v>
                </c:pt>
                <c:pt idx="24">
                  <c:v>6.6037735849056603E-2</c:v>
                </c:pt>
                <c:pt idx="25">
                  <c:v>3.3018867924528301E-2</c:v>
                </c:pt>
                <c:pt idx="26">
                  <c:v>0.32183908045977011</c:v>
                </c:pt>
                <c:pt idx="27">
                  <c:v>0.17816091954022989</c:v>
                </c:pt>
                <c:pt idx="28">
                  <c:v>0.14942528735632185</c:v>
                </c:pt>
                <c:pt idx="29">
                  <c:v>0.35057471264367818</c:v>
                </c:pt>
              </c:numCache>
            </c:numRef>
          </c:val>
          <c:extLst>
            <c:ext xmlns:c16="http://schemas.microsoft.com/office/drawing/2014/chart" uri="{C3380CC4-5D6E-409C-BE32-E72D297353CC}">
              <c16:uniqueId val="{00000000-7AB7-421D-9E43-64F94A9BE25B}"/>
            </c:ext>
          </c:extLst>
        </c:ser>
        <c:ser>
          <c:idx val="1"/>
          <c:order val="1"/>
          <c:tx>
            <c:strRef>
              <c:f>Fractions!$C$14</c:f>
              <c:strCache>
                <c:ptCount val="1"/>
                <c:pt idx="0">
                  <c:v>2015</c:v>
                </c:pt>
              </c:strCache>
            </c:strRef>
          </c:tx>
          <c:spPr>
            <a:solidFill>
              <a:schemeClr val="accent2"/>
            </a:solidFill>
            <a:ln>
              <a:noFill/>
            </a:ln>
            <a:effectLst/>
          </c:spPr>
          <c:invertIfNegative val="0"/>
          <c:cat>
            <c:strRef>
              <c:f>Fractions!$D$11:$AG$12</c:f>
              <c:strCache>
                <c:ptCount val="30"/>
                <c:pt idx="0">
                  <c:v>30ml Blue</c:v>
                </c:pt>
                <c:pt idx="1">
                  <c:v>30ml Black</c:v>
                </c:pt>
                <c:pt idx="2">
                  <c:v>30ml Christmas</c:v>
                </c:pt>
                <c:pt idx="3">
                  <c:v>30ml Diamond</c:v>
                </c:pt>
                <c:pt idx="4">
                  <c:v>30ml Elegance</c:v>
                </c:pt>
                <c:pt idx="5">
                  <c:v>30ml Fancy</c:v>
                </c:pt>
                <c:pt idx="6">
                  <c:v>30ml Love</c:v>
                </c:pt>
                <c:pt idx="7">
                  <c:v>30ml Romance</c:v>
                </c:pt>
                <c:pt idx="8">
                  <c:v>30ml Sahara</c:v>
                </c:pt>
                <c:pt idx="9">
                  <c:v>30ml Sensual</c:v>
                </c:pt>
                <c:pt idx="10">
                  <c:v>30ml Sexy</c:v>
                </c:pt>
                <c:pt idx="11">
                  <c:v>30ml Vogue</c:v>
                </c:pt>
                <c:pt idx="12">
                  <c:v>30ml Warm</c:v>
                </c:pt>
                <c:pt idx="13">
                  <c:v>50ml Blue</c:v>
                </c:pt>
                <c:pt idx="14">
                  <c:v>50ml Black</c:v>
                </c:pt>
                <c:pt idx="15">
                  <c:v>50ml Christmas</c:v>
                </c:pt>
                <c:pt idx="16">
                  <c:v>50ml Diamond</c:v>
                </c:pt>
                <c:pt idx="17">
                  <c:v>50ml Elegance</c:v>
                </c:pt>
                <c:pt idx="18">
                  <c:v>50ml Fancy</c:v>
                </c:pt>
                <c:pt idx="19">
                  <c:v>50ml Love</c:v>
                </c:pt>
                <c:pt idx="20">
                  <c:v>50ml Romance</c:v>
                </c:pt>
                <c:pt idx="21">
                  <c:v>50ml Sahara</c:v>
                </c:pt>
                <c:pt idx="22">
                  <c:v>50ml Sensual</c:v>
                </c:pt>
                <c:pt idx="23">
                  <c:v>50ml Sexy</c:v>
                </c:pt>
                <c:pt idx="24">
                  <c:v>50ml Vogue</c:v>
                </c:pt>
                <c:pt idx="25">
                  <c:v>50ml Warm</c:v>
                </c:pt>
                <c:pt idx="26">
                  <c:v>100ml Diamond Body Mist</c:v>
                </c:pt>
                <c:pt idx="27">
                  <c:v>100ml Elegance Body Mist</c:v>
                </c:pt>
                <c:pt idx="28">
                  <c:v>100ml Fancy Body Mist</c:v>
                </c:pt>
                <c:pt idx="29">
                  <c:v>100ml Romance Body Mist</c:v>
                </c:pt>
              </c:strCache>
            </c:strRef>
          </c:cat>
          <c:val>
            <c:numRef>
              <c:f>Fractions!$D$14:$AG$14</c:f>
              <c:numCache>
                <c:formatCode>0.00%</c:formatCode>
                <c:ptCount val="30"/>
                <c:pt idx="0">
                  <c:v>8.4525357607282178E-2</c:v>
                </c:pt>
                <c:pt idx="1">
                  <c:v>8.8426527958387513E-2</c:v>
                </c:pt>
                <c:pt idx="2">
                  <c:v>5.9817945383615082E-2</c:v>
                </c:pt>
                <c:pt idx="3">
                  <c:v>0.13263979193758127</c:v>
                </c:pt>
                <c:pt idx="4">
                  <c:v>7.4122236671001304E-2</c:v>
                </c:pt>
                <c:pt idx="5">
                  <c:v>5.7217165149544863E-2</c:v>
                </c:pt>
                <c:pt idx="6">
                  <c:v>7.9323797139141741E-2</c:v>
                </c:pt>
                <c:pt idx="7">
                  <c:v>7.2821846553966188E-2</c:v>
                </c:pt>
                <c:pt idx="8">
                  <c:v>5.3315994798439535E-2</c:v>
                </c:pt>
                <c:pt idx="9">
                  <c:v>8.0624187256176857E-2</c:v>
                </c:pt>
                <c:pt idx="10">
                  <c:v>0.17295188556566971</c:v>
                </c:pt>
                <c:pt idx="11">
                  <c:v>7.1521456436931086E-2</c:v>
                </c:pt>
                <c:pt idx="12">
                  <c:v>5.071521456436931E-2</c:v>
                </c:pt>
                <c:pt idx="13">
                  <c:v>8.8098918083462138E-2</c:v>
                </c:pt>
                <c:pt idx="14">
                  <c:v>9.428129829984544E-2</c:v>
                </c:pt>
                <c:pt idx="15">
                  <c:v>4.7913446676970631E-2</c:v>
                </c:pt>
                <c:pt idx="16">
                  <c:v>0.12055641421947449</c:v>
                </c:pt>
                <c:pt idx="17">
                  <c:v>8.1916537867078823E-2</c:v>
                </c:pt>
                <c:pt idx="18">
                  <c:v>7.1097372488408042E-2</c:v>
                </c:pt>
                <c:pt idx="19">
                  <c:v>5.8732612055641419E-2</c:v>
                </c:pt>
                <c:pt idx="20">
                  <c:v>8.1916537867078823E-2</c:v>
                </c:pt>
                <c:pt idx="21">
                  <c:v>4.0185471406491501E-2</c:v>
                </c:pt>
                <c:pt idx="22">
                  <c:v>8.5007727975270481E-2</c:v>
                </c:pt>
                <c:pt idx="23">
                  <c:v>0.14528593508500773</c:v>
                </c:pt>
                <c:pt idx="24">
                  <c:v>6.4914992272024727E-2</c:v>
                </c:pt>
                <c:pt idx="25">
                  <c:v>3.8639876352395672E-2</c:v>
                </c:pt>
                <c:pt idx="26">
                  <c:v>0.302491103202847</c:v>
                </c:pt>
                <c:pt idx="27">
                  <c:v>0.20996441281138789</c:v>
                </c:pt>
                <c:pt idx="28">
                  <c:v>0.16014234875444841</c:v>
                </c:pt>
                <c:pt idx="29">
                  <c:v>0.32740213523131673</c:v>
                </c:pt>
              </c:numCache>
            </c:numRef>
          </c:val>
          <c:extLst>
            <c:ext xmlns:c16="http://schemas.microsoft.com/office/drawing/2014/chart" uri="{C3380CC4-5D6E-409C-BE32-E72D297353CC}">
              <c16:uniqueId val="{00000001-7AB7-421D-9E43-64F94A9BE25B}"/>
            </c:ext>
          </c:extLst>
        </c:ser>
        <c:ser>
          <c:idx val="2"/>
          <c:order val="2"/>
          <c:tx>
            <c:strRef>
              <c:f>Fractions!$C$15</c:f>
              <c:strCache>
                <c:ptCount val="1"/>
                <c:pt idx="0">
                  <c:v>2016</c:v>
                </c:pt>
              </c:strCache>
            </c:strRef>
          </c:tx>
          <c:spPr>
            <a:solidFill>
              <a:schemeClr val="accent3"/>
            </a:solidFill>
            <a:ln>
              <a:noFill/>
            </a:ln>
            <a:effectLst/>
          </c:spPr>
          <c:invertIfNegative val="0"/>
          <c:cat>
            <c:strRef>
              <c:f>Fractions!$D$11:$AG$12</c:f>
              <c:strCache>
                <c:ptCount val="30"/>
                <c:pt idx="0">
                  <c:v>30ml Blue</c:v>
                </c:pt>
                <c:pt idx="1">
                  <c:v>30ml Black</c:v>
                </c:pt>
                <c:pt idx="2">
                  <c:v>30ml Christmas</c:v>
                </c:pt>
                <c:pt idx="3">
                  <c:v>30ml Diamond</c:v>
                </c:pt>
                <c:pt idx="4">
                  <c:v>30ml Elegance</c:v>
                </c:pt>
                <c:pt idx="5">
                  <c:v>30ml Fancy</c:v>
                </c:pt>
                <c:pt idx="6">
                  <c:v>30ml Love</c:v>
                </c:pt>
                <c:pt idx="7">
                  <c:v>30ml Romance</c:v>
                </c:pt>
                <c:pt idx="8">
                  <c:v>30ml Sahara</c:v>
                </c:pt>
                <c:pt idx="9">
                  <c:v>30ml Sensual</c:v>
                </c:pt>
                <c:pt idx="10">
                  <c:v>30ml Sexy</c:v>
                </c:pt>
                <c:pt idx="11">
                  <c:v>30ml Vogue</c:v>
                </c:pt>
                <c:pt idx="12">
                  <c:v>30ml Warm</c:v>
                </c:pt>
                <c:pt idx="13">
                  <c:v>50ml Blue</c:v>
                </c:pt>
                <c:pt idx="14">
                  <c:v>50ml Black</c:v>
                </c:pt>
                <c:pt idx="15">
                  <c:v>50ml Christmas</c:v>
                </c:pt>
                <c:pt idx="16">
                  <c:v>50ml Diamond</c:v>
                </c:pt>
                <c:pt idx="17">
                  <c:v>50ml Elegance</c:v>
                </c:pt>
                <c:pt idx="18">
                  <c:v>50ml Fancy</c:v>
                </c:pt>
                <c:pt idx="19">
                  <c:v>50ml Love</c:v>
                </c:pt>
                <c:pt idx="20">
                  <c:v>50ml Romance</c:v>
                </c:pt>
                <c:pt idx="21">
                  <c:v>50ml Sahara</c:v>
                </c:pt>
                <c:pt idx="22">
                  <c:v>50ml Sensual</c:v>
                </c:pt>
                <c:pt idx="23">
                  <c:v>50ml Sexy</c:v>
                </c:pt>
                <c:pt idx="24">
                  <c:v>50ml Vogue</c:v>
                </c:pt>
                <c:pt idx="25">
                  <c:v>50ml Warm</c:v>
                </c:pt>
                <c:pt idx="26">
                  <c:v>100ml Diamond Body Mist</c:v>
                </c:pt>
                <c:pt idx="27">
                  <c:v>100ml Elegance Body Mist</c:v>
                </c:pt>
                <c:pt idx="28">
                  <c:v>100ml Fancy Body Mist</c:v>
                </c:pt>
                <c:pt idx="29">
                  <c:v>100ml Romance Body Mist</c:v>
                </c:pt>
              </c:strCache>
            </c:strRef>
          </c:cat>
          <c:val>
            <c:numRef>
              <c:f>Fractions!$D$15:$AG$15</c:f>
              <c:numCache>
                <c:formatCode>0.00%</c:formatCode>
                <c:ptCount val="30"/>
                <c:pt idx="0">
                  <c:v>9.6306068601583111E-2</c:v>
                </c:pt>
                <c:pt idx="1">
                  <c:v>9.1029023746701854E-2</c:v>
                </c:pt>
                <c:pt idx="2">
                  <c:v>5.5408970976253295E-2</c:v>
                </c:pt>
                <c:pt idx="3">
                  <c:v>0.15435356200527706</c:v>
                </c:pt>
                <c:pt idx="4">
                  <c:v>8.1794195250659632E-2</c:v>
                </c:pt>
                <c:pt idx="5">
                  <c:v>6.7282321899736153E-2</c:v>
                </c:pt>
                <c:pt idx="6">
                  <c:v>8.5751978891820582E-2</c:v>
                </c:pt>
                <c:pt idx="7">
                  <c:v>7.7836411609498682E-2</c:v>
                </c:pt>
                <c:pt idx="8">
                  <c:v>5.1451187335092345E-2</c:v>
                </c:pt>
                <c:pt idx="9">
                  <c:v>7.7836411609498682E-2</c:v>
                </c:pt>
                <c:pt idx="10">
                  <c:v>0.19129287598944592</c:v>
                </c:pt>
                <c:pt idx="11">
                  <c:v>7.7836411609498682E-2</c:v>
                </c:pt>
                <c:pt idx="12">
                  <c:v>4.8812664907651716E-2</c:v>
                </c:pt>
                <c:pt idx="13">
                  <c:v>9.3558282208588958E-2</c:v>
                </c:pt>
                <c:pt idx="14">
                  <c:v>9.0490797546012275E-2</c:v>
                </c:pt>
                <c:pt idx="15">
                  <c:v>4.4478527607361963E-2</c:v>
                </c:pt>
                <c:pt idx="16">
                  <c:v>0.14570552147239263</c:v>
                </c:pt>
                <c:pt idx="17">
                  <c:v>7.5153374233128831E-2</c:v>
                </c:pt>
                <c:pt idx="18">
                  <c:v>7.5153374233128831E-2</c:v>
                </c:pt>
                <c:pt idx="19">
                  <c:v>5.5214723926380369E-2</c:v>
                </c:pt>
                <c:pt idx="20">
                  <c:v>7.5153374233128831E-2</c:v>
                </c:pt>
                <c:pt idx="21">
                  <c:v>5.3680981595092027E-2</c:v>
                </c:pt>
                <c:pt idx="22">
                  <c:v>8.1288343558282211E-2</c:v>
                </c:pt>
                <c:pt idx="23">
                  <c:v>0.17638036809815952</c:v>
                </c:pt>
                <c:pt idx="24">
                  <c:v>9.202453987730061E-2</c:v>
                </c:pt>
                <c:pt idx="25">
                  <c:v>5.8282208588957052E-2</c:v>
                </c:pt>
                <c:pt idx="26">
                  <c:v>0.28321678321678323</c:v>
                </c:pt>
                <c:pt idx="27">
                  <c:v>0.22377622377622378</c:v>
                </c:pt>
                <c:pt idx="28">
                  <c:v>0.16783216783216784</c:v>
                </c:pt>
                <c:pt idx="29">
                  <c:v>0.32517482517482516</c:v>
                </c:pt>
              </c:numCache>
            </c:numRef>
          </c:val>
          <c:extLst>
            <c:ext xmlns:c16="http://schemas.microsoft.com/office/drawing/2014/chart" uri="{C3380CC4-5D6E-409C-BE32-E72D297353CC}">
              <c16:uniqueId val="{00000002-7AB7-421D-9E43-64F94A9BE25B}"/>
            </c:ext>
          </c:extLst>
        </c:ser>
        <c:ser>
          <c:idx val="3"/>
          <c:order val="3"/>
          <c:tx>
            <c:strRef>
              <c:f>Fractions!$C$16</c:f>
              <c:strCache>
                <c:ptCount val="1"/>
                <c:pt idx="0">
                  <c:v>2017</c:v>
                </c:pt>
              </c:strCache>
            </c:strRef>
          </c:tx>
          <c:spPr>
            <a:solidFill>
              <a:schemeClr val="accent4"/>
            </a:solidFill>
            <a:ln>
              <a:noFill/>
            </a:ln>
            <a:effectLst/>
          </c:spPr>
          <c:invertIfNegative val="0"/>
          <c:cat>
            <c:strRef>
              <c:f>Fractions!$D$11:$AG$12</c:f>
              <c:strCache>
                <c:ptCount val="30"/>
                <c:pt idx="0">
                  <c:v>30ml Blue</c:v>
                </c:pt>
                <c:pt idx="1">
                  <c:v>30ml Black</c:v>
                </c:pt>
                <c:pt idx="2">
                  <c:v>30ml Christmas</c:v>
                </c:pt>
                <c:pt idx="3">
                  <c:v>30ml Diamond</c:v>
                </c:pt>
                <c:pt idx="4">
                  <c:v>30ml Elegance</c:v>
                </c:pt>
                <c:pt idx="5">
                  <c:v>30ml Fancy</c:v>
                </c:pt>
                <c:pt idx="6">
                  <c:v>30ml Love</c:v>
                </c:pt>
                <c:pt idx="7">
                  <c:v>30ml Romance</c:v>
                </c:pt>
                <c:pt idx="8">
                  <c:v>30ml Sahara</c:v>
                </c:pt>
                <c:pt idx="9">
                  <c:v>30ml Sensual</c:v>
                </c:pt>
                <c:pt idx="10">
                  <c:v>30ml Sexy</c:v>
                </c:pt>
                <c:pt idx="11">
                  <c:v>30ml Vogue</c:v>
                </c:pt>
                <c:pt idx="12">
                  <c:v>30ml Warm</c:v>
                </c:pt>
                <c:pt idx="13">
                  <c:v>50ml Blue</c:v>
                </c:pt>
                <c:pt idx="14">
                  <c:v>50ml Black</c:v>
                </c:pt>
                <c:pt idx="15">
                  <c:v>50ml Christmas</c:v>
                </c:pt>
                <c:pt idx="16">
                  <c:v>50ml Diamond</c:v>
                </c:pt>
                <c:pt idx="17">
                  <c:v>50ml Elegance</c:v>
                </c:pt>
                <c:pt idx="18">
                  <c:v>50ml Fancy</c:v>
                </c:pt>
                <c:pt idx="19">
                  <c:v>50ml Love</c:v>
                </c:pt>
                <c:pt idx="20">
                  <c:v>50ml Romance</c:v>
                </c:pt>
                <c:pt idx="21">
                  <c:v>50ml Sahara</c:v>
                </c:pt>
                <c:pt idx="22">
                  <c:v>50ml Sensual</c:v>
                </c:pt>
                <c:pt idx="23">
                  <c:v>50ml Sexy</c:v>
                </c:pt>
                <c:pt idx="24">
                  <c:v>50ml Vogue</c:v>
                </c:pt>
                <c:pt idx="25">
                  <c:v>50ml Warm</c:v>
                </c:pt>
                <c:pt idx="26">
                  <c:v>100ml Diamond Body Mist</c:v>
                </c:pt>
                <c:pt idx="27">
                  <c:v>100ml Elegance Body Mist</c:v>
                </c:pt>
                <c:pt idx="28">
                  <c:v>100ml Fancy Body Mist</c:v>
                </c:pt>
                <c:pt idx="29">
                  <c:v>100ml Romance Body Mist</c:v>
                </c:pt>
              </c:strCache>
            </c:strRef>
          </c:cat>
          <c:val>
            <c:numRef>
              <c:f>Fractions!$D$16:$AG$16</c:f>
              <c:numCache>
                <c:formatCode>0.00%</c:formatCode>
                <c:ptCount val="30"/>
                <c:pt idx="0">
                  <c:v>8.4210526315789472E-2</c:v>
                </c:pt>
                <c:pt idx="1">
                  <c:v>8.2894736842105257E-2</c:v>
                </c:pt>
                <c:pt idx="2">
                  <c:v>5.131578947368421E-2</c:v>
                </c:pt>
                <c:pt idx="3">
                  <c:v>0.12894736842105264</c:v>
                </c:pt>
                <c:pt idx="4">
                  <c:v>7.2368421052631582E-2</c:v>
                </c:pt>
                <c:pt idx="5">
                  <c:v>6.8421052631578952E-2</c:v>
                </c:pt>
                <c:pt idx="6">
                  <c:v>7.3684210526315783E-2</c:v>
                </c:pt>
                <c:pt idx="7">
                  <c:v>6.4473684210526322E-2</c:v>
                </c:pt>
                <c:pt idx="8">
                  <c:v>0.05</c:v>
                </c:pt>
                <c:pt idx="9">
                  <c:v>7.4999999999999997E-2</c:v>
                </c:pt>
                <c:pt idx="10">
                  <c:v>0.16578947368421051</c:v>
                </c:pt>
                <c:pt idx="11">
                  <c:v>6.4473684210526322E-2</c:v>
                </c:pt>
                <c:pt idx="12">
                  <c:v>4.6052631578947366E-2</c:v>
                </c:pt>
                <c:pt idx="13">
                  <c:v>7.7473182359952319E-2</c:v>
                </c:pt>
                <c:pt idx="14">
                  <c:v>7.508939213349225E-2</c:v>
                </c:pt>
                <c:pt idx="15">
                  <c:v>4.1716328963051254E-2</c:v>
                </c:pt>
                <c:pt idx="16">
                  <c:v>0.11680572109654351</c:v>
                </c:pt>
                <c:pt idx="17">
                  <c:v>7.3897497020262215E-2</c:v>
                </c:pt>
                <c:pt idx="18">
                  <c:v>6.5554231227651971E-2</c:v>
                </c:pt>
                <c:pt idx="19">
                  <c:v>5.6019070321811679E-2</c:v>
                </c:pt>
                <c:pt idx="20">
                  <c:v>7.3897497020262215E-2</c:v>
                </c:pt>
                <c:pt idx="21">
                  <c:v>4.4100119189511323E-2</c:v>
                </c:pt>
                <c:pt idx="22">
                  <c:v>7.270560190703218E-2</c:v>
                </c:pt>
                <c:pt idx="23">
                  <c:v>0.14302741358760429</c:v>
                </c:pt>
                <c:pt idx="24">
                  <c:v>7.6281287246722285E-2</c:v>
                </c:pt>
                <c:pt idx="25">
                  <c:v>4.7675804529201428E-2</c:v>
                </c:pt>
                <c:pt idx="26">
                  <c:v>0.32978723404255317</c:v>
                </c:pt>
                <c:pt idx="27">
                  <c:v>0.26595744680851063</c:v>
                </c:pt>
                <c:pt idx="28">
                  <c:v>0.18794326241134751</c:v>
                </c:pt>
                <c:pt idx="29">
                  <c:v>0.38652482269503546</c:v>
                </c:pt>
              </c:numCache>
            </c:numRef>
          </c:val>
          <c:extLst>
            <c:ext xmlns:c16="http://schemas.microsoft.com/office/drawing/2014/chart" uri="{C3380CC4-5D6E-409C-BE32-E72D297353CC}">
              <c16:uniqueId val="{00000003-7AB7-421D-9E43-64F94A9BE25B}"/>
            </c:ext>
          </c:extLst>
        </c:ser>
        <c:ser>
          <c:idx val="4"/>
          <c:order val="4"/>
          <c:tx>
            <c:strRef>
              <c:f>Fractions!$C$17</c:f>
              <c:strCache>
                <c:ptCount val="1"/>
                <c:pt idx="0">
                  <c:v>2018</c:v>
                </c:pt>
              </c:strCache>
            </c:strRef>
          </c:tx>
          <c:spPr>
            <a:solidFill>
              <a:schemeClr val="accent5"/>
            </a:solidFill>
            <a:ln>
              <a:noFill/>
            </a:ln>
            <a:effectLst/>
          </c:spPr>
          <c:invertIfNegative val="0"/>
          <c:cat>
            <c:strRef>
              <c:f>Fractions!$D$11:$AG$12</c:f>
              <c:strCache>
                <c:ptCount val="30"/>
                <c:pt idx="0">
                  <c:v>30ml Blue</c:v>
                </c:pt>
                <c:pt idx="1">
                  <c:v>30ml Black</c:v>
                </c:pt>
                <c:pt idx="2">
                  <c:v>30ml Christmas</c:v>
                </c:pt>
                <c:pt idx="3">
                  <c:v>30ml Diamond</c:v>
                </c:pt>
                <c:pt idx="4">
                  <c:v>30ml Elegance</c:v>
                </c:pt>
                <c:pt idx="5">
                  <c:v>30ml Fancy</c:v>
                </c:pt>
                <c:pt idx="6">
                  <c:v>30ml Love</c:v>
                </c:pt>
                <c:pt idx="7">
                  <c:v>30ml Romance</c:v>
                </c:pt>
                <c:pt idx="8">
                  <c:v>30ml Sahara</c:v>
                </c:pt>
                <c:pt idx="9">
                  <c:v>30ml Sensual</c:v>
                </c:pt>
                <c:pt idx="10">
                  <c:v>30ml Sexy</c:v>
                </c:pt>
                <c:pt idx="11">
                  <c:v>30ml Vogue</c:v>
                </c:pt>
                <c:pt idx="12">
                  <c:v>30ml Warm</c:v>
                </c:pt>
                <c:pt idx="13">
                  <c:v>50ml Blue</c:v>
                </c:pt>
                <c:pt idx="14">
                  <c:v>50ml Black</c:v>
                </c:pt>
                <c:pt idx="15">
                  <c:v>50ml Christmas</c:v>
                </c:pt>
                <c:pt idx="16">
                  <c:v>50ml Diamond</c:v>
                </c:pt>
                <c:pt idx="17">
                  <c:v>50ml Elegance</c:v>
                </c:pt>
                <c:pt idx="18">
                  <c:v>50ml Fancy</c:v>
                </c:pt>
                <c:pt idx="19">
                  <c:v>50ml Love</c:v>
                </c:pt>
                <c:pt idx="20">
                  <c:v>50ml Romance</c:v>
                </c:pt>
                <c:pt idx="21">
                  <c:v>50ml Sahara</c:v>
                </c:pt>
                <c:pt idx="22">
                  <c:v>50ml Sensual</c:v>
                </c:pt>
                <c:pt idx="23">
                  <c:v>50ml Sexy</c:v>
                </c:pt>
                <c:pt idx="24">
                  <c:v>50ml Vogue</c:v>
                </c:pt>
                <c:pt idx="25">
                  <c:v>50ml Warm</c:v>
                </c:pt>
                <c:pt idx="26">
                  <c:v>100ml Diamond Body Mist</c:v>
                </c:pt>
                <c:pt idx="27">
                  <c:v>100ml Elegance Body Mist</c:v>
                </c:pt>
                <c:pt idx="28">
                  <c:v>100ml Fancy Body Mist</c:v>
                </c:pt>
                <c:pt idx="29">
                  <c:v>100ml Romance Body Mist</c:v>
                </c:pt>
              </c:strCache>
            </c:strRef>
          </c:cat>
          <c:val>
            <c:numRef>
              <c:f>Fractions!$D$17:$AG$17</c:f>
              <c:numCache>
                <c:formatCode>0.00%</c:formatCode>
                <c:ptCount val="30"/>
                <c:pt idx="0">
                  <c:v>8.2677165354330714E-2</c:v>
                </c:pt>
                <c:pt idx="1">
                  <c:v>8.0052493438320216E-2</c:v>
                </c:pt>
                <c:pt idx="2">
                  <c:v>5.5118110236220472E-2</c:v>
                </c:pt>
                <c:pt idx="3">
                  <c:v>0.11548556430446194</c:v>
                </c:pt>
                <c:pt idx="4">
                  <c:v>6.9553805774278221E-2</c:v>
                </c:pt>
                <c:pt idx="5">
                  <c:v>6.4304461942257224E-2</c:v>
                </c:pt>
                <c:pt idx="6">
                  <c:v>7.217847769028872E-2</c:v>
                </c:pt>
                <c:pt idx="7">
                  <c:v>6.9553805774278221E-2</c:v>
                </c:pt>
                <c:pt idx="8">
                  <c:v>4.5931758530183726E-2</c:v>
                </c:pt>
                <c:pt idx="9">
                  <c:v>7.3490813648293962E-2</c:v>
                </c:pt>
                <c:pt idx="10">
                  <c:v>0.15091863517060367</c:v>
                </c:pt>
                <c:pt idx="11">
                  <c:v>7.3490813648293962E-2</c:v>
                </c:pt>
                <c:pt idx="12">
                  <c:v>4.7244094488188976E-2</c:v>
                </c:pt>
                <c:pt idx="13">
                  <c:v>8.222490931076179E-2</c:v>
                </c:pt>
                <c:pt idx="14">
                  <c:v>8.5852478839177751E-2</c:v>
                </c:pt>
                <c:pt idx="15">
                  <c:v>5.4413542926239421E-2</c:v>
                </c:pt>
                <c:pt idx="16">
                  <c:v>0.11366384522370013</c:v>
                </c:pt>
                <c:pt idx="17">
                  <c:v>7.2551390568319232E-2</c:v>
                </c:pt>
                <c:pt idx="18">
                  <c:v>6.1668681983071343E-2</c:v>
                </c:pt>
                <c:pt idx="19">
                  <c:v>6.1668681983071343E-2</c:v>
                </c:pt>
                <c:pt idx="20">
                  <c:v>7.0133010882708582E-2</c:v>
                </c:pt>
                <c:pt idx="21">
                  <c:v>4.8367593712212817E-2</c:v>
                </c:pt>
                <c:pt idx="22">
                  <c:v>7.9806529625151154E-2</c:v>
                </c:pt>
                <c:pt idx="23">
                  <c:v>0.14026602176541716</c:v>
                </c:pt>
                <c:pt idx="24">
                  <c:v>7.8597339782345829E-2</c:v>
                </c:pt>
                <c:pt idx="25">
                  <c:v>5.078597339782346E-2</c:v>
                </c:pt>
                <c:pt idx="26">
                  <c:v>0.22711864406779661</c:v>
                </c:pt>
                <c:pt idx="27">
                  <c:v>0.18983050847457628</c:v>
                </c:pt>
                <c:pt idx="28">
                  <c:v>0.14576271186440679</c:v>
                </c:pt>
                <c:pt idx="29">
                  <c:v>0.27457627118644068</c:v>
                </c:pt>
              </c:numCache>
            </c:numRef>
          </c:val>
          <c:extLst>
            <c:ext xmlns:c16="http://schemas.microsoft.com/office/drawing/2014/chart" uri="{C3380CC4-5D6E-409C-BE32-E72D297353CC}">
              <c16:uniqueId val="{00000004-7AB7-421D-9E43-64F94A9BE25B}"/>
            </c:ext>
          </c:extLst>
        </c:ser>
        <c:dLbls>
          <c:showLegendKey val="0"/>
          <c:showVal val="0"/>
          <c:showCatName val="0"/>
          <c:showSerName val="0"/>
          <c:showPercent val="0"/>
          <c:showBubbleSize val="0"/>
        </c:dLbls>
        <c:gapWidth val="150"/>
        <c:axId val="1088491208"/>
        <c:axId val="1088489896"/>
      </c:barChart>
      <c:catAx>
        <c:axId val="1088491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489896"/>
        <c:crosses val="autoZero"/>
        <c:auto val="1"/>
        <c:lblAlgn val="ctr"/>
        <c:lblOffset val="100"/>
        <c:noMultiLvlLbl val="0"/>
      </c:catAx>
      <c:valAx>
        <c:axId val="108848989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491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_xlchart.v1.11</cx:f>
      </cx:strDim>
      <cx:numDim type="val">
        <cx:f dir="row">_xlchart.v1.12</cx:f>
      </cx:numDim>
    </cx:data>
    <cx:data id="1">
      <cx:strDim type="cat">
        <cx:f dir="row">_xlchart.v1.11</cx:f>
      </cx:strDim>
      <cx:numDim type="val">
        <cx:f dir="row">_xlchart.v1.13</cx:f>
      </cx:numDim>
    </cx:data>
    <cx:data id="2">
      <cx:strDim type="cat">
        <cx:f dir="row">_xlchart.v1.11</cx:f>
      </cx:strDim>
      <cx:numDim type="val">
        <cx:f dir="row">_xlchart.v1.14</cx:f>
      </cx:numDim>
    </cx:data>
    <cx:data id="3">
      <cx:strDim type="cat">
        <cx:f dir="row">_xlchart.v1.11</cx:f>
      </cx:strDim>
      <cx:numDim type="val">
        <cx:f dir="row">_xlchart.v1.15</cx:f>
      </cx:numDim>
    </cx:data>
    <cx:data id="4">
      <cx:strDim type="cat">
        <cx:f dir="row">_xlchart.v1.11</cx:f>
      </cx:strDim>
      <cx:numDim type="val">
        <cx:f dir="row">_xlchart.v1.16</cx:f>
      </cx:numDim>
    </cx:data>
    <cx:data id="5">
      <cx:strDim type="cat">
        <cx:f dir="row">_xlchart.v1.11</cx:f>
      </cx:strDim>
      <cx:numDim type="val">
        <cx:f dir="row">_xlchart.v1.17</cx:f>
      </cx:numDim>
    </cx:data>
    <cx:data id="6">
      <cx:strDim type="cat">
        <cx:f dir="row">_xlchart.v1.11</cx:f>
      </cx:strDim>
      <cx:numDim type="val">
        <cx:f dir="row">_xlchart.v1.18</cx:f>
      </cx:numDim>
    </cx:data>
    <cx:data id="7">
      <cx:strDim type="cat">
        <cx:f dir="row">_xlchart.v1.11</cx:f>
      </cx:strDim>
      <cx:numDim type="val">
        <cx:f dir="row">_xlchart.v1.19</cx:f>
      </cx:numDim>
    </cx:data>
    <cx:data id="8">
      <cx:strDim type="cat">
        <cx:f dir="row">_xlchart.v1.11</cx:f>
      </cx:strDim>
      <cx:numDim type="val">
        <cx:f dir="row">_xlchart.v1.20</cx:f>
      </cx:numDim>
    </cx:data>
    <cx:data id="9">
      <cx:strDim type="cat">
        <cx:f dir="row">_xlchart.v1.11</cx:f>
      </cx:strDim>
      <cx:numDim type="val">
        <cx:f dir="row">_xlchart.v1.21</cx:f>
      </cx:numDim>
    </cx:data>
    <cx:data id="10">
      <cx:strDim type="cat">
        <cx:f dir="row">_xlchart.v1.11</cx:f>
      </cx:strDim>
      <cx:numDim type="val">
        <cx:f dir="row">_xlchart.v1.22</cx:f>
      </cx:numDim>
    </cx:data>
  </cx:chartData>
  <cx:chart>
    <cx:title pos="t" align="ctr" overlay="0">
      <cx:tx>
        <cx:txData>
          <cx:v>Trade-off Analysis for Profits</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SG"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Trade-off Analysis for Profits</a:t>
          </a:r>
        </a:p>
      </cx:txPr>
    </cx:title>
    <cx:plotArea>
      <cx:plotAreaRegion>
        <cx:plotSurface>
          <cx:spPr>
            <a:ln>
              <a:solidFill>
                <a:schemeClr val="tx1"/>
              </a:solidFill>
            </a:ln>
          </cx:spPr>
        </cx:plotSurface>
        <cx:series layoutId="boxWhisker" uniqueId="{6C19BEE4-F9F4-44C4-89BC-29E495689475}">
          <cx:tx>
            <cx:txData>
              <cx:f>_xlchart.v1.0</cx:f>
              <cx:v>112.50</cx:v>
            </cx:txData>
          </cx:tx>
          <cx:spPr>
            <a:ln>
              <a:solidFill>
                <a:srgbClr val="FF0000"/>
              </a:solidFill>
            </a:ln>
          </cx:spPr>
          <cx:dataId val="0"/>
          <cx:layoutPr>
            <cx:statistics quartileMethod="exclusive"/>
          </cx:layoutPr>
        </cx:series>
        <cx:series layoutId="boxWhisker" uniqueId="{61E83637-3436-4ABA-862C-17C1823C2766}">
          <cx:tx>
            <cx:txData>
              <cx:f>_xlchart.v1.1</cx:f>
              <cx:v>108.00</cx:v>
            </cx:txData>
          </cx:tx>
          <cx:spPr>
            <a:ln>
              <a:solidFill>
                <a:schemeClr val="bg1"/>
              </a:solidFill>
            </a:ln>
          </cx:spPr>
          <cx:dataId val="1"/>
          <cx:layoutPr>
            <cx:statistics quartileMethod="exclusive"/>
          </cx:layoutPr>
        </cx:series>
        <cx:series layoutId="boxWhisker" uniqueId="{39D17EFA-FAB5-4C96-8E68-B4BB8ABB24BD}">
          <cx:tx>
            <cx:txData>
              <cx:f>_xlchart.v1.2</cx:f>
              <cx:v>103.50</cx:v>
            </cx:txData>
          </cx:tx>
          <cx:spPr>
            <a:ln>
              <a:solidFill>
                <a:srgbClr val="FF0000"/>
              </a:solidFill>
            </a:ln>
          </cx:spPr>
          <cx:dataId val="2"/>
          <cx:layoutPr>
            <cx:statistics quartileMethod="exclusive"/>
          </cx:layoutPr>
        </cx:series>
        <cx:series layoutId="boxWhisker" uniqueId="{52892F08-9BDE-4681-BEC9-E1EAF24C166D}">
          <cx:tx>
            <cx:txData>
              <cx:f>_xlchart.v1.3</cx:f>
              <cx:v>99.00</cx:v>
            </cx:txData>
          </cx:tx>
          <cx:spPr>
            <a:solidFill>
              <a:schemeClr val="bg1">
                <a:lumMod val="75000"/>
              </a:schemeClr>
            </a:solidFill>
            <a:ln>
              <a:solidFill>
                <a:schemeClr val="bg1"/>
              </a:solidFill>
            </a:ln>
          </cx:spPr>
          <cx:dataId val="3"/>
          <cx:layoutPr>
            <cx:statistics quartileMethod="exclusive"/>
          </cx:layoutPr>
        </cx:series>
        <cx:series layoutId="boxWhisker" uniqueId="{F8602879-E073-408D-BDC4-261F0221AF99}">
          <cx:tx>
            <cx:txData>
              <cx:f>_xlchart.v1.4</cx:f>
              <cx:v>94.50</cx:v>
            </cx:txData>
          </cx:tx>
          <cx:spPr>
            <a:ln>
              <a:solidFill>
                <a:srgbClr val="FF0000"/>
              </a:solidFill>
            </a:ln>
          </cx:spPr>
          <cx:dataId val="4"/>
          <cx:layoutPr>
            <cx:statistics quartileMethod="exclusive"/>
          </cx:layoutPr>
        </cx:series>
        <cx:series layoutId="boxWhisker" uniqueId="{BEB1F747-B64D-491C-809A-F2E7C8A3E5C8}">
          <cx:tx>
            <cx:txData>
              <cx:f>_xlchart.v1.5</cx:f>
              <cx:v>90.00</cx:v>
            </cx:txData>
          </cx:tx>
          <cx:spPr>
            <a:ln>
              <a:solidFill>
                <a:schemeClr val="bg1"/>
              </a:solidFill>
            </a:ln>
          </cx:spPr>
          <cx:dataId val="5"/>
          <cx:layoutPr>
            <cx:statistics quartileMethod="exclusive"/>
          </cx:layoutPr>
        </cx:series>
        <cx:series layoutId="boxWhisker" uniqueId="{196220AA-DCD3-42F7-828E-6CEB9BE84462}">
          <cx:tx>
            <cx:txData>
              <cx:f>_xlchart.v1.6</cx:f>
              <cx:v>85.50</cx:v>
            </cx:txData>
          </cx:tx>
          <cx:spPr>
            <a:ln>
              <a:solidFill>
                <a:srgbClr val="FF0000"/>
              </a:solidFill>
            </a:ln>
          </cx:spPr>
          <cx:dataId val="6"/>
          <cx:layoutPr>
            <cx:statistics quartileMethod="exclusive"/>
          </cx:layoutPr>
        </cx:series>
        <cx:series layoutId="boxWhisker" uniqueId="{6F50AC23-A20A-4FDD-8148-3D0C047667A4}">
          <cx:tx>
            <cx:txData>
              <cx:f>_xlchart.v1.7</cx:f>
              <cx:v>81.00</cx:v>
            </cx:txData>
          </cx:tx>
          <cx:spPr>
            <a:solidFill>
              <a:schemeClr val="bg1">
                <a:lumMod val="75000"/>
              </a:schemeClr>
            </a:solidFill>
            <a:ln>
              <a:solidFill>
                <a:schemeClr val="bg1"/>
              </a:solidFill>
            </a:ln>
          </cx:spPr>
          <cx:dataId val="7"/>
          <cx:layoutPr>
            <cx:statistics quartileMethod="exclusive"/>
          </cx:layoutPr>
        </cx:series>
        <cx:series layoutId="boxWhisker" uniqueId="{28BC5A53-B323-4A95-8C3A-193AEA32A40C}">
          <cx:tx>
            <cx:txData>
              <cx:f>_xlchart.v1.8</cx:f>
              <cx:v>76.50</cx:v>
            </cx:txData>
          </cx:tx>
          <cx:spPr>
            <a:ln>
              <a:solidFill>
                <a:srgbClr val="FF0000"/>
              </a:solidFill>
            </a:ln>
          </cx:spPr>
          <cx:dataId val="8"/>
          <cx:layoutPr>
            <cx:statistics quartileMethod="exclusive"/>
          </cx:layoutPr>
        </cx:series>
        <cx:series layoutId="boxWhisker" uniqueId="{656627F8-EBFA-4528-99DD-E032433E5418}">
          <cx:tx>
            <cx:txData>
              <cx:f>_xlchart.v1.9</cx:f>
              <cx:v>72.00</cx:v>
            </cx:txData>
          </cx:tx>
          <cx:spPr>
            <a:ln>
              <a:solidFill>
                <a:schemeClr val="bg1"/>
              </a:solidFill>
            </a:ln>
          </cx:spPr>
          <cx:dataId val="9"/>
          <cx:layoutPr>
            <cx:statistics quartileMethod="exclusive"/>
          </cx:layoutPr>
        </cx:series>
        <cx:series layoutId="boxWhisker" uniqueId="{29705820-EC79-4A57-96C1-3EAAF7AAE60D}">
          <cx:tx>
            <cx:txData>
              <cx:f>_xlchart.v1.10</cx:f>
              <cx:v>67.50</cx:v>
            </cx:txData>
          </cx:tx>
          <cx:spPr>
            <a:ln>
              <a:solidFill>
                <a:srgbClr val="FF0000"/>
              </a:solidFill>
            </a:ln>
          </cx:spPr>
          <cx:dataId val="10"/>
          <cx:layoutPr>
            <cx:statistics quartileMethod="exclusive"/>
          </cx:layoutPr>
        </cx:series>
      </cx:plotAreaRegion>
      <cx:axis id="0">
        <cx:catScaling/>
        <cx:tickLabels/>
      </cx:axis>
      <cx:axis id="1">
        <cx:valScaling/>
        <cx:tickLabels/>
      </cx:axis>
    </cx:plotArea>
    <cx:legend pos="t" align="ctr" overlay="0"/>
  </cx:chart>
  <cx:spPr>
    <a:gradFill flip="none" rotWithShape="1">
      <a:gsLst>
        <a:gs pos="0">
          <a:schemeClr val="accent5">
            <a:lumMod val="60000"/>
            <a:lumOff val="40000"/>
            <a:tint val="66000"/>
            <a:satMod val="160000"/>
          </a:schemeClr>
        </a:gs>
        <a:gs pos="50000">
          <a:schemeClr val="accent5">
            <a:lumMod val="60000"/>
            <a:lumOff val="40000"/>
            <a:tint val="44500"/>
            <a:satMod val="160000"/>
          </a:schemeClr>
        </a:gs>
        <a:gs pos="100000">
          <a:schemeClr val="accent5">
            <a:lumMod val="60000"/>
            <a:lumOff val="40000"/>
            <a:tint val="23500"/>
            <a:satMod val="160000"/>
          </a:schemeClr>
        </a:gs>
      </a:gsLst>
      <a:lin ang="10800000" scaled="1"/>
      <a:tileRect/>
    </a:gra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_xlchart.v1.24</cx:f>
      </cx:numDim>
    </cx:data>
  </cx:chartData>
  <cx:chart>
    <cx:title pos="t" align="ctr" overlay="0">
      <cx:tx>
        <cx:txData>
          <cx:v>CAGR (Total Revenue)</cx:v>
        </cx:txData>
      </cx:tx>
      <cx:txPr>
        <a:bodyPr spcFirstLastPara="1" vertOverflow="ellipsis" horzOverflow="overflow" wrap="square" lIns="0" tIns="0" rIns="0" bIns="0" anchor="ctr" anchorCtr="1"/>
        <a:lstStyle/>
        <a:p>
          <a:pPr algn="ctr" rtl="0">
            <a:defRPr/>
          </a:pPr>
          <a:r>
            <a:rPr lang="en-US" sz="1600" b="1" i="0" u="none" strike="noStrike" spc="100" baseline="0">
              <a:solidFill>
                <a:sysClr val="window" lastClr="FFFFFF">
                  <a:lumMod val="95000"/>
                </a:sysClr>
              </a:solidFill>
              <a:effectLst>
                <a:outerShdw blurRad="50800" dist="38100" dir="5400000" algn="t" rotWithShape="0">
                  <a:prstClr val="black">
                    <a:alpha val="40000"/>
                  </a:prstClr>
                </a:outerShdw>
              </a:effectLst>
              <a:latin typeface="Calibri" panose="020F0502020204030204"/>
            </a:rPr>
            <a:t>CAGR (Total Revenue)</a:t>
          </a:r>
        </a:p>
      </cx:txPr>
    </cx:title>
    <cx:plotArea>
      <cx:plotAreaRegion>
        <cx:series layoutId="clusteredColumn" uniqueId="{00000000-1EA2-44E5-85C0-1C211B54BE85}">
          <cx:tx>
            <cx:txData>
              <cx:f>_xlchart.v1.23</cx:f>
              <cx:v>CAGR (Total Revenue)</cx:v>
            </cx:txData>
          </cx:tx>
          <cx:dataId val="0"/>
          <cx:layoutPr>
            <cx:binning intervalClosed="r"/>
          </cx:layoutPr>
        </cx:series>
      </cx:plotAreaRegion>
      <cx:axis id="0">
        <cx:catScaling gapWidth="0"/>
        <cx:tickLabels/>
      </cx:axis>
      <cx:axis id="1">
        <cx:valScaling/>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microsoft.com/office/2014/relationships/chartEx" Target="../charts/chartEx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drawing12.xml.rels><?xml version="1.0" encoding="UTF-8" standalone="yes"?>
<Relationships xmlns="http://schemas.openxmlformats.org/package/2006/relationships"><Relationship Id="rId1" Type="http://schemas.microsoft.com/office/2014/relationships/chartEx" Target="../charts/chartEx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emf"/></Relationships>
</file>

<file path=xl/drawings/_rels/drawing1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oneCellAnchor>
    <xdr:from>
      <xdr:col>12</xdr:col>
      <xdr:colOff>0</xdr:colOff>
      <xdr:row>1</xdr:row>
      <xdr:rowOff>1</xdr:rowOff>
    </xdr:from>
    <xdr:ext cx="1206500" cy="1259415"/>
    <xdr:pic>
      <xdr:nvPicPr>
        <xdr:cNvPr id="2" name="Picture 12">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603875" y="195793"/>
          <a:ext cx="1206500" cy="1259415"/>
        </a:xfrm>
        <a:prstGeom prst="rect">
          <a:avLst/>
        </a:prstGeom>
        <a:noFill/>
        <a:ln w="9525">
          <a:noFill/>
          <a:miter lim="800000"/>
          <a:headEnd/>
          <a:tailEnd/>
        </a:ln>
      </xdr:spPr>
    </xdr:pic>
    <xdr:clientData/>
  </xdr:oneCellAnchor>
  <xdr:twoCellAnchor>
    <xdr:from>
      <xdr:col>13</xdr:col>
      <xdr:colOff>0</xdr:colOff>
      <xdr:row>17</xdr:row>
      <xdr:rowOff>0</xdr:rowOff>
    </xdr:from>
    <xdr:to>
      <xdr:col>14</xdr:col>
      <xdr:colOff>0</xdr:colOff>
      <xdr:row>18</xdr:row>
      <xdr:rowOff>30480</xdr:rowOff>
    </xdr:to>
    <xdr:sp macro="[0]!ThisWorkbook.ToggleHideSheets" textlink="">
      <xdr:nvSpPr>
        <xdr:cNvPr id="3" name="Rectangle 9">
          <a:extLst>
            <a:ext uri="{FF2B5EF4-FFF2-40B4-BE49-F238E27FC236}">
              <a16:creationId xmlns:a16="http://schemas.microsoft.com/office/drawing/2014/main" id="{00000000-0008-0000-0000-000003000000}"/>
            </a:ext>
          </a:extLst>
        </xdr:cNvPr>
        <xdr:cNvSpPr>
          <a:spLocks noChangeArrowheads="1"/>
        </xdr:cNvSpPr>
      </xdr:nvSpPr>
      <xdr:spPr bwMode="auto">
        <a:xfrm>
          <a:off x="8007350" y="2698750"/>
          <a:ext cx="615950" cy="189230"/>
        </a:xfrm>
        <a:prstGeom prst="rect">
          <a:avLst/>
        </a:prstGeom>
        <a:noFill/>
        <a:ln w="9525">
          <a:noFill/>
          <a:miter lim="800000"/>
          <a:headEnd/>
          <a:tailEnd/>
        </a:ln>
      </xdr:spPr>
    </xdr:sp>
    <xdr:clientData/>
  </xdr:twoCellAnchor>
  <xdr:twoCellAnchor>
    <xdr:from>
      <xdr:col>13</xdr:col>
      <xdr:colOff>0</xdr:colOff>
      <xdr:row>19</xdr:row>
      <xdr:rowOff>0</xdr:rowOff>
    </xdr:from>
    <xdr:to>
      <xdr:col>14</xdr:col>
      <xdr:colOff>0</xdr:colOff>
      <xdr:row>20</xdr:row>
      <xdr:rowOff>0</xdr:rowOff>
    </xdr:to>
    <xdr:sp macro="[0]!ThisWorkbook.ToggleProtectSheets" textlink="">
      <xdr:nvSpPr>
        <xdr:cNvPr id="4" name="Rectangle 22">
          <a:extLst>
            <a:ext uri="{FF2B5EF4-FFF2-40B4-BE49-F238E27FC236}">
              <a16:creationId xmlns:a16="http://schemas.microsoft.com/office/drawing/2014/main" id="{00000000-0008-0000-0000-000004000000}"/>
            </a:ext>
          </a:extLst>
        </xdr:cNvPr>
        <xdr:cNvSpPr>
          <a:spLocks noChangeArrowheads="1"/>
        </xdr:cNvSpPr>
      </xdr:nvSpPr>
      <xdr:spPr bwMode="auto">
        <a:xfrm>
          <a:off x="8007350" y="3016250"/>
          <a:ext cx="615950" cy="158750"/>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12</xdr:col>
          <xdr:colOff>50800</xdr:colOff>
          <xdr:row>10</xdr:row>
          <xdr:rowOff>38100</xdr:rowOff>
        </xdr:from>
        <xdr:to>
          <xdr:col>15</xdr:col>
          <xdr:colOff>88900</xdr:colOff>
          <xdr:row>11</xdr:row>
          <xdr:rowOff>50800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44450</xdr:colOff>
          <xdr:row>11</xdr:row>
          <xdr:rowOff>63500</xdr:rowOff>
        </xdr:from>
        <xdr:to>
          <xdr:col>15</xdr:col>
          <xdr:colOff>82550</xdr:colOff>
          <xdr:row>12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Order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12</xdr:row>
          <xdr:rowOff>88900</xdr:rowOff>
        </xdr:from>
        <xdr:to>
          <xdr:col>15</xdr:col>
          <xdr:colOff>88900</xdr:colOff>
          <xdr:row>13</xdr:row>
          <xdr:rowOff>101600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Overall Influence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44450</xdr:colOff>
          <xdr:row>13</xdr:row>
          <xdr:rowOff>114300</xdr:rowOff>
        </xdr:from>
        <xdr:to>
          <xdr:col>15</xdr:col>
          <xdr:colOff>82550</xdr:colOff>
          <xdr:row>14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Black Box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14</xdr:row>
          <xdr:rowOff>146050</xdr:rowOff>
        </xdr:from>
        <xdr:to>
          <xdr:col>15</xdr:col>
          <xdr:colOff>88900</xdr:colOff>
          <xdr:row>15</xdr:row>
          <xdr:rowOff>158750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Influence (Profits)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15</xdr:row>
          <xdr:rowOff>165100</xdr:rowOff>
        </xdr:from>
        <xdr:to>
          <xdr:col>15</xdr:col>
          <xdr:colOff>88900</xdr:colOff>
          <xdr:row>17</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Past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17</xdr:row>
          <xdr:rowOff>12700</xdr:rowOff>
        </xdr:from>
        <xdr:to>
          <xdr:col>15</xdr:col>
          <xdr:colOff>88900</xdr:colOff>
          <xdr:row>18</xdr:row>
          <xdr:rowOff>25400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Marketing Effects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18</xdr:row>
          <xdr:rowOff>38100</xdr:rowOff>
        </xdr:from>
        <xdr:to>
          <xdr:col>15</xdr:col>
          <xdr:colOff>88900</xdr:colOff>
          <xdr:row>19</xdr:row>
          <xdr:rowOff>50800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Sensitivity for Marketing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44450</xdr:colOff>
          <xdr:row>19</xdr:row>
          <xdr:rowOff>57150</xdr:rowOff>
        </xdr:from>
        <xdr:to>
          <xdr:col>15</xdr:col>
          <xdr:colOff>82550</xdr:colOff>
          <xdr:row>20</xdr:row>
          <xdr:rowOff>69850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Price Elasticity of Demand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20</xdr:row>
          <xdr:rowOff>82550</xdr:rowOff>
        </xdr:from>
        <xdr:to>
          <xdr:col>15</xdr:col>
          <xdr:colOff>88900</xdr:colOff>
          <xdr:row>21</xdr:row>
          <xdr:rowOff>101600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Trade-off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44450</xdr:colOff>
          <xdr:row>21</xdr:row>
          <xdr:rowOff>114300</xdr:rowOff>
        </xdr:from>
        <xdr:to>
          <xdr:col>15</xdr:col>
          <xdr:colOff>82550</xdr:colOff>
          <xdr:row>22</xdr:row>
          <xdr:rowOff>127000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Sensitivity Analysis for PED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44450</xdr:colOff>
          <xdr:row>22</xdr:row>
          <xdr:rowOff>120650</xdr:rowOff>
        </xdr:from>
        <xdr:to>
          <xdr:col>15</xdr:col>
          <xdr:colOff>82550</xdr:colOff>
          <xdr:row>23</xdr:row>
          <xdr:rowOff>133350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Solver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10</xdr:row>
          <xdr:rowOff>31750</xdr:rowOff>
        </xdr:from>
        <xdr:to>
          <xdr:col>18</xdr:col>
          <xdr:colOff>228600</xdr:colOff>
          <xdr:row>11</xdr:row>
          <xdr:rowOff>44450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Influence (Valuation)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196850</xdr:colOff>
          <xdr:row>11</xdr:row>
          <xdr:rowOff>57150</xdr:rowOff>
        </xdr:from>
        <xdr:to>
          <xdr:col>18</xdr:col>
          <xdr:colOff>234950</xdr:colOff>
          <xdr:row>12</xdr:row>
          <xdr:rowOff>69850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Growth Projection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12</xdr:row>
          <xdr:rowOff>76200</xdr:rowOff>
        </xdr:from>
        <xdr:to>
          <xdr:col>18</xdr:col>
          <xdr:colOff>228600</xdr:colOff>
          <xdr:row>13</xdr:row>
          <xdr:rowOff>88900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CAGR Calculation (SG)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196850</xdr:colOff>
          <xdr:row>13</xdr:row>
          <xdr:rowOff>101600</xdr:rowOff>
        </xdr:from>
        <xdr:to>
          <xdr:col>18</xdr:col>
          <xdr:colOff>234950</xdr:colOff>
          <xdr:row>14</xdr:row>
          <xdr:rowOff>114300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Expansion Plans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196850</xdr:colOff>
          <xdr:row>14</xdr:row>
          <xdr:rowOff>120650</xdr:rowOff>
        </xdr:from>
        <xdr:to>
          <xdr:col>18</xdr:col>
          <xdr:colOff>234950</xdr:colOff>
          <xdr:row>15</xdr:row>
          <xdr:rowOff>133350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Influence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196850</xdr:colOff>
          <xdr:row>15</xdr:row>
          <xdr:rowOff>139700</xdr:rowOff>
        </xdr:from>
        <xdr:to>
          <xdr:col>18</xdr:col>
          <xdr:colOff>234950</xdr:colOff>
          <xdr:row>16</xdr:row>
          <xdr:rowOff>152400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Seasonality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196850</xdr:colOff>
          <xdr:row>16</xdr:row>
          <xdr:rowOff>158750</xdr:rowOff>
        </xdr:from>
        <xdr:to>
          <xdr:col>18</xdr:col>
          <xdr:colOff>234950</xdr:colOff>
          <xdr:row>17</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Forecasting (EDP 30ml)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18</xdr:row>
          <xdr:rowOff>12700</xdr:rowOff>
        </xdr:from>
        <xdr:to>
          <xdr:col>18</xdr:col>
          <xdr:colOff>228600</xdr:colOff>
          <xdr:row>19</xdr:row>
          <xdr:rowOff>19050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Forecasting (EDP 50ml)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196850</xdr:colOff>
          <xdr:row>19</xdr:row>
          <xdr:rowOff>31750</xdr:rowOff>
        </xdr:from>
        <xdr:to>
          <xdr:col>18</xdr:col>
          <xdr:colOff>234950</xdr:colOff>
          <xdr:row>20</xdr:row>
          <xdr:rowOff>44450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Forecasting (BM 100ml)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20</xdr:row>
          <xdr:rowOff>63500</xdr:rowOff>
        </xdr:from>
        <xdr:to>
          <xdr:col>18</xdr:col>
          <xdr:colOff>228600</xdr:colOff>
          <xdr:row>21</xdr:row>
          <xdr:rowOff>76200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Fractions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196850</xdr:colOff>
          <xdr:row>21</xdr:row>
          <xdr:rowOff>88900</xdr:rowOff>
        </xdr:from>
        <xdr:to>
          <xdr:col>18</xdr:col>
          <xdr:colOff>234950</xdr:colOff>
          <xdr:row>22</xdr:row>
          <xdr:rowOff>101600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Order Quantity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135309</xdr:colOff>
      <xdr:row>7</xdr:row>
      <xdr:rowOff>43726</xdr:rowOff>
    </xdr:from>
    <xdr:to>
      <xdr:col>6</xdr:col>
      <xdr:colOff>531549</xdr:colOff>
      <xdr:row>21</xdr:row>
      <xdr:rowOff>18676</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31</xdr:row>
      <xdr:rowOff>102551</xdr:rowOff>
    </xdr:from>
    <xdr:to>
      <xdr:col>6</xdr:col>
      <xdr:colOff>513602</xdr:colOff>
      <xdr:row>45</xdr:row>
      <xdr:rowOff>54125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42183</xdr:colOff>
      <xdr:row>55</xdr:row>
      <xdr:rowOff>95429</xdr:rowOff>
    </xdr:from>
    <xdr:to>
      <xdr:col>6</xdr:col>
      <xdr:colOff>378951</xdr:colOff>
      <xdr:row>69</xdr:row>
      <xdr:rowOff>47002</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27</xdr:col>
      <xdr:colOff>553432</xdr:colOff>
      <xdr:row>29</xdr:row>
      <xdr:rowOff>133822</xdr:rowOff>
    </xdr:from>
    <xdr:to>
      <xdr:col>29</xdr:col>
      <xdr:colOff>308240</xdr:colOff>
      <xdr:row>32</xdr:row>
      <xdr:rowOff>133821</xdr:rowOff>
    </xdr:to>
    <xdr:sp macro="" textlink="">
      <xdr:nvSpPr>
        <xdr:cNvPr id="2" name="AutoShape 1">
          <a:extLst>
            <a:ext uri="{FF2B5EF4-FFF2-40B4-BE49-F238E27FC236}">
              <a16:creationId xmlns:a16="http://schemas.microsoft.com/office/drawing/2014/main" id="{00000000-0008-0000-0300-000002000000}"/>
            </a:ext>
          </a:extLst>
        </xdr:cNvPr>
        <xdr:cNvSpPr>
          <a:spLocks noChangeAspect="1" noChangeArrowheads="1"/>
        </xdr:cNvSpPr>
      </xdr:nvSpPr>
      <xdr:spPr bwMode="auto">
        <a:xfrm>
          <a:off x="12212032" y="5563072"/>
          <a:ext cx="1037508" cy="495299"/>
        </a:xfrm>
        <a:prstGeom prst="roundRect">
          <a:avLst>
            <a:gd name="adj" fmla="val 16667"/>
          </a:avLst>
        </a:prstGeom>
        <a:solidFill>
          <a:schemeClr val="accent2">
            <a:lumMod val="40000"/>
            <a:lumOff val="6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tx1"/>
              </a:solidFill>
              <a:latin typeface="Calibri"/>
              <a:ea typeface="+mn-ea"/>
              <a:cs typeface="Calibri"/>
            </a:rPr>
            <a:t>Profits</a:t>
          </a:r>
        </a:p>
      </xdr:txBody>
    </xdr:sp>
    <xdr:clientData/>
  </xdr:twoCellAnchor>
  <xdr:twoCellAnchor>
    <xdr:from>
      <xdr:col>21</xdr:col>
      <xdr:colOff>23910</xdr:colOff>
      <xdr:row>37</xdr:row>
      <xdr:rowOff>38698</xdr:rowOff>
    </xdr:from>
    <xdr:to>
      <xdr:col>24</xdr:col>
      <xdr:colOff>314305</xdr:colOff>
      <xdr:row>40</xdr:row>
      <xdr:rowOff>38698</xdr:rowOff>
    </xdr:to>
    <xdr:sp macro="" textlink="">
      <xdr:nvSpPr>
        <xdr:cNvPr id="3" name="AutoShape 3">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9015510" y="6788748"/>
          <a:ext cx="1033345" cy="495300"/>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Total </a:t>
          </a:r>
        </a:p>
        <a:p>
          <a:pPr marL="0" indent="0" algn="ctr" rtl="0">
            <a:defRPr sz="1000"/>
          </a:pPr>
          <a:r>
            <a:rPr lang="en-US" sz="1000" b="0" i="0" strike="noStrike">
              <a:solidFill>
                <a:sysClr val="windowText" lastClr="000000"/>
              </a:solidFill>
              <a:latin typeface="Calibri"/>
              <a:ea typeface="+mn-ea"/>
              <a:cs typeface="Calibri"/>
            </a:rPr>
            <a:t>Cost</a:t>
          </a:r>
        </a:p>
      </xdr:txBody>
    </xdr:sp>
    <xdr:clientData/>
  </xdr:twoCellAnchor>
  <xdr:twoCellAnchor>
    <xdr:from>
      <xdr:col>12</xdr:col>
      <xdr:colOff>515798</xdr:colOff>
      <xdr:row>16</xdr:row>
      <xdr:rowOff>198120</xdr:rowOff>
    </xdr:from>
    <xdr:to>
      <xdr:col>15</xdr:col>
      <xdr:colOff>204771</xdr:colOff>
      <xdr:row>19</xdr:row>
      <xdr:rowOff>122443</xdr:rowOff>
    </xdr:to>
    <xdr:sp macro="" textlink="">
      <xdr:nvSpPr>
        <xdr:cNvPr id="4" name="AutoShape 4">
          <a:extLst>
            <a:ext uri="{FF2B5EF4-FFF2-40B4-BE49-F238E27FC236}">
              <a16:creationId xmlns:a16="http://schemas.microsoft.com/office/drawing/2014/main" id="{00000000-0008-0000-0300-000004000000}"/>
            </a:ext>
          </a:extLst>
        </xdr:cNvPr>
        <xdr:cNvSpPr>
          <a:spLocks noChangeAspect="1" noChangeArrowheads="1"/>
        </xdr:cNvSpPr>
      </xdr:nvSpPr>
      <xdr:spPr bwMode="auto">
        <a:xfrm>
          <a:off x="5589448" y="3347720"/>
          <a:ext cx="1047873" cy="483123"/>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Perfume</a:t>
          </a:r>
        </a:p>
        <a:p>
          <a:pPr algn="ctr" rtl="0">
            <a:defRPr sz="1000"/>
          </a:pPr>
          <a:r>
            <a:rPr lang="en-US" sz="1000" b="0" i="0" strike="noStrike">
              <a:solidFill>
                <a:sysClr val="windowText" lastClr="000000"/>
              </a:solidFill>
              <a:latin typeface="Calibri"/>
              <a:cs typeface="Calibri"/>
            </a:rPr>
            <a:t>Demand</a:t>
          </a:r>
        </a:p>
      </xdr:txBody>
    </xdr:sp>
    <xdr:clientData/>
  </xdr:twoCellAnchor>
  <xdr:twoCellAnchor>
    <xdr:from>
      <xdr:col>0</xdr:col>
      <xdr:colOff>242949</xdr:colOff>
      <xdr:row>47</xdr:row>
      <xdr:rowOff>22761</xdr:rowOff>
    </xdr:from>
    <xdr:to>
      <xdr:col>5</xdr:col>
      <xdr:colOff>317154</xdr:colOff>
      <xdr:row>53</xdr:row>
      <xdr:rowOff>16112</xdr:rowOff>
    </xdr:to>
    <xdr:sp macro="" textlink="">
      <xdr:nvSpPr>
        <xdr:cNvPr id="5" name="AutoShape 5">
          <a:extLst>
            <a:ext uri="{FF2B5EF4-FFF2-40B4-BE49-F238E27FC236}">
              <a16:creationId xmlns:a16="http://schemas.microsoft.com/office/drawing/2014/main" id="{00000000-0008-0000-0300-000005000000}"/>
            </a:ext>
          </a:extLst>
        </xdr:cNvPr>
        <xdr:cNvSpPr>
          <a:spLocks noChangeAspect="1" noChangeArrowheads="1"/>
        </xdr:cNvSpPr>
      </xdr:nvSpPr>
      <xdr:spPr bwMode="auto">
        <a:xfrm>
          <a:off x="242949" y="8266998"/>
          <a:ext cx="1957680" cy="961995"/>
        </a:xfrm>
        <a:prstGeom prst="roundRect">
          <a:avLst>
            <a:gd name="adj" fmla="val 16667"/>
          </a:avLst>
        </a:prstGeom>
        <a:noFill/>
        <a:ln w="9525">
          <a:solidFill>
            <a:srgbClr val="000000"/>
          </a:solidFill>
          <a:round/>
          <a:headEnd/>
          <a:tailEnd/>
        </a:ln>
      </xdr:spPr>
      <xdr:txBody>
        <a:bodyPr vertOverflow="clip" wrap="square" lIns="36576" tIns="27432" rIns="36576" bIns="27432" anchor="t" upright="1"/>
        <a:lstStyle/>
        <a:p>
          <a:pPr algn="ctr" rtl="0">
            <a:defRPr sz="1000"/>
          </a:pPr>
          <a:r>
            <a:rPr lang="en-US" sz="1000" b="0" i="0" strike="noStrike">
              <a:solidFill>
                <a:srgbClr val="993366"/>
              </a:solidFill>
              <a:latin typeface="Calibri"/>
              <a:cs typeface="Calibri"/>
            </a:rPr>
            <a:t>Variable Cost </a:t>
          </a:r>
        </a:p>
        <a:p>
          <a:pPr algn="ctr" rtl="0">
            <a:defRPr sz="1000"/>
          </a:pPr>
          <a:r>
            <a:rPr lang="en-US" sz="1000" b="0" i="0" strike="noStrike">
              <a:solidFill>
                <a:srgbClr val="993366"/>
              </a:solidFill>
              <a:latin typeface="Calibri"/>
              <a:cs typeface="Calibri"/>
            </a:rPr>
            <a:t>- </a:t>
          </a:r>
          <a:r>
            <a:rPr lang="en-US" sz="1000" b="0" i="0" strike="noStrike" baseline="0">
              <a:solidFill>
                <a:srgbClr val="993366"/>
              </a:solidFill>
              <a:latin typeface="Calibri"/>
              <a:cs typeface="Calibri"/>
            </a:rPr>
            <a:t> Ingredient costs </a:t>
          </a:r>
          <a:r>
            <a:rPr lang="en-US" sz="1000" b="0" i="0" strike="noStrike">
              <a:solidFill>
                <a:srgbClr val="993366"/>
              </a:solidFill>
              <a:latin typeface="Calibri"/>
              <a:cs typeface="Calibri"/>
            </a:rPr>
            <a:t>per volume</a:t>
          </a:r>
          <a:r>
            <a:rPr lang="en-US" sz="1000" b="0" i="0" strike="noStrike" baseline="0">
              <a:solidFill>
                <a:srgbClr val="993366"/>
              </a:solidFill>
              <a:latin typeface="Calibri"/>
              <a:cs typeface="Calibri"/>
            </a:rPr>
            <a:t> /ml (30ml, 50ml and 100ml Bodymist)</a:t>
          </a:r>
        </a:p>
        <a:p>
          <a:pPr marL="0" marR="0" lvl="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baseline="0">
              <a:solidFill>
                <a:srgbClr val="993366"/>
              </a:solidFill>
              <a:latin typeface="Calibri"/>
              <a:ea typeface="+mn-ea"/>
              <a:cs typeface="Calibri"/>
            </a:rPr>
            <a:t>- Costs of bottle </a:t>
          </a:r>
        </a:p>
        <a:p>
          <a:pPr marL="0" marR="0" lvl="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baseline="0">
              <a:solidFill>
                <a:srgbClr val="993366"/>
              </a:solidFill>
              <a:latin typeface="Calibri"/>
              <a:ea typeface="+mn-ea"/>
              <a:cs typeface="Calibri"/>
            </a:rPr>
            <a:t>(30ml, 50ml and 100ml Bodymist)</a:t>
          </a:r>
          <a:endParaRPr lang="en-GB">
            <a:effectLst/>
          </a:endParaRPr>
        </a:p>
        <a:p>
          <a:pPr algn="ctr" rtl="0">
            <a:defRPr sz="1000"/>
          </a:pPr>
          <a:endParaRPr lang="en-US" sz="1000" b="0" i="0" strike="noStrike" baseline="0">
            <a:solidFill>
              <a:srgbClr val="993366"/>
            </a:solidFill>
            <a:latin typeface="Calibri"/>
            <a:cs typeface="Calibri"/>
          </a:endParaRPr>
        </a:p>
        <a:p>
          <a:pPr algn="ctr" rtl="0">
            <a:defRPr sz="1000"/>
          </a:pPr>
          <a:endParaRPr lang="en-US" sz="1000" b="0" i="0" strike="noStrike">
            <a:solidFill>
              <a:srgbClr val="993366"/>
            </a:solidFill>
            <a:latin typeface="Calibri"/>
            <a:cs typeface="Calibri"/>
          </a:endParaRPr>
        </a:p>
      </xdr:txBody>
    </xdr:sp>
    <xdr:clientData/>
  </xdr:twoCellAnchor>
  <xdr:twoCellAnchor>
    <xdr:from>
      <xdr:col>0</xdr:col>
      <xdr:colOff>253999</xdr:colOff>
      <xdr:row>39</xdr:row>
      <xdr:rowOff>117433</xdr:rowOff>
    </xdr:from>
    <xdr:to>
      <xdr:col>6</xdr:col>
      <xdr:colOff>337786</xdr:colOff>
      <xdr:row>45</xdr:row>
      <xdr:rowOff>133928</xdr:rowOff>
    </xdr:to>
    <xdr:sp macro="" textlink="">
      <xdr:nvSpPr>
        <xdr:cNvPr id="6" name="AutoShape 6">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253999" y="7070145"/>
          <a:ext cx="2290143" cy="985139"/>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Allocated Fixed Cost</a:t>
          </a:r>
        </a:p>
        <a:p>
          <a:pPr algn="ctr" rtl="0">
            <a:defRPr sz="1000"/>
          </a:pPr>
          <a:r>
            <a:rPr lang="en-US" sz="1000" b="0" i="0" strike="noStrike">
              <a:solidFill>
                <a:srgbClr val="993366"/>
              </a:solidFill>
              <a:latin typeface="Calibri"/>
              <a:cs typeface="Calibri"/>
            </a:rPr>
            <a:t>- Shop</a:t>
          </a:r>
          <a:r>
            <a:rPr lang="en-US" sz="1000" b="0" i="0" strike="noStrike" baseline="0">
              <a:solidFill>
                <a:srgbClr val="993366"/>
              </a:solidFill>
              <a:latin typeface="Calibri"/>
              <a:cs typeface="Calibri"/>
            </a:rPr>
            <a:t> Rental</a:t>
          </a:r>
        </a:p>
        <a:p>
          <a:pPr algn="ctr" rtl="0">
            <a:defRPr sz="1000"/>
          </a:pPr>
          <a:r>
            <a:rPr lang="en-US" sz="1000" b="0" i="0" strike="noStrike" baseline="0">
              <a:solidFill>
                <a:srgbClr val="993366"/>
              </a:solidFill>
              <a:latin typeface="Calibri"/>
              <a:cs typeface="Calibri"/>
            </a:rPr>
            <a:t>- Electricity</a:t>
          </a:r>
        </a:p>
        <a:p>
          <a:pPr algn="ctr" rtl="0">
            <a:defRPr sz="1000"/>
          </a:pPr>
          <a:r>
            <a:rPr lang="en-US" sz="1000" b="0" i="0" strike="noStrike" baseline="0">
              <a:solidFill>
                <a:srgbClr val="993366"/>
              </a:solidFill>
              <a:latin typeface="Calibri"/>
              <a:cs typeface="Calibri"/>
            </a:rPr>
            <a:t>- Pay for Part-time and Full-time workers</a:t>
          </a:r>
        </a:p>
        <a:p>
          <a:pPr algn="ctr" rtl="0">
            <a:defRPr sz="1000"/>
          </a:pPr>
          <a:r>
            <a:rPr lang="en-US" sz="1000" b="0" i="0" strike="noStrike" baseline="0">
              <a:solidFill>
                <a:srgbClr val="993366"/>
              </a:solidFill>
              <a:latin typeface="Calibri"/>
              <a:cs typeface="Calibri"/>
            </a:rPr>
            <a:t>-  Others</a:t>
          </a:r>
          <a:endParaRPr lang="en-US" sz="1000" b="0" i="0" strike="noStrike">
            <a:solidFill>
              <a:srgbClr val="993366"/>
            </a:solidFill>
            <a:latin typeface="Calibri"/>
            <a:cs typeface="Calibri"/>
          </a:endParaRPr>
        </a:p>
      </xdr:txBody>
    </xdr:sp>
    <xdr:clientData/>
  </xdr:twoCellAnchor>
  <xdr:twoCellAnchor>
    <xdr:from>
      <xdr:col>0</xdr:col>
      <xdr:colOff>233522</xdr:colOff>
      <xdr:row>19</xdr:row>
      <xdr:rowOff>221751</xdr:rowOff>
    </xdr:from>
    <xdr:to>
      <xdr:col>3</xdr:col>
      <xdr:colOff>427369</xdr:colOff>
      <xdr:row>22</xdr:row>
      <xdr:rowOff>155776</xdr:rowOff>
    </xdr:to>
    <xdr:sp macro="" textlink="">
      <xdr:nvSpPr>
        <xdr:cNvPr id="7" name="AutoShape 7">
          <a:extLst>
            <a:ext uri="{FF2B5EF4-FFF2-40B4-BE49-F238E27FC236}">
              <a16:creationId xmlns:a16="http://schemas.microsoft.com/office/drawing/2014/main" id="{00000000-0008-0000-0300-000007000000}"/>
            </a:ext>
          </a:extLst>
        </xdr:cNvPr>
        <xdr:cNvSpPr>
          <a:spLocks noChangeAspect="1" noChangeArrowheads="1"/>
        </xdr:cNvSpPr>
      </xdr:nvSpPr>
      <xdr:spPr bwMode="auto">
        <a:xfrm>
          <a:off x="233522" y="3930151"/>
          <a:ext cx="1044747" cy="499175"/>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accent1"/>
              </a:solidFill>
              <a:latin typeface="Calibri"/>
              <a:cs typeface="Calibri"/>
            </a:rPr>
            <a:t>Perfume</a:t>
          </a:r>
          <a:r>
            <a:rPr lang="en-US" sz="1000" b="0" i="0" strike="noStrike" baseline="0">
              <a:solidFill>
                <a:schemeClr val="accent1"/>
              </a:solidFill>
              <a:latin typeface="Calibri"/>
              <a:cs typeface="Calibri"/>
            </a:rPr>
            <a:t> Prices</a:t>
          </a:r>
        </a:p>
      </xdr:txBody>
    </xdr:sp>
    <xdr:clientData/>
  </xdr:twoCellAnchor>
  <xdr:twoCellAnchor>
    <xdr:from>
      <xdr:col>24</xdr:col>
      <xdr:colOff>314305</xdr:colOff>
      <xdr:row>31</xdr:row>
      <xdr:rowOff>52179</xdr:rowOff>
    </xdr:from>
    <xdr:to>
      <xdr:col>27</xdr:col>
      <xdr:colOff>553432</xdr:colOff>
      <xdr:row>38</xdr:row>
      <xdr:rowOff>120341</xdr:rowOff>
    </xdr:to>
    <xdr:cxnSp macro="">
      <xdr:nvCxnSpPr>
        <xdr:cNvPr id="8" name="AutoShape 15">
          <a:extLst>
            <a:ext uri="{FF2B5EF4-FFF2-40B4-BE49-F238E27FC236}">
              <a16:creationId xmlns:a16="http://schemas.microsoft.com/office/drawing/2014/main" id="{00000000-0008-0000-0300-000008000000}"/>
            </a:ext>
          </a:extLst>
        </xdr:cNvPr>
        <xdr:cNvCxnSpPr>
          <a:cxnSpLocks noChangeShapeType="1"/>
          <a:stCxn id="3" idx="3"/>
          <a:endCxn id="2" idx="1"/>
        </xdr:cNvCxnSpPr>
      </xdr:nvCxnSpPr>
      <xdr:spPr bwMode="auto">
        <a:xfrm flipV="1">
          <a:off x="10048855" y="5811629"/>
          <a:ext cx="2163177" cy="1223862"/>
        </a:xfrm>
        <a:prstGeom prst="straightConnector1">
          <a:avLst/>
        </a:prstGeom>
        <a:noFill/>
        <a:ln w="9525">
          <a:solidFill>
            <a:srgbClr val="000000"/>
          </a:solidFill>
          <a:round/>
          <a:headEnd/>
          <a:tailEnd type="arrow" w="med" len="med"/>
        </a:ln>
      </xdr:spPr>
    </xdr:cxnSp>
    <xdr:clientData/>
  </xdr:twoCellAnchor>
  <xdr:twoCellAnchor>
    <xdr:from>
      <xdr:col>22</xdr:col>
      <xdr:colOff>2494</xdr:colOff>
      <xdr:row>21</xdr:row>
      <xdr:rowOff>41375</xdr:rowOff>
    </xdr:from>
    <xdr:to>
      <xdr:col>24</xdr:col>
      <xdr:colOff>336951</xdr:colOff>
      <xdr:row>24</xdr:row>
      <xdr:rowOff>62422</xdr:rowOff>
    </xdr:to>
    <xdr:sp macro="" textlink="">
      <xdr:nvSpPr>
        <xdr:cNvPr id="9" name="AutoShape 17">
          <a:extLst>
            <a:ext uri="{FF2B5EF4-FFF2-40B4-BE49-F238E27FC236}">
              <a16:creationId xmlns:a16="http://schemas.microsoft.com/office/drawing/2014/main" id="{00000000-0008-0000-0300-000009000000}"/>
            </a:ext>
          </a:extLst>
        </xdr:cNvPr>
        <xdr:cNvSpPr>
          <a:spLocks noChangeAspect="1" noChangeArrowheads="1"/>
        </xdr:cNvSpPr>
      </xdr:nvSpPr>
      <xdr:spPr bwMode="auto">
        <a:xfrm>
          <a:off x="9044894" y="4149825"/>
          <a:ext cx="1026607" cy="516347"/>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tx1"/>
              </a:solidFill>
              <a:latin typeface="Calibri"/>
              <a:cs typeface="Calibri"/>
            </a:rPr>
            <a:t>Total </a:t>
          </a:r>
        </a:p>
        <a:p>
          <a:pPr algn="ctr" rtl="0">
            <a:defRPr sz="1000"/>
          </a:pPr>
          <a:r>
            <a:rPr lang="en-US" sz="1000" b="0" i="0" strike="noStrike">
              <a:solidFill>
                <a:schemeClr val="tx1"/>
              </a:solidFill>
              <a:latin typeface="Calibri"/>
              <a:cs typeface="Calibri"/>
            </a:rPr>
            <a:t>Revenue</a:t>
          </a:r>
        </a:p>
      </xdr:txBody>
    </xdr:sp>
    <xdr:clientData/>
  </xdr:twoCellAnchor>
  <xdr:twoCellAnchor>
    <xdr:from>
      <xdr:col>24</xdr:col>
      <xdr:colOff>336951</xdr:colOff>
      <xdr:row>22</xdr:row>
      <xdr:rowOff>136133</xdr:rowOff>
    </xdr:from>
    <xdr:to>
      <xdr:col>27</xdr:col>
      <xdr:colOff>553432</xdr:colOff>
      <xdr:row>31</xdr:row>
      <xdr:rowOff>49587</xdr:rowOff>
    </xdr:to>
    <xdr:cxnSp macro="">
      <xdr:nvCxnSpPr>
        <xdr:cNvPr id="10" name="AutoShape 19">
          <a:extLst>
            <a:ext uri="{FF2B5EF4-FFF2-40B4-BE49-F238E27FC236}">
              <a16:creationId xmlns:a16="http://schemas.microsoft.com/office/drawing/2014/main" id="{00000000-0008-0000-0300-00000A000000}"/>
            </a:ext>
          </a:extLst>
        </xdr:cNvPr>
        <xdr:cNvCxnSpPr>
          <a:cxnSpLocks noChangeShapeType="1"/>
          <a:stCxn id="9" idx="3"/>
          <a:endCxn id="2" idx="1"/>
        </xdr:cNvCxnSpPr>
      </xdr:nvCxnSpPr>
      <xdr:spPr bwMode="auto">
        <a:xfrm>
          <a:off x="10071501" y="4409683"/>
          <a:ext cx="2140531" cy="1399354"/>
        </a:xfrm>
        <a:prstGeom prst="straightConnector1">
          <a:avLst/>
        </a:prstGeom>
        <a:noFill/>
        <a:ln w="9525">
          <a:solidFill>
            <a:srgbClr val="000000"/>
          </a:solidFill>
          <a:round/>
          <a:headEnd/>
          <a:tailEnd type="arrow" w="med" len="med"/>
        </a:ln>
      </xdr:spPr>
    </xdr:cxnSp>
    <xdr:clientData/>
  </xdr:twoCellAnchor>
  <xdr:twoCellAnchor>
    <xdr:from>
      <xdr:col>11</xdr:col>
      <xdr:colOff>284660</xdr:colOff>
      <xdr:row>33</xdr:row>
      <xdr:rowOff>124945</xdr:rowOff>
    </xdr:from>
    <xdr:to>
      <xdr:col>21</xdr:col>
      <xdr:colOff>23910</xdr:colOff>
      <xdr:row>38</xdr:row>
      <xdr:rowOff>124946</xdr:rowOff>
    </xdr:to>
    <xdr:cxnSp macro="">
      <xdr:nvCxnSpPr>
        <xdr:cNvPr id="11" name="AutoShape 21">
          <a:extLst>
            <a:ext uri="{FF2B5EF4-FFF2-40B4-BE49-F238E27FC236}">
              <a16:creationId xmlns:a16="http://schemas.microsoft.com/office/drawing/2014/main" id="{00000000-0008-0000-0300-00000B000000}"/>
            </a:ext>
          </a:extLst>
        </xdr:cNvPr>
        <xdr:cNvCxnSpPr>
          <a:cxnSpLocks noChangeShapeType="1"/>
          <a:endCxn id="3" idx="1"/>
        </xdr:cNvCxnSpPr>
      </xdr:nvCxnSpPr>
      <xdr:spPr bwMode="auto">
        <a:xfrm>
          <a:off x="5040810" y="6214595"/>
          <a:ext cx="3974700" cy="825501"/>
        </a:xfrm>
        <a:prstGeom prst="straightConnector1">
          <a:avLst/>
        </a:prstGeom>
        <a:noFill/>
        <a:ln w="9525">
          <a:solidFill>
            <a:srgbClr val="FFFFFF"/>
          </a:solidFill>
          <a:round/>
          <a:headEnd/>
          <a:tailEnd type="triangle" w="med" len="med"/>
        </a:ln>
      </xdr:spPr>
    </xdr:cxnSp>
    <xdr:clientData/>
  </xdr:twoCellAnchor>
  <xdr:twoCellAnchor>
    <xdr:from>
      <xdr:col>6</xdr:col>
      <xdr:colOff>337786</xdr:colOff>
      <xdr:row>38</xdr:row>
      <xdr:rowOff>121248</xdr:rowOff>
    </xdr:from>
    <xdr:to>
      <xdr:col>21</xdr:col>
      <xdr:colOff>23910</xdr:colOff>
      <xdr:row>42</xdr:row>
      <xdr:rowOff>125681</xdr:rowOff>
    </xdr:to>
    <xdr:cxnSp macro="">
      <xdr:nvCxnSpPr>
        <xdr:cNvPr id="12" name="AutoShape 22">
          <a:extLst>
            <a:ext uri="{FF2B5EF4-FFF2-40B4-BE49-F238E27FC236}">
              <a16:creationId xmlns:a16="http://schemas.microsoft.com/office/drawing/2014/main" id="{00000000-0008-0000-0300-00000C000000}"/>
            </a:ext>
          </a:extLst>
        </xdr:cNvPr>
        <xdr:cNvCxnSpPr>
          <a:cxnSpLocks noChangeShapeType="1"/>
          <a:stCxn id="6" idx="3"/>
          <a:endCxn id="3" idx="1"/>
        </xdr:cNvCxnSpPr>
      </xdr:nvCxnSpPr>
      <xdr:spPr bwMode="auto">
        <a:xfrm flipV="1">
          <a:off x="2547586" y="7036398"/>
          <a:ext cx="6467924" cy="664833"/>
        </a:xfrm>
        <a:prstGeom prst="straightConnector1">
          <a:avLst/>
        </a:prstGeom>
        <a:noFill/>
        <a:ln w="9525">
          <a:solidFill>
            <a:srgbClr val="000000"/>
          </a:solidFill>
          <a:round/>
          <a:headEnd/>
          <a:tailEnd type="arrow" w="med" len="med"/>
        </a:ln>
      </xdr:spPr>
    </xdr:cxnSp>
    <xdr:clientData/>
  </xdr:twoCellAnchor>
  <xdr:twoCellAnchor>
    <xdr:from>
      <xdr:col>5</xdr:col>
      <xdr:colOff>317154</xdr:colOff>
      <xdr:row>38</xdr:row>
      <xdr:rowOff>121248</xdr:rowOff>
    </xdr:from>
    <xdr:to>
      <xdr:col>21</xdr:col>
      <xdr:colOff>23910</xdr:colOff>
      <xdr:row>50</xdr:row>
      <xdr:rowOff>19437</xdr:rowOff>
    </xdr:to>
    <xdr:cxnSp macro="">
      <xdr:nvCxnSpPr>
        <xdr:cNvPr id="13" name="AutoShape 23">
          <a:extLst>
            <a:ext uri="{FF2B5EF4-FFF2-40B4-BE49-F238E27FC236}">
              <a16:creationId xmlns:a16="http://schemas.microsoft.com/office/drawing/2014/main" id="{00000000-0008-0000-0300-00000D000000}"/>
            </a:ext>
          </a:extLst>
        </xdr:cNvPr>
        <xdr:cNvCxnSpPr>
          <a:cxnSpLocks noChangeShapeType="1"/>
          <a:stCxn id="5" idx="3"/>
          <a:endCxn id="3" idx="1"/>
        </xdr:cNvCxnSpPr>
      </xdr:nvCxnSpPr>
      <xdr:spPr bwMode="auto">
        <a:xfrm flipV="1">
          <a:off x="2209454" y="7036398"/>
          <a:ext cx="6806056" cy="1879389"/>
        </a:xfrm>
        <a:prstGeom prst="straightConnector1">
          <a:avLst/>
        </a:prstGeom>
        <a:noFill/>
        <a:ln w="9525">
          <a:solidFill>
            <a:srgbClr val="000000"/>
          </a:solidFill>
          <a:round/>
          <a:headEnd/>
          <a:tailEnd type="arrow" w="med" len="med"/>
        </a:ln>
      </xdr:spPr>
    </xdr:cxnSp>
    <xdr:clientData/>
  </xdr:twoCellAnchor>
  <xdr:twoCellAnchor>
    <xdr:from>
      <xdr:col>0</xdr:col>
      <xdr:colOff>244104</xdr:colOff>
      <xdr:row>34</xdr:row>
      <xdr:rowOff>103252</xdr:rowOff>
    </xdr:from>
    <xdr:to>
      <xdr:col>3</xdr:col>
      <xdr:colOff>466649</xdr:colOff>
      <xdr:row>37</xdr:row>
      <xdr:rowOff>103252</xdr:rowOff>
    </xdr:to>
    <xdr:sp macro="" textlink="">
      <xdr:nvSpPr>
        <xdr:cNvPr id="14" name="AutoShape 7">
          <a:extLst>
            <a:ext uri="{FF2B5EF4-FFF2-40B4-BE49-F238E27FC236}">
              <a16:creationId xmlns:a16="http://schemas.microsoft.com/office/drawing/2014/main" id="{00000000-0008-0000-0300-00000E000000}"/>
            </a:ext>
          </a:extLst>
        </xdr:cNvPr>
        <xdr:cNvSpPr>
          <a:spLocks noChangeAspect="1" noChangeArrowheads="1"/>
        </xdr:cNvSpPr>
      </xdr:nvSpPr>
      <xdr:spPr bwMode="auto">
        <a:xfrm>
          <a:off x="244104" y="6248760"/>
          <a:ext cx="1072799" cy="484323"/>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accent1"/>
              </a:solidFill>
              <a:latin typeface="Calibri"/>
              <a:cs typeface="Calibri"/>
            </a:rPr>
            <a:t>Marketing</a:t>
          </a:r>
        </a:p>
      </xdr:txBody>
    </xdr:sp>
    <xdr:clientData/>
  </xdr:twoCellAnchor>
  <xdr:twoCellAnchor>
    <xdr:from>
      <xdr:col>0</xdr:col>
      <xdr:colOff>250457</xdr:colOff>
      <xdr:row>29</xdr:row>
      <xdr:rowOff>110310</xdr:rowOff>
    </xdr:from>
    <xdr:to>
      <xdr:col>3</xdr:col>
      <xdr:colOff>484600</xdr:colOff>
      <xdr:row>32</xdr:row>
      <xdr:rowOff>130288</xdr:rowOff>
    </xdr:to>
    <xdr:sp macro="" textlink="">
      <xdr:nvSpPr>
        <xdr:cNvPr id="15" name="AutoShape 5">
          <a:extLst>
            <a:ext uri="{FF2B5EF4-FFF2-40B4-BE49-F238E27FC236}">
              <a16:creationId xmlns:a16="http://schemas.microsoft.com/office/drawing/2014/main" id="{00000000-0008-0000-0300-00000F000000}"/>
            </a:ext>
          </a:extLst>
        </xdr:cNvPr>
        <xdr:cNvSpPr>
          <a:spLocks noChangeAspect="1" noChangeArrowheads="1"/>
        </xdr:cNvSpPr>
      </xdr:nvSpPr>
      <xdr:spPr bwMode="auto">
        <a:xfrm>
          <a:off x="250457" y="5448615"/>
          <a:ext cx="1084397" cy="504300"/>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Seasonality</a:t>
          </a:r>
        </a:p>
      </xdr:txBody>
    </xdr:sp>
    <xdr:clientData/>
  </xdr:twoCellAnchor>
  <xdr:twoCellAnchor>
    <xdr:from>
      <xdr:col>6</xdr:col>
      <xdr:colOff>434260</xdr:colOff>
      <xdr:row>14</xdr:row>
      <xdr:rowOff>32291</xdr:rowOff>
    </xdr:from>
    <xdr:to>
      <xdr:col>9</xdr:col>
      <xdr:colOff>16899</xdr:colOff>
      <xdr:row>16</xdr:row>
      <xdr:rowOff>131252</xdr:rowOff>
    </xdr:to>
    <xdr:sp macro="" textlink="">
      <xdr:nvSpPr>
        <xdr:cNvPr id="16" name="AutoShape 7">
          <a:extLst>
            <a:ext uri="{FF2B5EF4-FFF2-40B4-BE49-F238E27FC236}">
              <a16:creationId xmlns:a16="http://schemas.microsoft.com/office/drawing/2014/main" id="{00000000-0008-0000-0300-000010000000}"/>
            </a:ext>
          </a:extLst>
        </xdr:cNvPr>
        <xdr:cNvSpPr>
          <a:spLocks noChangeAspect="1" noChangeArrowheads="1"/>
        </xdr:cNvSpPr>
      </xdr:nvSpPr>
      <xdr:spPr bwMode="auto">
        <a:xfrm>
          <a:off x="2644060" y="2788191"/>
          <a:ext cx="1087589" cy="492661"/>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a:solidFill>
                <a:sysClr val="windowText" lastClr="000000"/>
              </a:solidFill>
              <a:effectLst/>
              <a:latin typeface="+mn-lt"/>
              <a:ea typeface="+mn-ea"/>
              <a:cs typeface="+mn-cs"/>
            </a:rPr>
            <a:t>Price Elasticity</a:t>
          </a:r>
          <a:endParaRPr lang="en-US" sz="1000" b="0" i="0" strike="noStrike" baseline="0">
            <a:solidFill>
              <a:sysClr val="windowText" lastClr="000000"/>
            </a:solidFill>
            <a:latin typeface="Calibri"/>
            <a:cs typeface="Calibri"/>
          </a:endParaRPr>
        </a:p>
      </xdr:txBody>
    </xdr:sp>
    <xdr:clientData/>
  </xdr:twoCellAnchor>
  <xdr:twoCellAnchor>
    <xdr:from>
      <xdr:col>0</xdr:col>
      <xdr:colOff>241712</xdr:colOff>
      <xdr:row>24</xdr:row>
      <xdr:rowOff>161004</xdr:rowOff>
    </xdr:from>
    <xdr:to>
      <xdr:col>3</xdr:col>
      <xdr:colOff>435559</xdr:colOff>
      <xdr:row>27</xdr:row>
      <xdr:rowOff>161003</xdr:rowOff>
    </xdr:to>
    <xdr:sp macro="" textlink="">
      <xdr:nvSpPr>
        <xdr:cNvPr id="17" name="AutoShape 7">
          <a:extLst>
            <a:ext uri="{FF2B5EF4-FFF2-40B4-BE49-F238E27FC236}">
              <a16:creationId xmlns:a16="http://schemas.microsoft.com/office/drawing/2014/main" id="{00000000-0008-0000-0300-000011000000}"/>
            </a:ext>
          </a:extLst>
        </xdr:cNvPr>
        <xdr:cNvSpPr>
          <a:spLocks noChangeAspect="1" noChangeArrowheads="1"/>
        </xdr:cNvSpPr>
      </xdr:nvSpPr>
      <xdr:spPr bwMode="auto">
        <a:xfrm>
          <a:off x="241712" y="4692106"/>
          <a:ext cx="1044101" cy="484321"/>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chemeClr val="accent1"/>
              </a:solidFill>
              <a:latin typeface="Calibri"/>
              <a:cs typeface="Calibri"/>
            </a:rPr>
            <a:t>Bodymist Prices</a:t>
          </a:r>
        </a:p>
      </xdr:txBody>
    </xdr:sp>
    <xdr:clientData/>
  </xdr:twoCellAnchor>
  <xdr:twoCellAnchor>
    <xdr:from>
      <xdr:col>13</xdr:col>
      <xdr:colOff>170923</xdr:colOff>
      <xdr:row>32</xdr:row>
      <xdr:rowOff>99182</xdr:rowOff>
    </xdr:from>
    <xdr:to>
      <xdr:col>15</xdr:col>
      <xdr:colOff>376970</xdr:colOff>
      <xdr:row>35</xdr:row>
      <xdr:rowOff>99183</xdr:rowOff>
    </xdr:to>
    <xdr:sp macro="" textlink="">
      <xdr:nvSpPr>
        <xdr:cNvPr id="18" name="AutoShape 4">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5765273" y="6023732"/>
          <a:ext cx="1044247" cy="495301"/>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Body</a:t>
          </a:r>
          <a:r>
            <a:rPr lang="en-US" sz="1000" b="0" i="0" strike="noStrike" baseline="0">
              <a:solidFill>
                <a:sysClr val="windowText" lastClr="000000"/>
              </a:solidFill>
              <a:latin typeface="Calibri"/>
              <a:cs typeface="Calibri"/>
            </a:rPr>
            <a:t>mist</a:t>
          </a:r>
          <a:endParaRPr lang="en-US" sz="1000" b="0" i="0" strike="noStrike">
            <a:solidFill>
              <a:sysClr val="windowText" lastClr="000000"/>
            </a:solidFill>
            <a:latin typeface="Calibri"/>
            <a:cs typeface="Calibri"/>
          </a:endParaRPr>
        </a:p>
        <a:p>
          <a:pPr algn="ctr" rtl="0">
            <a:defRPr sz="1000"/>
          </a:pPr>
          <a:r>
            <a:rPr lang="en-US" sz="1000" b="0" i="0" strike="noStrike">
              <a:solidFill>
                <a:sysClr val="windowText" lastClr="000000"/>
              </a:solidFill>
              <a:latin typeface="Calibri"/>
              <a:cs typeface="Calibri"/>
            </a:rPr>
            <a:t>Demand</a:t>
          </a:r>
        </a:p>
      </xdr:txBody>
    </xdr:sp>
    <xdr:clientData/>
  </xdr:twoCellAnchor>
  <xdr:twoCellAnchor>
    <xdr:from>
      <xdr:col>30</xdr:col>
      <xdr:colOff>511763</xdr:colOff>
      <xdr:row>15</xdr:row>
      <xdr:rowOff>76200</xdr:rowOff>
    </xdr:from>
    <xdr:to>
      <xdr:col>32</xdr:col>
      <xdr:colOff>597371</xdr:colOff>
      <xdr:row>18</xdr:row>
      <xdr:rowOff>8604</xdr:rowOff>
    </xdr:to>
    <xdr:sp macro="" textlink="">
      <xdr:nvSpPr>
        <xdr:cNvPr id="19" name="AutoShape 1">
          <a:extLst>
            <a:ext uri="{FF2B5EF4-FFF2-40B4-BE49-F238E27FC236}">
              <a16:creationId xmlns:a16="http://schemas.microsoft.com/office/drawing/2014/main" id="{00000000-0008-0000-0300-000013000000}"/>
            </a:ext>
          </a:extLst>
        </xdr:cNvPr>
        <xdr:cNvSpPr>
          <a:spLocks noChangeAspect="1" noChangeArrowheads="1"/>
        </xdr:cNvSpPr>
      </xdr:nvSpPr>
      <xdr:spPr bwMode="auto">
        <a:xfrm>
          <a:off x="14094413" y="3028950"/>
          <a:ext cx="1368308" cy="522954"/>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Forecasted Demand</a:t>
          </a:r>
        </a:p>
      </xdr:txBody>
    </xdr:sp>
    <xdr:clientData/>
  </xdr:twoCellAnchor>
  <xdr:twoCellAnchor>
    <xdr:from>
      <xdr:col>32</xdr:col>
      <xdr:colOff>612366</xdr:colOff>
      <xdr:row>46</xdr:row>
      <xdr:rowOff>112758</xdr:rowOff>
    </xdr:from>
    <xdr:to>
      <xdr:col>34</xdr:col>
      <xdr:colOff>367548</xdr:colOff>
      <xdr:row>49</xdr:row>
      <xdr:rowOff>112758</xdr:rowOff>
    </xdr:to>
    <xdr:sp macro="" textlink="">
      <xdr:nvSpPr>
        <xdr:cNvPr id="20" name="AutoShape 1">
          <a:extLst>
            <a:ext uri="{FF2B5EF4-FFF2-40B4-BE49-F238E27FC236}">
              <a16:creationId xmlns:a16="http://schemas.microsoft.com/office/drawing/2014/main" id="{00000000-0008-0000-0300-000014000000}"/>
            </a:ext>
          </a:extLst>
        </xdr:cNvPr>
        <xdr:cNvSpPr>
          <a:spLocks noChangeAspect="1" noChangeArrowheads="1"/>
        </xdr:cNvSpPr>
      </xdr:nvSpPr>
      <xdr:spPr bwMode="auto">
        <a:xfrm>
          <a:off x="15477716" y="8348708"/>
          <a:ext cx="1037882" cy="495300"/>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Profits</a:t>
          </a:r>
          <a:endParaRPr lang="en-US" sz="1000" b="0" i="0" strike="noStrike">
            <a:solidFill>
              <a:sysClr val="windowText" lastClr="000000"/>
            </a:solidFill>
            <a:latin typeface="Calibri"/>
            <a:cs typeface="Calibri"/>
          </a:endParaRPr>
        </a:p>
      </xdr:txBody>
    </xdr:sp>
    <xdr:clientData/>
  </xdr:twoCellAnchor>
  <xdr:twoCellAnchor>
    <xdr:from>
      <xdr:col>3</xdr:col>
      <xdr:colOff>427369</xdr:colOff>
      <xdr:row>21</xdr:row>
      <xdr:rowOff>72131</xdr:rowOff>
    </xdr:from>
    <xdr:to>
      <xdr:col>22</xdr:col>
      <xdr:colOff>2494</xdr:colOff>
      <xdr:row>22</xdr:row>
      <xdr:rowOff>136133</xdr:rowOff>
    </xdr:to>
    <xdr:cxnSp macro="">
      <xdr:nvCxnSpPr>
        <xdr:cNvPr id="21" name="AutoShape 18">
          <a:extLst>
            <a:ext uri="{FF2B5EF4-FFF2-40B4-BE49-F238E27FC236}">
              <a16:creationId xmlns:a16="http://schemas.microsoft.com/office/drawing/2014/main" id="{00000000-0008-0000-0300-000015000000}"/>
            </a:ext>
          </a:extLst>
        </xdr:cNvPr>
        <xdr:cNvCxnSpPr>
          <a:cxnSpLocks noChangeShapeType="1"/>
          <a:stCxn id="7" idx="3"/>
          <a:endCxn id="9" idx="1"/>
        </xdr:cNvCxnSpPr>
      </xdr:nvCxnSpPr>
      <xdr:spPr bwMode="auto">
        <a:xfrm>
          <a:off x="1278269" y="4180581"/>
          <a:ext cx="7766625" cy="229102"/>
        </a:xfrm>
        <a:prstGeom prst="straightConnector1">
          <a:avLst/>
        </a:prstGeom>
        <a:noFill/>
        <a:ln w="9525">
          <a:solidFill>
            <a:srgbClr val="000000"/>
          </a:solidFill>
          <a:round/>
          <a:headEnd/>
          <a:tailEnd type="arrow" w="med" len="med"/>
        </a:ln>
      </xdr:spPr>
    </xdr:cxnSp>
    <xdr:clientData/>
  </xdr:twoCellAnchor>
  <xdr:twoCellAnchor>
    <xdr:from>
      <xdr:col>3</xdr:col>
      <xdr:colOff>435559</xdr:colOff>
      <xdr:row>22</xdr:row>
      <xdr:rowOff>136133</xdr:rowOff>
    </xdr:from>
    <xdr:to>
      <xdr:col>22</xdr:col>
      <xdr:colOff>2494</xdr:colOff>
      <xdr:row>26</xdr:row>
      <xdr:rowOff>76769</xdr:rowOff>
    </xdr:to>
    <xdr:cxnSp macro="">
      <xdr:nvCxnSpPr>
        <xdr:cNvPr id="22" name="AutoShape 18">
          <a:extLst>
            <a:ext uri="{FF2B5EF4-FFF2-40B4-BE49-F238E27FC236}">
              <a16:creationId xmlns:a16="http://schemas.microsoft.com/office/drawing/2014/main" id="{00000000-0008-0000-0300-000016000000}"/>
            </a:ext>
          </a:extLst>
        </xdr:cNvPr>
        <xdr:cNvCxnSpPr>
          <a:cxnSpLocks noChangeShapeType="1"/>
          <a:stCxn id="17" idx="3"/>
          <a:endCxn id="9" idx="1"/>
        </xdr:cNvCxnSpPr>
      </xdr:nvCxnSpPr>
      <xdr:spPr bwMode="auto">
        <a:xfrm flipV="1">
          <a:off x="1286459" y="4409683"/>
          <a:ext cx="7758435" cy="601036"/>
        </a:xfrm>
        <a:prstGeom prst="straightConnector1">
          <a:avLst/>
        </a:prstGeom>
        <a:noFill/>
        <a:ln w="9525">
          <a:solidFill>
            <a:srgbClr val="000000"/>
          </a:solidFill>
          <a:round/>
          <a:headEnd/>
          <a:tailEnd type="arrow" w="med" len="med"/>
        </a:ln>
      </xdr:spPr>
    </xdr:cxnSp>
    <xdr:clientData/>
  </xdr:twoCellAnchor>
  <xdr:twoCellAnchor>
    <xdr:from>
      <xdr:col>3</xdr:col>
      <xdr:colOff>427369</xdr:colOff>
      <xdr:row>18</xdr:row>
      <xdr:rowOff>42354</xdr:rowOff>
    </xdr:from>
    <xdr:to>
      <xdr:col>12</xdr:col>
      <xdr:colOff>515798</xdr:colOff>
      <xdr:row>21</xdr:row>
      <xdr:rowOff>70835</xdr:rowOff>
    </xdr:to>
    <xdr:cxnSp macro="">
      <xdr:nvCxnSpPr>
        <xdr:cNvPr id="23" name="AutoShape 18">
          <a:extLst>
            <a:ext uri="{FF2B5EF4-FFF2-40B4-BE49-F238E27FC236}">
              <a16:creationId xmlns:a16="http://schemas.microsoft.com/office/drawing/2014/main" id="{00000000-0008-0000-0300-000017000000}"/>
            </a:ext>
          </a:extLst>
        </xdr:cNvPr>
        <xdr:cNvCxnSpPr>
          <a:cxnSpLocks noChangeShapeType="1"/>
          <a:stCxn id="7" idx="3"/>
          <a:endCxn id="4" idx="1"/>
        </xdr:cNvCxnSpPr>
      </xdr:nvCxnSpPr>
      <xdr:spPr bwMode="auto">
        <a:xfrm flipV="1">
          <a:off x="1278269" y="3585654"/>
          <a:ext cx="4311179" cy="593631"/>
        </a:xfrm>
        <a:prstGeom prst="straightConnector1">
          <a:avLst/>
        </a:prstGeom>
        <a:noFill/>
        <a:ln w="9525">
          <a:solidFill>
            <a:srgbClr val="000000"/>
          </a:solidFill>
          <a:round/>
          <a:headEnd/>
          <a:tailEnd type="arrow" w="med" len="med"/>
        </a:ln>
      </xdr:spPr>
    </xdr:cxnSp>
    <xdr:clientData/>
  </xdr:twoCellAnchor>
  <xdr:twoCellAnchor>
    <xdr:from>
      <xdr:col>3</xdr:col>
      <xdr:colOff>435559</xdr:colOff>
      <xdr:row>26</xdr:row>
      <xdr:rowOff>79360</xdr:rowOff>
    </xdr:from>
    <xdr:to>
      <xdr:col>13</xdr:col>
      <xdr:colOff>170923</xdr:colOff>
      <xdr:row>34</xdr:row>
      <xdr:rowOff>17540</xdr:rowOff>
    </xdr:to>
    <xdr:cxnSp macro="">
      <xdr:nvCxnSpPr>
        <xdr:cNvPr id="24" name="AutoShape 18">
          <a:extLst>
            <a:ext uri="{FF2B5EF4-FFF2-40B4-BE49-F238E27FC236}">
              <a16:creationId xmlns:a16="http://schemas.microsoft.com/office/drawing/2014/main" id="{00000000-0008-0000-0300-000018000000}"/>
            </a:ext>
          </a:extLst>
        </xdr:cNvPr>
        <xdr:cNvCxnSpPr>
          <a:cxnSpLocks noChangeShapeType="1"/>
          <a:stCxn id="17" idx="3"/>
          <a:endCxn id="18" idx="1"/>
        </xdr:cNvCxnSpPr>
      </xdr:nvCxnSpPr>
      <xdr:spPr bwMode="auto">
        <a:xfrm>
          <a:off x="1286459" y="5013310"/>
          <a:ext cx="4478814" cy="1258980"/>
        </a:xfrm>
        <a:prstGeom prst="straightConnector1">
          <a:avLst/>
        </a:prstGeom>
        <a:noFill/>
        <a:ln w="9525">
          <a:solidFill>
            <a:srgbClr val="000000"/>
          </a:solidFill>
          <a:round/>
          <a:headEnd/>
          <a:tailEnd type="arrow" w="med" len="med"/>
        </a:ln>
      </xdr:spPr>
    </xdr:cxnSp>
    <xdr:clientData/>
  </xdr:twoCellAnchor>
  <xdr:twoCellAnchor>
    <xdr:from>
      <xdr:col>9</xdr:col>
      <xdr:colOff>16899</xdr:colOff>
      <xdr:row>15</xdr:row>
      <xdr:rowOff>81772</xdr:rowOff>
    </xdr:from>
    <xdr:to>
      <xdr:col>12</xdr:col>
      <xdr:colOff>515798</xdr:colOff>
      <xdr:row>18</xdr:row>
      <xdr:rowOff>42354</xdr:rowOff>
    </xdr:to>
    <xdr:cxnSp macro="">
      <xdr:nvCxnSpPr>
        <xdr:cNvPr id="25" name="AutoShape 18">
          <a:extLst>
            <a:ext uri="{FF2B5EF4-FFF2-40B4-BE49-F238E27FC236}">
              <a16:creationId xmlns:a16="http://schemas.microsoft.com/office/drawing/2014/main" id="{00000000-0008-0000-0300-000019000000}"/>
            </a:ext>
          </a:extLst>
        </xdr:cNvPr>
        <xdr:cNvCxnSpPr>
          <a:cxnSpLocks noChangeShapeType="1"/>
          <a:stCxn id="16" idx="3"/>
          <a:endCxn id="4" idx="1"/>
        </xdr:cNvCxnSpPr>
      </xdr:nvCxnSpPr>
      <xdr:spPr bwMode="auto">
        <a:xfrm>
          <a:off x="3731649" y="3034522"/>
          <a:ext cx="1857799" cy="551132"/>
        </a:xfrm>
        <a:prstGeom prst="straightConnector1">
          <a:avLst/>
        </a:prstGeom>
        <a:noFill/>
        <a:ln w="9525">
          <a:solidFill>
            <a:srgbClr val="000000"/>
          </a:solidFill>
          <a:round/>
          <a:headEnd/>
          <a:tailEnd type="arrow" w="med" len="med"/>
        </a:ln>
      </xdr:spPr>
    </xdr:cxnSp>
    <xdr:clientData/>
  </xdr:twoCellAnchor>
  <xdr:twoCellAnchor>
    <xdr:from>
      <xdr:col>9</xdr:col>
      <xdr:colOff>16899</xdr:colOff>
      <xdr:row>15</xdr:row>
      <xdr:rowOff>81772</xdr:rowOff>
    </xdr:from>
    <xdr:to>
      <xdr:col>13</xdr:col>
      <xdr:colOff>170923</xdr:colOff>
      <xdr:row>34</xdr:row>
      <xdr:rowOff>17540</xdr:rowOff>
    </xdr:to>
    <xdr:cxnSp macro="">
      <xdr:nvCxnSpPr>
        <xdr:cNvPr id="26" name="AutoShape 18">
          <a:extLst>
            <a:ext uri="{FF2B5EF4-FFF2-40B4-BE49-F238E27FC236}">
              <a16:creationId xmlns:a16="http://schemas.microsoft.com/office/drawing/2014/main" id="{00000000-0008-0000-0300-00001A000000}"/>
            </a:ext>
          </a:extLst>
        </xdr:cNvPr>
        <xdr:cNvCxnSpPr>
          <a:cxnSpLocks noChangeShapeType="1"/>
          <a:stCxn id="16" idx="3"/>
          <a:endCxn id="18" idx="1"/>
        </xdr:cNvCxnSpPr>
      </xdr:nvCxnSpPr>
      <xdr:spPr bwMode="auto">
        <a:xfrm>
          <a:off x="3731649" y="3034522"/>
          <a:ext cx="2033624" cy="3237768"/>
        </a:xfrm>
        <a:prstGeom prst="straightConnector1">
          <a:avLst/>
        </a:prstGeom>
        <a:noFill/>
        <a:ln w="9525">
          <a:solidFill>
            <a:srgbClr val="000000"/>
          </a:solidFill>
          <a:round/>
          <a:headEnd/>
          <a:tailEnd type="arrow" w="med" len="med"/>
        </a:ln>
      </xdr:spPr>
    </xdr:cxnSp>
    <xdr:clientData/>
  </xdr:twoCellAnchor>
  <xdr:twoCellAnchor>
    <xdr:from>
      <xdr:col>15</xdr:col>
      <xdr:colOff>204771</xdr:colOff>
      <xdr:row>18</xdr:row>
      <xdr:rowOff>50129</xdr:rowOff>
    </xdr:from>
    <xdr:to>
      <xdr:col>22</xdr:col>
      <xdr:colOff>2494</xdr:colOff>
      <xdr:row>22</xdr:row>
      <xdr:rowOff>136133</xdr:rowOff>
    </xdr:to>
    <xdr:cxnSp macro="">
      <xdr:nvCxnSpPr>
        <xdr:cNvPr id="27" name="AutoShape 18">
          <a:extLst>
            <a:ext uri="{FF2B5EF4-FFF2-40B4-BE49-F238E27FC236}">
              <a16:creationId xmlns:a16="http://schemas.microsoft.com/office/drawing/2014/main" id="{00000000-0008-0000-0300-00001B000000}"/>
            </a:ext>
          </a:extLst>
        </xdr:cNvPr>
        <xdr:cNvCxnSpPr>
          <a:cxnSpLocks noChangeShapeType="1"/>
          <a:stCxn id="4" idx="3"/>
          <a:endCxn id="9" idx="1"/>
        </xdr:cNvCxnSpPr>
      </xdr:nvCxnSpPr>
      <xdr:spPr bwMode="auto">
        <a:xfrm>
          <a:off x="6637321" y="3593429"/>
          <a:ext cx="2407573" cy="816254"/>
        </a:xfrm>
        <a:prstGeom prst="straightConnector1">
          <a:avLst/>
        </a:prstGeom>
        <a:noFill/>
        <a:ln w="9525">
          <a:solidFill>
            <a:srgbClr val="000000"/>
          </a:solidFill>
          <a:round/>
          <a:headEnd/>
          <a:tailEnd type="arrow" w="med" len="med"/>
        </a:ln>
      </xdr:spPr>
    </xdr:cxnSp>
    <xdr:clientData/>
  </xdr:twoCellAnchor>
  <xdr:twoCellAnchor>
    <xdr:from>
      <xdr:col>15</xdr:col>
      <xdr:colOff>376970</xdr:colOff>
      <xdr:row>22</xdr:row>
      <xdr:rowOff>136133</xdr:rowOff>
    </xdr:from>
    <xdr:to>
      <xdr:col>22</xdr:col>
      <xdr:colOff>2494</xdr:colOff>
      <xdr:row>34</xdr:row>
      <xdr:rowOff>14948</xdr:rowOff>
    </xdr:to>
    <xdr:cxnSp macro="">
      <xdr:nvCxnSpPr>
        <xdr:cNvPr id="28" name="AutoShape 18">
          <a:extLst>
            <a:ext uri="{FF2B5EF4-FFF2-40B4-BE49-F238E27FC236}">
              <a16:creationId xmlns:a16="http://schemas.microsoft.com/office/drawing/2014/main" id="{00000000-0008-0000-0300-00001C000000}"/>
            </a:ext>
          </a:extLst>
        </xdr:cNvPr>
        <xdr:cNvCxnSpPr>
          <a:cxnSpLocks noChangeShapeType="1"/>
          <a:stCxn id="18" idx="3"/>
          <a:endCxn id="9" idx="1"/>
        </xdr:cNvCxnSpPr>
      </xdr:nvCxnSpPr>
      <xdr:spPr bwMode="auto">
        <a:xfrm flipV="1">
          <a:off x="6809520" y="4409683"/>
          <a:ext cx="2235374" cy="1860015"/>
        </a:xfrm>
        <a:prstGeom prst="straightConnector1">
          <a:avLst/>
        </a:prstGeom>
        <a:noFill/>
        <a:ln w="9525">
          <a:solidFill>
            <a:srgbClr val="000000"/>
          </a:solidFill>
          <a:round/>
          <a:headEnd/>
          <a:tailEnd type="arrow" w="med" len="med"/>
        </a:ln>
      </xdr:spPr>
    </xdr:cxnSp>
    <xdr:clientData/>
  </xdr:twoCellAnchor>
  <xdr:twoCellAnchor>
    <xdr:from>
      <xdr:col>3</xdr:col>
      <xdr:colOff>484600</xdr:colOff>
      <xdr:row>18</xdr:row>
      <xdr:rowOff>42354</xdr:rowOff>
    </xdr:from>
    <xdr:to>
      <xdr:col>12</xdr:col>
      <xdr:colOff>515798</xdr:colOff>
      <xdr:row>31</xdr:row>
      <xdr:rowOff>38657</xdr:rowOff>
    </xdr:to>
    <xdr:cxnSp macro="">
      <xdr:nvCxnSpPr>
        <xdr:cNvPr id="29" name="AutoShape 18">
          <a:extLst>
            <a:ext uri="{FF2B5EF4-FFF2-40B4-BE49-F238E27FC236}">
              <a16:creationId xmlns:a16="http://schemas.microsoft.com/office/drawing/2014/main" id="{00000000-0008-0000-0300-00001D000000}"/>
            </a:ext>
          </a:extLst>
        </xdr:cNvPr>
        <xdr:cNvCxnSpPr>
          <a:cxnSpLocks noChangeShapeType="1"/>
          <a:stCxn id="15" idx="3"/>
          <a:endCxn id="4" idx="1"/>
        </xdr:cNvCxnSpPr>
      </xdr:nvCxnSpPr>
      <xdr:spPr bwMode="auto">
        <a:xfrm flipV="1">
          <a:off x="1335500" y="3585654"/>
          <a:ext cx="4253948" cy="2212453"/>
        </a:xfrm>
        <a:prstGeom prst="straightConnector1">
          <a:avLst/>
        </a:prstGeom>
        <a:noFill/>
        <a:ln w="9525">
          <a:solidFill>
            <a:srgbClr val="000000"/>
          </a:solidFill>
          <a:round/>
          <a:headEnd/>
          <a:tailEnd type="arrow" w="med" len="med"/>
        </a:ln>
      </xdr:spPr>
    </xdr:cxnSp>
    <xdr:clientData/>
  </xdr:twoCellAnchor>
  <xdr:twoCellAnchor>
    <xdr:from>
      <xdr:col>3</xdr:col>
      <xdr:colOff>484600</xdr:colOff>
      <xdr:row>31</xdr:row>
      <xdr:rowOff>38657</xdr:rowOff>
    </xdr:from>
    <xdr:to>
      <xdr:col>13</xdr:col>
      <xdr:colOff>170923</xdr:colOff>
      <xdr:row>34</xdr:row>
      <xdr:rowOff>17540</xdr:rowOff>
    </xdr:to>
    <xdr:cxnSp macro="">
      <xdr:nvCxnSpPr>
        <xdr:cNvPr id="30" name="AutoShape 18">
          <a:extLst>
            <a:ext uri="{FF2B5EF4-FFF2-40B4-BE49-F238E27FC236}">
              <a16:creationId xmlns:a16="http://schemas.microsoft.com/office/drawing/2014/main" id="{00000000-0008-0000-0300-00001E000000}"/>
            </a:ext>
          </a:extLst>
        </xdr:cNvPr>
        <xdr:cNvCxnSpPr>
          <a:cxnSpLocks noChangeShapeType="1"/>
          <a:stCxn id="15" idx="3"/>
          <a:endCxn id="18" idx="1"/>
        </xdr:cNvCxnSpPr>
      </xdr:nvCxnSpPr>
      <xdr:spPr bwMode="auto">
        <a:xfrm>
          <a:off x="1335500" y="5798107"/>
          <a:ext cx="4429773" cy="474183"/>
        </a:xfrm>
        <a:prstGeom prst="straightConnector1">
          <a:avLst/>
        </a:prstGeom>
        <a:noFill/>
        <a:ln w="9525">
          <a:solidFill>
            <a:srgbClr val="000000"/>
          </a:solidFill>
          <a:round/>
          <a:headEnd/>
          <a:tailEnd type="arrow" w="med" len="med"/>
        </a:ln>
      </xdr:spPr>
    </xdr:cxnSp>
    <xdr:clientData/>
  </xdr:twoCellAnchor>
  <xdr:twoCellAnchor>
    <xdr:from>
      <xdr:col>3</xdr:col>
      <xdr:colOff>466649</xdr:colOff>
      <xdr:row>18</xdr:row>
      <xdr:rowOff>42354</xdr:rowOff>
    </xdr:from>
    <xdr:to>
      <xdr:col>12</xdr:col>
      <xdr:colOff>515798</xdr:colOff>
      <xdr:row>36</xdr:row>
      <xdr:rowOff>21609</xdr:rowOff>
    </xdr:to>
    <xdr:cxnSp macro="">
      <xdr:nvCxnSpPr>
        <xdr:cNvPr id="31" name="AutoShape 18">
          <a:extLst>
            <a:ext uri="{FF2B5EF4-FFF2-40B4-BE49-F238E27FC236}">
              <a16:creationId xmlns:a16="http://schemas.microsoft.com/office/drawing/2014/main" id="{00000000-0008-0000-0300-00001F000000}"/>
            </a:ext>
          </a:extLst>
        </xdr:cNvPr>
        <xdr:cNvCxnSpPr>
          <a:cxnSpLocks noChangeShapeType="1"/>
          <a:stCxn id="14" idx="3"/>
          <a:endCxn id="4" idx="1"/>
        </xdr:cNvCxnSpPr>
      </xdr:nvCxnSpPr>
      <xdr:spPr bwMode="auto">
        <a:xfrm flipV="1">
          <a:off x="1317549" y="3585654"/>
          <a:ext cx="4271899" cy="3020905"/>
        </a:xfrm>
        <a:prstGeom prst="straightConnector1">
          <a:avLst/>
        </a:prstGeom>
        <a:noFill/>
        <a:ln w="9525">
          <a:solidFill>
            <a:srgbClr val="000000"/>
          </a:solidFill>
          <a:round/>
          <a:headEnd/>
          <a:tailEnd type="arrow" w="med" len="med"/>
        </a:ln>
      </xdr:spPr>
    </xdr:cxnSp>
    <xdr:clientData/>
  </xdr:twoCellAnchor>
  <xdr:twoCellAnchor>
    <xdr:from>
      <xdr:col>3</xdr:col>
      <xdr:colOff>466649</xdr:colOff>
      <xdr:row>34</xdr:row>
      <xdr:rowOff>17540</xdr:rowOff>
    </xdr:from>
    <xdr:to>
      <xdr:col>13</xdr:col>
      <xdr:colOff>170923</xdr:colOff>
      <xdr:row>36</xdr:row>
      <xdr:rowOff>21609</xdr:rowOff>
    </xdr:to>
    <xdr:cxnSp macro="">
      <xdr:nvCxnSpPr>
        <xdr:cNvPr id="32" name="AutoShape 18">
          <a:extLst>
            <a:ext uri="{FF2B5EF4-FFF2-40B4-BE49-F238E27FC236}">
              <a16:creationId xmlns:a16="http://schemas.microsoft.com/office/drawing/2014/main" id="{00000000-0008-0000-0300-000020000000}"/>
            </a:ext>
          </a:extLst>
        </xdr:cNvPr>
        <xdr:cNvCxnSpPr>
          <a:cxnSpLocks noChangeShapeType="1"/>
          <a:stCxn id="14" idx="3"/>
          <a:endCxn id="18" idx="1"/>
        </xdr:cNvCxnSpPr>
      </xdr:nvCxnSpPr>
      <xdr:spPr bwMode="auto">
        <a:xfrm flipV="1">
          <a:off x="1317549" y="6272290"/>
          <a:ext cx="4447724" cy="334269"/>
        </a:xfrm>
        <a:prstGeom prst="straightConnector1">
          <a:avLst/>
        </a:prstGeom>
        <a:noFill/>
        <a:ln w="9525">
          <a:solidFill>
            <a:srgbClr val="000000"/>
          </a:solidFill>
          <a:round/>
          <a:headEnd/>
          <a:tailEnd type="arrow" w="med" len="med"/>
        </a:ln>
      </xdr:spPr>
    </xdr:cxnSp>
    <xdr:clientData/>
  </xdr:twoCellAnchor>
  <xdr:twoCellAnchor>
    <xdr:from>
      <xdr:col>15</xdr:col>
      <xdr:colOff>376970</xdr:colOff>
      <xdr:row>34</xdr:row>
      <xdr:rowOff>17540</xdr:rowOff>
    </xdr:from>
    <xdr:to>
      <xdr:col>21</xdr:col>
      <xdr:colOff>23910</xdr:colOff>
      <xdr:row>38</xdr:row>
      <xdr:rowOff>120341</xdr:rowOff>
    </xdr:to>
    <xdr:cxnSp macro="">
      <xdr:nvCxnSpPr>
        <xdr:cNvPr id="33" name="AutoShape 18">
          <a:extLst>
            <a:ext uri="{FF2B5EF4-FFF2-40B4-BE49-F238E27FC236}">
              <a16:creationId xmlns:a16="http://schemas.microsoft.com/office/drawing/2014/main" id="{00000000-0008-0000-0300-000021000000}"/>
            </a:ext>
          </a:extLst>
        </xdr:cNvPr>
        <xdr:cNvCxnSpPr>
          <a:cxnSpLocks noChangeShapeType="1"/>
          <a:stCxn id="18" idx="3"/>
          <a:endCxn id="3" idx="1"/>
        </xdr:cNvCxnSpPr>
      </xdr:nvCxnSpPr>
      <xdr:spPr bwMode="auto">
        <a:xfrm>
          <a:off x="6809520" y="6272290"/>
          <a:ext cx="2205990" cy="763201"/>
        </a:xfrm>
        <a:prstGeom prst="straightConnector1">
          <a:avLst/>
        </a:prstGeom>
        <a:noFill/>
        <a:ln w="9525">
          <a:solidFill>
            <a:srgbClr val="000000"/>
          </a:solidFill>
          <a:round/>
          <a:headEnd/>
          <a:tailEnd type="arrow" w="med" len="med"/>
        </a:ln>
      </xdr:spPr>
    </xdr:cxnSp>
    <xdr:clientData/>
  </xdr:twoCellAnchor>
  <xdr:twoCellAnchor>
    <xdr:from>
      <xdr:col>15</xdr:col>
      <xdr:colOff>204771</xdr:colOff>
      <xdr:row>18</xdr:row>
      <xdr:rowOff>42354</xdr:rowOff>
    </xdr:from>
    <xdr:to>
      <xdr:col>21</xdr:col>
      <xdr:colOff>23910</xdr:colOff>
      <xdr:row>38</xdr:row>
      <xdr:rowOff>120341</xdr:rowOff>
    </xdr:to>
    <xdr:cxnSp macro="">
      <xdr:nvCxnSpPr>
        <xdr:cNvPr id="34" name="AutoShape 18">
          <a:extLst>
            <a:ext uri="{FF2B5EF4-FFF2-40B4-BE49-F238E27FC236}">
              <a16:creationId xmlns:a16="http://schemas.microsoft.com/office/drawing/2014/main" id="{00000000-0008-0000-0300-000022000000}"/>
            </a:ext>
          </a:extLst>
        </xdr:cNvPr>
        <xdr:cNvCxnSpPr>
          <a:cxnSpLocks noChangeShapeType="1"/>
          <a:stCxn id="4" idx="3"/>
          <a:endCxn id="3" idx="1"/>
        </xdr:cNvCxnSpPr>
      </xdr:nvCxnSpPr>
      <xdr:spPr bwMode="auto">
        <a:xfrm>
          <a:off x="6637321" y="3585654"/>
          <a:ext cx="2378189" cy="3449837"/>
        </a:xfrm>
        <a:prstGeom prst="straightConnector1">
          <a:avLst/>
        </a:prstGeom>
        <a:noFill/>
        <a:ln w="9525">
          <a:solidFill>
            <a:srgbClr val="000000"/>
          </a:solidFill>
          <a:round/>
          <a:headEnd/>
          <a:tailEnd type="arrow" w="med" len="med"/>
        </a:ln>
      </xdr:spPr>
    </xdr:cxnSp>
    <xdr:clientData/>
  </xdr:twoCellAnchor>
  <xdr:twoCellAnchor editAs="oneCell">
    <xdr:from>
      <xdr:col>28</xdr:col>
      <xdr:colOff>86179</xdr:colOff>
      <xdr:row>28</xdr:row>
      <xdr:rowOff>90715</xdr:rowOff>
    </xdr:from>
    <xdr:to>
      <xdr:col>29</xdr:col>
      <xdr:colOff>92529</xdr:colOff>
      <xdr:row>29</xdr:row>
      <xdr:rowOff>97063</xdr:rowOff>
    </xdr:to>
    <xdr:pic>
      <xdr:nvPicPr>
        <xdr:cNvPr id="35" name="Picture 34">
          <a:extLst>
            <a:ext uri="{FF2B5EF4-FFF2-40B4-BE49-F238E27FC236}">
              <a16:creationId xmlns:a16="http://schemas.microsoft.com/office/drawing/2014/main" id="{00000000-0008-0000-0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6129" y="5354865"/>
          <a:ext cx="647700" cy="171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29</xdr:col>
      <xdr:colOff>0</xdr:colOff>
      <xdr:row>20</xdr:row>
      <xdr:rowOff>0</xdr:rowOff>
    </xdr:from>
    <xdr:ext cx="649597" cy="171285"/>
    <xdr:pic>
      <xdr:nvPicPr>
        <xdr:cNvPr id="36" name="Picture 35">
          <a:extLst>
            <a:ext uri="{FF2B5EF4-FFF2-40B4-BE49-F238E27FC236}">
              <a16:creationId xmlns:a16="http://schemas.microsoft.com/office/drawing/2014/main" id="{00000000-0008-0000-0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41300" y="3943350"/>
          <a:ext cx="649597" cy="1712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9</xdr:col>
      <xdr:colOff>16899</xdr:colOff>
      <xdr:row>15</xdr:row>
      <xdr:rowOff>81772</xdr:rowOff>
    </xdr:from>
    <xdr:to>
      <xdr:col>30</xdr:col>
      <xdr:colOff>511763</xdr:colOff>
      <xdr:row>16</xdr:row>
      <xdr:rowOff>144002</xdr:rowOff>
    </xdr:to>
    <xdr:cxnSp macro="">
      <xdr:nvCxnSpPr>
        <xdr:cNvPr id="37" name="AutoShape 18">
          <a:extLst>
            <a:ext uri="{FF2B5EF4-FFF2-40B4-BE49-F238E27FC236}">
              <a16:creationId xmlns:a16="http://schemas.microsoft.com/office/drawing/2014/main" id="{00000000-0008-0000-0300-000025000000}"/>
            </a:ext>
          </a:extLst>
        </xdr:cNvPr>
        <xdr:cNvCxnSpPr>
          <a:cxnSpLocks noChangeShapeType="1"/>
          <a:stCxn id="16" idx="3"/>
          <a:endCxn id="19" idx="1"/>
        </xdr:cNvCxnSpPr>
      </xdr:nvCxnSpPr>
      <xdr:spPr bwMode="auto">
        <a:xfrm>
          <a:off x="3731649" y="3034522"/>
          <a:ext cx="10362764" cy="259080"/>
        </a:xfrm>
        <a:prstGeom prst="straightConnector1">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204771</xdr:colOff>
      <xdr:row>16</xdr:row>
      <xdr:rowOff>144002</xdr:rowOff>
    </xdr:from>
    <xdr:to>
      <xdr:col>30</xdr:col>
      <xdr:colOff>511763</xdr:colOff>
      <xdr:row>18</xdr:row>
      <xdr:rowOff>39632</xdr:rowOff>
    </xdr:to>
    <xdr:cxnSp macro="">
      <xdr:nvCxnSpPr>
        <xdr:cNvPr id="38" name="AutoShape 14">
          <a:extLst>
            <a:ext uri="{FF2B5EF4-FFF2-40B4-BE49-F238E27FC236}">
              <a16:creationId xmlns:a16="http://schemas.microsoft.com/office/drawing/2014/main" id="{00000000-0008-0000-0300-000026000000}"/>
            </a:ext>
          </a:extLst>
        </xdr:cNvPr>
        <xdr:cNvCxnSpPr>
          <a:cxnSpLocks noChangeShapeType="1"/>
          <a:stCxn id="4" idx="3"/>
          <a:endCxn id="19" idx="1"/>
        </xdr:cNvCxnSpPr>
      </xdr:nvCxnSpPr>
      <xdr:spPr bwMode="auto">
        <a:xfrm flipV="1">
          <a:off x="6637321" y="3293602"/>
          <a:ext cx="7457092" cy="289330"/>
        </a:xfrm>
        <a:prstGeom prst="straightConnector1">
          <a:avLst/>
        </a:prstGeom>
        <a:noFill/>
        <a:ln w="9525">
          <a:solidFill>
            <a:srgbClr val="000000"/>
          </a:solidFill>
          <a:round/>
          <a:headEnd/>
          <a:tailEnd type="arrow" w="med" len="med"/>
        </a:ln>
      </xdr:spPr>
    </xdr:cxnSp>
    <xdr:clientData/>
  </xdr:twoCellAnchor>
  <xdr:twoCellAnchor>
    <xdr:from>
      <xdr:col>15</xdr:col>
      <xdr:colOff>376970</xdr:colOff>
      <xdr:row>16</xdr:row>
      <xdr:rowOff>144002</xdr:rowOff>
    </xdr:from>
    <xdr:to>
      <xdr:col>30</xdr:col>
      <xdr:colOff>511763</xdr:colOff>
      <xdr:row>34</xdr:row>
      <xdr:rowOff>16633</xdr:rowOff>
    </xdr:to>
    <xdr:cxnSp macro="">
      <xdr:nvCxnSpPr>
        <xdr:cNvPr id="39" name="AutoShape 14">
          <a:extLst>
            <a:ext uri="{FF2B5EF4-FFF2-40B4-BE49-F238E27FC236}">
              <a16:creationId xmlns:a16="http://schemas.microsoft.com/office/drawing/2014/main" id="{00000000-0008-0000-0300-000027000000}"/>
            </a:ext>
          </a:extLst>
        </xdr:cNvPr>
        <xdr:cNvCxnSpPr>
          <a:cxnSpLocks noChangeShapeType="1"/>
          <a:stCxn id="18" idx="3"/>
          <a:endCxn id="19" idx="1"/>
        </xdr:cNvCxnSpPr>
      </xdr:nvCxnSpPr>
      <xdr:spPr bwMode="auto">
        <a:xfrm flipV="1">
          <a:off x="6809520" y="3293602"/>
          <a:ext cx="7284893" cy="2977781"/>
        </a:xfrm>
        <a:prstGeom prst="straightConnector1">
          <a:avLst/>
        </a:prstGeom>
        <a:noFill/>
        <a:ln w="9525">
          <a:solidFill>
            <a:srgbClr val="000000"/>
          </a:solidFill>
          <a:round/>
          <a:headEnd/>
          <a:tailEnd type="arrow" w="med" len="med"/>
        </a:ln>
      </xdr:spPr>
    </xdr:cxnSp>
    <xdr:clientData/>
  </xdr:twoCellAnchor>
  <xdr:twoCellAnchor>
    <xdr:from>
      <xdr:col>39</xdr:col>
      <xdr:colOff>495300</xdr:colOff>
      <xdr:row>33</xdr:row>
      <xdr:rowOff>101600</xdr:rowOff>
    </xdr:from>
    <xdr:to>
      <xdr:col>41</xdr:col>
      <xdr:colOff>250482</xdr:colOff>
      <xdr:row>36</xdr:row>
      <xdr:rowOff>101599</xdr:rowOff>
    </xdr:to>
    <xdr:sp macro="" textlink="">
      <xdr:nvSpPr>
        <xdr:cNvPr id="40" name="AutoShape 1">
          <a:extLst>
            <a:ext uri="{FF2B5EF4-FFF2-40B4-BE49-F238E27FC236}">
              <a16:creationId xmlns:a16="http://schemas.microsoft.com/office/drawing/2014/main" id="{00000000-0008-0000-0300-000028000000}"/>
            </a:ext>
          </a:extLst>
        </xdr:cNvPr>
        <xdr:cNvSpPr>
          <a:spLocks noChangeAspect="1" noChangeArrowheads="1"/>
        </xdr:cNvSpPr>
      </xdr:nvSpPr>
      <xdr:spPr bwMode="auto">
        <a:xfrm>
          <a:off x="19850100" y="6191250"/>
          <a:ext cx="1037882" cy="495299"/>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Average Forecasted CAGR</a:t>
          </a:r>
          <a:endParaRPr lang="en-US" sz="1000" b="0" i="0" strike="noStrike">
            <a:solidFill>
              <a:sysClr val="windowText" lastClr="000000"/>
            </a:solidFill>
            <a:latin typeface="Calibri"/>
            <a:cs typeface="Calibri"/>
          </a:endParaRPr>
        </a:p>
      </xdr:txBody>
    </xdr:sp>
    <xdr:clientData/>
  </xdr:twoCellAnchor>
  <xdr:twoCellAnchor>
    <xdr:from>
      <xdr:col>36</xdr:col>
      <xdr:colOff>0</xdr:colOff>
      <xdr:row>37</xdr:row>
      <xdr:rowOff>25400</xdr:rowOff>
    </xdr:from>
    <xdr:to>
      <xdr:col>37</xdr:col>
      <xdr:colOff>402882</xdr:colOff>
      <xdr:row>40</xdr:row>
      <xdr:rowOff>25399</xdr:rowOff>
    </xdr:to>
    <xdr:sp macro="" textlink="">
      <xdr:nvSpPr>
        <xdr:cNvPr id="41" name="AutoShape 1">
          <a:extLst>
            <a:ext uri="{FF2B5EF4-FFF2-40B4-BE49-F238E27FC236}">
              <a16:creationId xmlns:a16="http://schemas.microsoft.com/office/drawing/2014/main" id="{00000000-0008-0000-0300-000029000000}"/>
            </a:ext>
          </a:extLst>
        </xdr:cNvPr>
        <xdr:cNvSpPr>
          <a:spLocks noChangeAspect="1" noChangeArrowheads="1"/>
        </xdr:cNvSpPr>
      </xdr:nvSpPr>
      <xdr:spPr bwMode="auto">
        <a:xfrm>
          <a:off x="17430750" y="6775450"/>
          <a:ext cx="1044232" cy="495299"/>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CAGR</a:t>
          </a:r>
          <a:endParaRPr lang="en-US" sz="1000" b="0" i="0" strike="noStrike">
            <a:solidFill>
              <a:sysClr val="windowText" lastClr="000000"/>
            </a:solidFill>
            <a:latin typeface="Calibri"/>
            <a:cs typeface="Calibri"/>
          </a:endParaRPr>
        </a:p>
      </xdr:txBody>
    </xdr:sp>
    <xdr:clientData/>
  </xdr:twoCellAnchor>
  <xdr:twoCellAnchor>
    <xdr:from>
      <xdr:col>31</xdr:col>
      <xdr:colOff>1209</xdr:colOff>
      <xdr:row>40</xdr:row>
      <xdr:rowOff>162480</xdr:rowOff>
    </xdr:from>
    <xdr:to>
      <xdr:col>32</xdr:col>
      <xdr:colOff>404091</xdr:colOff>
      <xdr:row>43</xdr:row>
      <xdr:rowOff>162479</xdr:rowOff>
    </xdr:to>
    <xdr:sp macro="" textlink="">
      <xdr:nvSpPr>
        <xdr:cNvPr id="42" name="AutoShape 1">
          <a:extLst>
            <a:ext uri="{FF2B5EF4-FFF2-40B4-BE49-F238E27FC236}">
              <a16:creationId xmlns:a16="http://schemas.microsoft.com/office/drawing/2014/main" id="{00000000-0008-0000-0300-00002A000000}"/>
            </a:ext>
          </a:extLst>
        </xdr:cNvPr>
        <xdr:cNvSpPr>
          <a:spLocks noChangeAspect="1" noChangeArrowheads="1"/>
        </xdr:cNvSpPr>
      </xdr:nvSpPr>
      <xdr:spPr bwMode="auto">
        <a:xfrm>
          <a:off x="14225209" y="7407830"/>
          <a:ext cx="1044232" cy="495299"/>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Costs</a:t>
          </a:r>
          <a:endParaRPr lang="en-US" sz="1000" b="0" i="0" strike="noStrike">
            <a:solidFill>
              <a:sysClr val="windowText" lastClr="000000"/>
            </a:solidFill>
            <a:latin typeface="Calibri"/>
            <a:cs typeface="Calibri"/>
          </a:endParaRPr>
        </a:p>
      </xdr:txBody>
    </xdr:sp>
    <xdr:clientData/>
  </xdr:twoCellAnchor>
  <xdr:twoCellAnchor>
    <xdr:from>
      <xdr:col>31</xdr:col>
      <xdr:colOff>526500</xdr:colOff>
      <xdr:row>18</xdr:row>
      <xdr:rowOff>8604</xdr:rowOff>
    </xdr:from>
    <xdr:to>
      <xdr:col>31</xdr:col>
      <xdr:colOff>554567</xdr:colOff>
      <xdr:row>40</xdr:row>
      <xdr:rowOff>162480</xdr:rowOff>
    </xdr:to>
    <xdr:cxnSp macro="">
      <xdr:nvCxnSpPr>
        <xdr:cNvPr id="43" name="AutoShape 18">
          <a:extLst>
            <a:ext uri="{FF2B5EF4-FFF2-40B4-BE49-F238E27FC236}">
              <a16:creationId xmlns:a16="http://schemas.microsoft.com/office/drawing/2014/main" id="{00000000-0008-0000-0300-00002B000000}"/>
            </a:ext>
          </a:extLst>
        </xdr:cNvPr>
        <xdr:cNvCxnSpPr>
          <a:cxnSpLocks noChangeShapeType="1"/>
          <a:stCxn id="19" idx="2"/>
          <a:endCxn id="42" idx="0"/>
        </xdr:cNvCxnSpPr>
      </xdr:nvCxnSpPr>
      <xdr:spPr bwMode="auto">
        <a:xfrm flipH="1">
          <a:off x="14750500" y="3551904"/>
          <a:ext cx="28067" cy="3855926"/>
        </a:xfrm>
        <a:prstGeom prst="straightConnector1">
          <a:avLst/>
        </a:prstGeom>
        <a:noFill/>
        <a:ln w="9525">
          <a:solidFill>
            <a:srgbClr val="000000"/>
          </a:solidFill>
          <a:round/>
          <a:headEnd/>
          <a:tailEnd type="arrow" w="med" len="med"/>
        </a:ln>
      </xdr:spPr>
    </xdr:cxnSp>
    <xdr:clientData/>
  </xdr:twoCellAnchor>
  <xdr:twoCellAnchor>
    <xdr:from>
      <xdr:col>24</xdr:col>
      <xdr:colOff>314305</xdr:colOff>
      <xdr:row>38</xdr:row>
      <xdr:rowOff>121248</xdr:rowOff>
    </xdr:from>
    <xdr:to>
      <xdr:col>31</xdr:col>
      <xdr:colOff>1209</xdr:colOff>
      <xdr:row>42</xdr:row>
      <xdr:rowOff>79930</xdr:rowOff>
    </xdr:to>
    <xdr:cxnSp macro="">
      <xdr:nvCxnSpPr>
        <xdr:cNvPr id="44" name="AutoShape 18">
          <a:extLst>
            <a:ext uri="{FF2B5EF4-FFF2-40B4-BE49-F238E27FC236}">
              <a16:creationId xmlns:a16="http://schemas.microsoft.com/office/drawing/2014/main" id="{00000000-0008-0000-0300-00002C000000}"/>
            </a:ext>
          </a:extLst>
        </xdr:cNvPr>
        <xdr:cNvCxnSpPr>
          <a:cxnSpLocks noChangeShapeType="1"/>
          <a:stCxn id="3" idx="3"/>
          <a:endCxn id="42" idx="1"/>
        </xdr:cNvCxnSpPr>
      </xdr:nvCxnSpPr>
      <xdr:spPr bwMode="auto">
        <a:xfrm>
          <a:off x="10048855" y="7036398"/>
          <a:ext cx="4176354" cy="619082"/>
        </a:xfrm>
        <a:prstGeom prst="straightConnector1">
          <a:avLst/>
        </a:prstGeom>
        <a:noFill/>
        <a:ln w="9525">
          <a:solidFill>
            <a:srgbClr val="000000"/>
          </a:solidFill>
          <a:round/>
          <a:headEnd/>
          <a:tailEnd type="arrow" w="med" len="med"/>
        </a:ln>
      </xdr:spPr>
    </xdr:cxnSp>
    <xdr:clientData/>
  </xdr:twoCellAnchor>
  <xdr:twoCellAnchor>
    <xdr:from>
      <xdr:col>6</xdr:col>
      <xdr:colOff>337786</xdr:colOff>
      <xdr:row>42</xdr:row>
      <xdr:rowOff>79930</xdr:rowOff>
    </xdr:from>
    <xdr:to>
      <xdr:col>31</xdr:col>
      <xdr:colOff>1209</xdr:colOff>
      <xdr:row>42</xdr:row>
      <xdr:rowOff>125681</xdr:rowOff>
    </xdr:to>
    <xdr:cxnSp macro="">
      <xdr:nvCxnSpPr>
        <xdr:cNvPr id="45" name="AutoShape 18">
          <a:extLst>
            <a:ext uri="{FF2B5EF4-FFF2-40B4-BE49-F238E27FC236}">
              <a16:creationId xmlns:a16="http://schemas.microsoft.com/office/drawing/2014/main" id="{00000000-0008-0000-0300-00002D000000}"/>
            </a:ext>
          </a:extLst>
        </xdr:cNvPr>
        <xdr:cNvCxnSpPr>
          <a:cxnSpLocks noChangeShapeType="1"/>
          <a:stCxn id="6" idx="3"/>
          <a:endCxn id="42" idx="1"/>
        </xdr:cNvCxnSpPr>
      </xdr:nvCxnSpPr>
      <xdr:spPr bwMode="auto">
        <a:xfrm flipV="1">
          <a:off x="2547586" y="7655480"/>
          <a:ext cx="11677623" cy="45751"/>
        </a:xfrm>
        <a:prstGeom prst="straightConnector1">
          <a:avLst/>
        </a:prstGeom>
        <a:noFill/>
        <a:ln w="9525">
          <a:solidFill>
            <a:srgbClr val="000000"/>
          </a:solidFill>
          <a:round/>
          <a:headEnd/>
          <a:tailEnd type="arrow" w="med" len="med"/>
        </a:ln>
      </xdr:spPr>
    </xdr:cxnSp>
    <xdr:clientData/>
  </xdr:twoCellAnchor>
  <xdr:twoCellAnchor>
    <xdr:from>
      <xdr:col>32</xdr:col>
      <xdr:colOff>603351</xdr:colOff>
      <xdr:row>30</xdr:row>
      <xdr:rowOff>98577</xdr:rowOff>
    </xdr:from>
    <xdr:to>
      <xdr:col>34</xdr:col>
      <xdr:colOff>361153</xdr:colOff>
      <xdr:row>33</xdr:row>
      <xdr:rowOff>98575</xdr:rowOff>
    </xdr:to>
    <xdr:sp macro="" textlink="">
      <xdr:nvSpPr>
        <xdr:cNvPr id="46" name="AutoShape 1">
          <a:extLst>
            <a:ext uri="{FF2B5EF4-FFF2-40B4-BE49-F238E27FC236}">
              <a16:creationId xmlns:a16="http://schemas.microsoft.com/office/drawing/2014/main" id="{00000000-0008-0000-0300-00002E000000}"/>
            </a:ext>
          </a:extLst>
        </xdr:cNvPr>
        <xdr:cNvSpPr>
          <a:spLocks noChangeAspect="1" noChangeArrowheads="1"/>
        </xdr:cNvSpPr>
      </xdr:nvSpPr>
      <xdr:spPr bwMode="auto">
        <a:xfrm>
          <a:off x="15468701" y="5692927"/>
          <a:ext cx="1040502" cy="495298"/>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Revenue</a:t>
          </a:r>
          <a:endParaRPr lang="en-US" sz="1000" b="0" i="0" strike="noStrike">
            <a:solidFill>
              <a:sysClr val="windowText" lastClr="000000"/>
            </a:solidFill>
            <a:latin typeface="Calibri"/>
            <a:cs typeface="Calibri"/>
          </a:endParaRPr>
        </a:p>
      </xdr:txBody>
    </xdr:sp>
    <xdr:clientData/>
  </xdr:twoCellAnchor>
  <xdr:twoCellAnchor>
    <xdr:from>
      <xdr:col>31</xdr:col>
      <xdr:colOff>554567</xdr:colOff>
      <xdr:row>18</xdr:row>
      <xdr:rowOff>8604</xdr:rowOff>
    </xdr:from>
    <xdr:to>
      <xdr:col>33</xdr:col>
      <xdr:colOff>482252</xdr:colOff>
      <xdr:row>30</xdr:row>
      <xdr:rowOff>98577</xdr:rowOff>
    </xdr:to>
    <xdr:cxnSp macro="">
      <xdr:nvCxnSpPr>
        <xdr:cNvPr id="47" name="AutoShape 14">
          <a:extLst>
            <a:ext uri="{FF2B5EF4-FFF2-40B4-BE49-F238E27FC236}">
              <a16:creationId xmlns:a16="http://schemas.microsoft.com/office/drawing/2014/main" id="{00000000-0008-0000-0300-00002F000000}"/>
            </a:ext>
          </a:extLst>
        </xdr:cNvPr>
        <xdr:cNvCxnSpPr>
          <a:cxnSpLocks noChangeShapeType="1"/>
          <a:stCxn id="19" idx="2"/>
          <a:endCxn id="46" idx="0"/>
        </xdr:cNvCxnSpPr>
      </xdr:nvCxnSpPr>
      <xdr:spPr bwMode="auto">
        <a:xfrm>
          <a:off x="14778567" y="3551904"/>
          <a:ext cx="1210385" cy="2141023"/>
        </a:xfrm>
        <a:prstGeom prst="straightConnector1">
          <a:avLst/>
        </a:prstGeom>
        <a:noFill/>
        <a:ln w="9525">
          <a:solidFill>
            <a:srgbClr val="000000"/>
          </a:solidFill>
          <a:round/>
          <a:headEnd/>
          <a:tailEnd type="arrow" w="med" len="med"/>
        </a:ln>
      </xdr:spPr>
    </xdr:cxnSp>
    <xdr:clientData/>
  </xdr:twoCellAnchor>
  <xdr:twoCellAnchor>
    <xdr:from>
      <xdr:col>33</xdr:col>
      <xdr:colOff>482252</xdr:colOff>
      <xdr:row>33</xdr:row>
      <xdr:rowOff>98575</xdr:rowOff>
    </xdr:from>
    <xdr:to>
      <xdr:col>33</xdr:col>
      <xdr:colOff>489957</xdr:colOff>
      <xdr:row>46</xdr:row>
      <xdr:rowOff>112758</xdr:rowOff>
    </xdr:to>
    <xdr:cxnSp macro="">
      <xdr:nvCxnSpPr>
        <xdr:cNvPr id="48" name="AutoShape 14">
          <a:extLst>
            <a:ext uri="{FF2B5EF4-FFF2-40B4-BE49-F238E27FC236}">
              <a16:creationId xmlns:a16="http://schemas.microsoft.com/office/drawing/2014/main" id="{00000000-0008-0000-0300-000030000000}"/>
            </a:ext>
          </a:extLst>
        </xdr:cNvPr>
        <xdr:cNvCxnSpPr>
          <a:cxnSpLocks noChangeShapeType="1"/>
          <a:stCxn id="46" idx="2"/>
          <a:endCxn id="20" idx="0"/>
        </xdr:cNvCxnSpPr>
      </xdr:nvCxnSpPr>
      <xdr:spPr bwMode="auto">
        <a:xfrm>
          <a:off x="15988952" y="6188225"/>
          <a:ext cx="7705" cy="2160483"/>
        </a:xfrm>
        <a:prstGeom prst="straightConnector1">
          <a:avLst/>
        </a:prstGeom>
        <a:noFill/>
        <a:ln w="9525">
          <a:solidFill>
            <a:srgbClr val="000000"/>
          </a:solidFill>
          <a:round/>
          <a:headEnd/>
          <a:tailEnd type="arrow" w="med" len="med"/>
        </a:ln>
      </xdr:spPr>
    </xdr:cxnSp>
    <xdr:clientData/>
  </xdr:twoCellAnchor>
  <xdr:twoCellAnchor>
    <xdr:from>
      <xdr:col>31</xdr:col>
      <xdr:colOff>526500</xdr:colOff>
      <xdr:row>43</xdr:row>
      <xdr:rowOff>162479</xdr:rowOff>
    </xdr:from>
    <xdr:to>
      <xdr:col>32</xdr:col>
      <xdr:colOff>612366</xdr:colOff>
      <xdr:row>48</xdr:row>
      <xdr:rowOff>30208</xdr:rowOff>
    </xdr:to>
    <xdr:cxnSp macro="">
      <xdr:nvCxnSpPr>
        <xdr:cNvPr id="49" name="AutoShape 14">
          <a:extLst>
            <a:ext uri="{FF2B5EF4-FFF2-40B4-BE49-F238E27FC236}">
              <a16:creationId xmlns:a16="http://schemas.microsoft.com/office/drawing/2014/main" id="{00000000-0008-0000-0300-000031000000}"/>
            </a:ext>
          </a:extLst>
        </xdr:cNvPr>
        <xdr:cNvCxnSpPr>
          <a:cxnSpLocks noChangeShapeType="1"/>
          <a:stCxn id="42" idx="2"/>
          <a:endCxn id="20" idx="1"/>
        </xdr:cNvCxnSpPr>
      </xdr:nvCxnSpPr>
      <xdr:spPr bwMode="auto">
        <a:xfrm>
          <a:off x="14750500" y="7903129"/>
          <a:ext cx="727216" cy="693229"/>
        </a:xfrm>
        <a:prstGeom prst="straightConnector1">
          <a:avLst/>
        </a:prstGeom>
        <a:noFill/>
        <a:ln w="9525">
          <a:solidFill>
            <a:srgbClr val="000000"/>
          </a:solidFill>
          <a:round/>
          <a:headEnd/>
          <a:tailEnd type="arrow" w="med" len="med"/>
        </a:ln>
      </xdr:spPr>
    </xdr:cxnSp>
    <xdr:clientData/>
  </xdr:twoCellAnchor>
  <xdr:twoCellAnchor>
    <xdr:from>
      <xdr:col>0</xdr:col>
      <xdr:colOff>215900</xdr:colOff>
      <xdr:row>58</xdr:row>
      <xdr:rowOff>127000</xdr:rowOff>
    </xdr:from>
    <xdr:to>
      <xdr:col>3</xdr:col>
      <xdr:colOff>396547</xdr:colOff>
      <xdr:row>61</xdr:row>
      <xdr:rowOff>127001</xdr:rowOff>
    </xdr:to>
    <xdr:sp macro="" textlink="">
      <xdr:nvSpPr>
        <xdr:cNvPr id="50" name="AutoShape 4">
          <a:extLst>
            <a:ext uri="{FF2B5EF4-FFF2-40B4-BE49-F238E27FC236}">
              <a16:creationId xmlns:a16="http://schemas.microsoft.com/office/drawing/2014/main" id="{00000000-0008-0000-0300-000032000000}"/>
            </a:ext>
          </a:extLst>
        </xdr:cNvPr>
        <xdr:cNvSpPr>
          <a:spLocks noChangeAspect="1" noChangeArrowheads="1"/>
        </xdr:cNvSpPr>
      </xdr:nvSpPr>
      <xdr:spPr bwMode="auto">
        <a:xfrm>
          <a:off x="215900" y="10147085"/>
          <a:ext cx="1030901" cy="484323"/>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rgbClr val="993366"/>
              </a:solidFill>
              <a:latin typeface="Calibri"/>
              <a:ea typeface="+mn-ea"/>
              <a:cs typeface="Calibri"/>
            </a:rPr>
            <a:t>Current Company</a:t>
          </a:r>
          <a:r>
            <a:rPr lang="en-US" sz="1000" b="0" i="0" strike="noStrike" baseline="0">
              <a:solidFill>
                <a:sysClr val="windowText" lastClr="000000"/>
              </a:solidFill>
              <a:latin typeface="Calibri"/>
              <a:cs typeface="Calibri"/>
            </a:rPr>
            <a:t> </a:t>
          </a:r>
          <a:r>
            <a:rPr lang="en-US" sz="1000" b="0" i="0" strike="noStrike" baseline="0">
              <a:solidFill>
                <a:srgbClr val="993366"/>
              </a:solidFill>
              <a:latin typeface="Calibri"/>
              <a:ea typeface="+mn-ea"/>
              <a:cs typeface="Calibri"/>
            </a:rPr>
            <a:t>Valuation</a:t>
          </a:r>
        </a:p>
      </xdr:txBody>
    </xdr:sp>
    <xdr:clientData/>
  </xdr:twoCellAnchor>
  <xdr:twoCellAnchor>
    <xdr:from>
      <xdr:col>35</xdr:col>
      <xdr:colOff>550938</xdr:colOff>
      <xdr:row>50</xdr:row>
      <xdr:rowOff>23586</xdr:rowOff>
    </xdr:from>
    <xdr:to>
      <xdr:col>37</xdr:col>
      <xdr:colOff>538238</xdr:colOff>
      <xdr:row>53</xdr:row>
      <xdr:rowOff>129187</xdr:rowOff>
    </xdr:to>
    <xdr:sp macro="" textlink="">
      <xdr:nvSpPr>
        <xdr:cNvPr id="51" name="AutoShape 1">
          <a:extLst>
            <a:ext uri="{FF2B5EF4-FFF2-40B4-BE49-F238E27FC236}">
              <a16:creationId xmlns:a16="http://schemas.microsoft.com/office/drawing/2014/main" id="{00000000-0008-0000-0300-000033000000}"/>
            </a:ext>
          </a:extLst>
        </xdr:cNvPr>
        <xdr:cNvSpPr>
          <a:spLocks noChangeAspect="1" noChangeArrowheads="1"/>
        </xdr:cNvSpPr>
      </xdr:nvSpPr>
      <xdr:spPr bwMode="auto">
        <a:xfrm>
          <a:off x="17340338" y="8919936"/>
          <a:ext cx="1270000" cy="600901"/>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Company Valuation in 2028</a:t>
          </a:r>
          <a:endParaRPr lang="en-US" sz="1000" b="0" i="0" strike="noStrike">
            <a:solidFill>
              <a:sysClr val="windowText" lastClr="000000"/>
            </a:solidFill>
            <a:latin typeface="Calibri"/>
            <a:cs typeface="Calibri"/>
          </a:endParaRPr>
        </a:p>
      </xdr:txBody>
    </xdr:sp>
    <xdr:clientData/>
  </xdr:twoCellAnchor>
  <xdr:twoCellAnchor>
    <xdr:from>
      <xdr:col>34</xdr:col>
      <xdr:colOff>361153</xdr:colOff>
      <xdr:row>32</xdr:row>
      <xdr:rowOff>16026</xdr:rowOff>
    </xdr:from>
    <xdr:to>
      <xdr:col>36</xdr:col>
      <xdr:colOff>0</xdr:colOff>
      <xdr:row>38</xdr:row>
      <xdr:rowOff>107950</xdr:rowOff>
    </xdr:to>
    <xdr:cxnSp macro="">
      <xdr:nvCxnSpPr>
        <xdr:cNvPr id="52" name="AutoShape 14">
          <a:extLst>
            <a:ext uri="{FF2B5EF4-FFF2-40B4-BE49-F238E27FC236}">
              <a16:creationId xmlns:a16="http://schemas.microsoft.com/office/drawing/2014/main" id="{00000000-0008-0000-0300-000034000000}"/>
            </a:ext>
          </a:extLst>
        </xdr:cNvPr>
        <xdr:cNvCxnSpPr>
          <a:cxnSpLocks noChangeShapeType="1"/>
          <a:stCxn id="46" idx="3"/>
          <a:endCxn id="41" idx="1"/>
        </xdr:cNvCxnSpPr>
      </xdr:nvCxnSpPr>
      <xdr:spPr bwMode="auto">
        <a:xfrm>
          <a:off x="16509203" y="5940576"/>
          <a:ext cx="921547" cy="1082524"/>
        </a:xfrm>
        <a:prstGeom prst="straightConnector1">
          <a:avLst/>
        </a:prstGeom>
        <a:noFill/>
        <a:ln w="9525">
          <a:solidFill>
            <a:srgbClr val="000000"/>
          </a:solidFill>
          <a:round/>
          <a:headEnd/>
          <a:tailEnd type="arrow" w="med" len="med"/>
        </a:ln>
      </xdr:spPr>
    </xdr:cxnSp>
    <xdr:clientData/>
  </xdr:twoCellAnchor>
  <xdr:twoCellAnchor>
    <xdr:from>
      <xdr:col>3</xdr:col>
      <xdr:colOff>396547</xdr:colOff>
      <xdr:row>51</xdr:row>
      <xdr:rowOff>158937</xdr:rowOff>
    </xdr:from>
    <xdr:to>
      <xdr:col>35</xdr:col>
      <xdr:colOff>550938</xdr:colOff>
      <xdr:row>60</xdr:row>
      <xdr:rowOff>44451</xdr:rowOff>
    </xdr:to>
    <xdr:cxnSp macro="">
      <xdr:nvCxnSpPr>
        <xdr:cNvPr id="53" name="AutoShape 14">
          <a:extLst>
            <a:ext uri="{FF2B5EF4-FFF2-40B4-BE49-F238E27FC236}">
              <a16:creationId xmlns:a16="http://schemas.microsoft.com/office/drawing/2014/main" id="{00000000-0008-0000-0300-000035000000}"/>
            </a:ext>
          </a:extLst>
        </xdr:cNvPr>
        <xdr:cNvCxnSpPr>
          <a:cxnSpLocks noChangeShapeType="1"/>
          <a:stCxn id="50" idx="3"/>
          <a:endCxn id="51" idx="1"/>
        </xdr:cNvCxnSpPr>
      </xdr:nvCxnSpPr>
      <xdr:spPr bwMode="auto">
        <a:xfrm flipV="1">
          <a:off x="1247447" y="9220387"/>
          <a:ext cx="16092891" cy="1371414"/>
        </a:xfrm>
        <a:prstGeom prst="straightConnector1">
          <a:avLst/>
        </a:prstGeom>
        <a:noFill/>
        <a:ln w="9525">
          <a:solidFill>
            <a:srgbClr val="000000"/>
          </a:solidFill>
          <a:round/>
          <a:headEnd/>
          <a:tailEnd type="arrow" w="med" len="med"/>
        </a:ln>
      </xdr:spPr>
    </xdr:cxnSp>
    <xdr:clientData/>
  </xdr:twoCellAnchor>
  <xdr:twoCellAnchor>
    <xdr:from>
      <xdr:col>36</xdr:col>
      <xdr:colOff>525291</xdr:colOff>
      <xdr:row>40</xdr:row>
      <xdr:rowOff>25399</xdr:rowOff>
    </xdr:from>
    <xdr:to>
      <xdr:col>36</xdr:col>
      <xdr:colOff>544588</xdr:colOff>
      <xdr:row>50</xdr:row>
      <xdr:rowOff>23586</xdr:rowOff>
    </xdr:to>
    <xdr:cxnSp macro="">
      <xdr:nvCxnSpPr>
        <xdr:cNvPr id="54" name="AutoShape 14">
          <a:extLst>
            <a:ext uri="{FF2B5EF4-FFF2-40B4-BE49-F238E27FC236}">
              <a16:creationId xmlns:a16="http://schemas.microsoft.com/office/drawing/2014/main" id="{00000000-0008-0000-0300-000036000000}"/>
            </a:ext>
          </a:extLst>
        </xdr:cNvPr>
        <xdr:cNvCxnSpPr>
          <a:cxnSpLocks noChangeShapeType="1"/>
          <a:stCxn id="41" idx="2"/>
          <a:endCxn id="51" idx="0"/>
        </xdr:cNvCxnSpPr>
      </xdr:nvCxnSpPr>
      <xdr:spPr bwMode="auto">
        <a:xfrm>
          <a:off x="17956041" y="7270749"/>
          <a:ext cx="19297" cy="1649187"/>
        </a:xfrm>
        <a:prstGeom prst="straightConnector1">
          <a:avLst/>
        </a:prstGeom>
        <a:noFill/>
        <a:ln w="9525">
          <a:solidFill>
            <a:srgbClr val="000000"/>
          </a:solidFill>
          <a:round/>
          <a:headEnd/>
          <a:tailEnd type="arrow" w="med" len="med"/>
        </a:ln>
      </xdr:spPr>
    </xdr:cxnSp>
    <xdr:clientData/>
  </xdr:twoCellAnchor>
  <xdr:twoCellAnchor>
    <xdr:from>
      <xdr:col>39</xdr:col>
      <xdr:colOff>495300</xdr:colOff>
      <xdr:row>39</xdr:row>
      <xdr:rowOff>88900</xdr:rowOff>
    </xdr:from>
    <xdr:to>
      <xdr:col>41</xdr:col>
      <xdr:colOff>250482</xdr:colOff>
      <xdr:row>44</xdr:row>
      <xdr:rowOff>101599</xdr:rowOff>
    </xdr:to>
    <xdr:sp macro="" textlink="">
      <xdr:nvSpPr>
        <xdr:cNvPr id="55" name="AutoShape 1">
          <a:extLst>
            <a:ext uri="{FF2B5EF4-FFF2-40B4-BE49-F238E27FC236}">
              <a16:creationId xmlns:a16="http://schemas.microsoft.com/office/drawing/2014/main" id="{00000000-0008-0000-0300-000037000000}"/>
            </a:ext>
          </a:extLst>
        </xdr:cNvPr>
        <xdr:cNvSpPr>
          <a:spLocks noChangeAspect="1" noChangeArrowheads="1"/>
        </xdr:cNvSpPr>
      </xdr:nvSpPr>
      <xdr:spPr bwMode="auto">
        <a:xfrm>
          <a:off x="19850100" y="7169150"/>
          <a:ext cx="1037882" cy="838199"/>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 Standard Deviation of Forecasted  CAGR</a:t>
          </a:r>
          <a:endParaRPr lang="en-US" sz="1000" b="0" i="0" strike="noStrike">
            <a:solidFill>
              <a:sysClr val="windowText" lastClr="000000"/>
            </a:solidFill>
            <a:latin typeface="Calibri"/>
            <a:cs typeface="Calibri"/>
          </a:endParaRPr>
        </a:p>
      </xdr:txBody>
    </xdr:sp>
    <xdr:clientData/>
  </xdr:twoCellAnchor>
  <xdr:twoCellAnchor>
    <xdr:from>
      <xdr:col>37</xdr:col>
      <xdr:colOff>402882</xdr:colOff>
      <xdr:row>35</xdr:row>
      <xdr:rowOff>19050</xdr:rowOff>
    </xdr:from>
    <xdr:to>
      <xdr:col>39</xdr:col>
      <xdr:colOff>495300</xdr:colOff>
      <xdr:row>38</xdr:row>
      <xdr:rowOff>107950</xdr:rowOff>
    </xdr:to>
    <xdr:cxnSp macro="">
      <xdr:nvCxnSpPr>
        <xdr:cNvPr id="56" name="AutoShape 14">
          <a:extLst>
            <a:ext uri="{FF2B5EF4-FFF2-40B4-BE49-F238E27FC236}">
              <a16:creationId xmlns:a16="http://schemas.microsoft.com/office/drawing/2014/main" id="{00000000-0008-0000-0300-000038000000}"/>
            </a:ext>
          </a:extLst>
        </xdr:cNvPr>
        <xdr:cNvCxnSpPr>
          <a:cxnSpLocks noChangeShapeType="1"/>
          <a:stCxn id="41" idx="3"/>
          <a:endCxn id="40" idx="1"/>
        </xdr:cNvCxnSpPr>
      </xdr:nvCxnSpPr>
      <xdr:spPr bwMode="auto">
        <a:xfrm flipV="1">
          <a:off x="18474982" y="6438900"/>
          <a:ext cx="1375118" cy="584200"/>
        </a:xfrm>
        <a:prstGeom prst="straightConnector1">
          <a:avLst/>
        </a:prstGeom>
        <a:noFill/>
        <a:ln w="9525">
          <a:solidFill>
            <a:srgbClr val="000000"/>
          </a:solidFill>
          <a:round/>
          <a:headEnd/>
          <a:tailEnd type="arrow" w="med" len="med"/>
        </a:ln>
      </xdr:spPr>
    </xdr:cxnSp>
    <xdr:clientData/>
  </xdr:twoCellAnchor>
  <xdr:twoCellAnchor>
    <xdr:from>
      <xdr:col>37</xdr:col>
      <xdr:colOff>402882</xdr:colOff>
      <xdr:row>38</xdr:row>
      <xdr:rowOff>107950</xdr:rowOff>
    </xdr:from>
    <xdr:to>
      <xdr:col>39</xdr:col>
      <xdr:colOff>495300</xdr:colOff>
      <xdr:row>42</xdr:row>
      <xdr:rowOff>12700</xdr:rowOff>
    </xdr:to>
    <xdr:cxnSp macro="">
      <xdr:nvCxnSpPr>
        <xdr:cNvPr id="57" name="AutoShape 14">
          <a:extLst>
            <a:ext uri="{FF2B5EF4-FFF2-40B4-BE49-F238E27FC236}">
              <a16:creationId xmlns:a16="http://schemas.microsoft.com/office/drawing/2014/main" id="{00000000-0008-0000-0300-000039000000}"/>
            </a:ext>
          </a:extLst>
        </xdr:cNvPr>
        <xdr:cNvCxnSpPr>
          <a:cxnSpLocks noChangeShapeType="1"/>
          <a:stCxn id="41" idx="3"/>
          <a:endCxn id="55" idx="1"/>
        </xdr:cNvCxnSpPr>
      </xdr:nvCxnSpPr>
      <xdr:spPr bwMode="auto">
        <a:xfrm>
          <a:off x="18474982" y="7023100"/>
          <a:ext cx="1375118" cy="565150"/>
        </a:xfrm>
        <a:prstGeom prst="straightConnector1">
          <a:avLst/>
        </a:prstGeom>
        <a:noFill/>
        <a:ln w="9525">
          <a:solidFill>
            <a:srgbClr val="000000"/>
          </a:solidFill>
          <a:round/>
          <a:headEnd/>
          <a:tailEnd type="arrow" w="med" len="med"/>
        </a:ln>
      </xdr:spPr>
    </xdr:cxnSp>
    <xdr:clientData/>
  </xdr:twoCellAnchor>
  <xdr:twoCellAnchor>
    <xdr:from>
      <xdr:col>0</xdr:col>
      <xdr:colOff>228600</xdr:colOff>
      <xdr:row>63</xdr:row>
      <xdr:rowOff>114300</xdr:rowOff>
    </xdr:from>
    <xdr:to>
      <xdr:col>3</xdr:col>
      <xdr:colOff>409247</xdr:colOff>
      <xdr:row>67</xdr:row>
      <xdr:rowOff>63500</xdr:rowOff>
    </xdr:to>
    <xdr:sp macro="" textlink="">
      <xdr:nvSpPr>
        <xdr:cNvPr id="58" name="AutoShape 4">
          <a:extLst>
            <a:ext uri="{FF2B5EF4-FFF2-40B4-BE49-F238E27FC236}">
              <a16:creationId xmlns:a16="http://schemas.microsoft.com/office/drawing/2014/main" id="{00000000-0008-0000-0300-00003A000000}"/>
            </a:ext>
          </a:extLst>
        </xdr:cNvPr>
        <xdr:cNvSpPr>
          <a:spLocks noChangeAspect="1" noChangeArrowheads="1"/>
        </xdr:cNvSpPr>
      </xdr:nvSpPr>
      <xdr:spPr bwMode="auto">
        <a:xfrm>
          <a:off x="228600" y="11156950"/>
          <a:ext cx="1031547" cy="609600"/>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rgbClr val="993366"/>
              </a:solidFill>
              <a:latin typeface="Calibri"/>
              <a:ea typeface="+mn-ea"/>
              <a:cs typeface="Calibri"/>
            </a:rPr>
            <a:t>Company Target</a:t>
          </a:r>
          <a:r>
            <a:rPr lang="en-US" sz="1000" b="0" i="0" strike="noStrike" baseline="0">
              <a:solidFill>
                <a:sysClr val="windowText" lastClr="000000"/>
              </a:solidFill>
              <a:latin typeface="Calibri"/>
              <a:cs typeface="Calibri"/>
            </a:rPr>
            <a:t> </a:t>
          </a:r>
          <a:r>
            <a:rPr lang="en-US" sz="1000" b="0" i="0" strike="noStrike" baseline="0">
              <a:solidFill>
                <a:srgbClr val="993366"/>
              </a:solidFill>
              <a:latin typeface="Calibri"/>
              <a:ea typeface="+mn-ea"/>
              <a:cs typeface="Calibri"/>
            </a:rPr>
            <a:t>Valuation in 2028</a:t>
          </a:r>
        </a:p>
      </xdr:txBody>
    </xdr:sp>
    <xdr:clientData/>
  </xdr:twoCellAnchor>
  <xdr:twoCellAnchor>
    <xdr:from>
      <xdr:col>40</xdr:col>
      <xdr:colOff>456796</xdr:colOff>
      <xdr:row>54</xdr:row>
      <xdr:rowOff>30238</xdr:rowOff>
    </xdr:from>
    <xdr:to>
      <xdr:col>42</xdr:col>
      <xdr:colOff>642989</xdr:colOff>
      <xdr:row>58</xdr:row>
      <xdr:rowOff>68338</xdr:rowOff>
    </xdr:to>
    <xdr:sp macro="" textlink="">
      <xdr:nvSpPr>
        <xdr:cNvPr id="59" name="AutoShape 1">
          <a:extLst>
            <a:ext uri="{FF2B5EF4-FFF2-40B4-BE49-F238E27FC236}">
              <a16:creationId xmlns:a16="http://schemas.microsoft.com/office/drawing/2014/main" id="{00000000-0008-0000-0300-00003B000000}"/>
            </a:ext>
          </a:extLst>
        </xdr:cNvPr>
        <xdr:cNvSpPr>
          <a:spLocks noChangeAspect="1" noChangeArrowheads="1"/>
        </xdr:cNvSpPr>
      </xdr:nvSpPr>
      <xdr:spPr bwMode="auto">
        <a:xfrm>
          <a:off x="20452946" y="9586988"/>
          <a:ext cx="1468893" cy="698500"/>
        </a:xfrm>
        <a:prstGeom prst="roundRect">
          <a:avLst>
            <a:gd name="adj" fmla="val 16667"/>
          </a:avLst>
        </a:prstGeom>
        <a:solidFill>
          <a:schemeClr val="accent2">
            <a:lumMod val="40000"/>
            <a:lumOff val="6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tx1"/>
              </a:solidFill>
              <a:latin typeface="Calibri"/>
              <a:ea typeface="+mn-ea"/>
              <a:cs typeface="Calibri"/>
            </a:rPr>
            <a:t>Probability of hitting Company Target Valuation in 2028</a:t>
          </a:r>
        </a:p>
      </xdr:txBody>
    </xdr:sp>
    <xdr:clientData/>
  </xdr:twoCellAnchor>
  <xdr:twoCellAnchor>
    <xdr:from>
      <xdr:col>30</xdr:col>
      <xdr:colOff>646135</xdr:colOff>
      <xdr:row>55</xdr:row>
      <xdr:rowOff>128392</xdr:rowOff>
    </xdr:from>
    <xdr:to>
      <xdr:col>32</xdr:col>
      <xdr:colOff>401317</xdr:colOff>
      <xdr:row>58</xdr:row>
      <xdr:rowOff>128391</xdr:rowOff>
    </xdr:to>
    <xdr:sp macro="" textlink="">
      <xdr:nvSpPr>
        <xdr:cNvPr id="60" name="AutoShape 1">
          <a:extLst>
            <a:ext uri="{FF2B5EF4-FFF2-40B4-BE49-F238E27FC236}">
              <a16:creationId xmlns:a16="http://schemas.microsoft.com/office/drawing/2014/main" id="{00000000-0008-0000-0300-00003C000000}"/>
            </a:ext>
          </a:extLst>
        </xdr:cNvPr>
        <xdr:cNvSpPr>
          <a:spLocks noChangeAspect="1" noChangeArrowheads="1"/>
        </xdr:cNvSpPr>
      </xdr:nvSpPr>
      <xdr:spPr bwMode="auto">
        <a:xfrm>
          <a:off x="14222435" y="9850242"/>
          <a:ext cx="1044232" cy="495299"/>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Target CAGR</a:t>
          </a:r>
        </a:p>
      </xdr:txBody>
    </xdr:sp>
    <xdr:clientData/>
  </xdr:twoCellAnchor>
  <xdr:twoCellAnchor>
    <xdr:from>
      <xdr:col>3</xdr:col>
      <xdr:colOff>409247</xdr:colOff>
      <xdr:row>57</xdr:row>
      <xdr:rowOff>45842</xdr:rowOff>
    </xdr:from>
    <xdr:to>
      <xdr:col>30</xdr:col>
      <xdr:colOff>639785</xdr:colOff>
      <xdr:row>65</xdr:row>
      <xdr:rowOff>88900</xdr:rowOff>
    </xdr:to>
    <xdr:cxnSp macro="">
      <xdr:nvCxnSpPr>
        <xdr:cNvPr id="61" name="AutoShape 14">
          <a:extLst>
            <a:ext uri="{FF2B5EF4-FFF2-40B4-BE49-F238E27FC236}">
              <a16:creationId xmlns:a16="http://schemas.microsoft.com/office/drawing/2014/main" id="{00000000-0008-0000-0300-00003D000000}"/>
            </a:ext>
          </a:extLst>
        </xdr:cNvPr>
        <xdr:cNvCxnSpPr>
          <a:cxnSpLocks noChangeShapeType="1"/>
          <a:stCxn id="58" idx="3"/>
          <a:endCxn id="60" idx="1"/>
        </xdr:cNvCxnSpPr>
      </xdr:nvCxnSpPr>
      <xdr:spPr bwMode="auto">
        <a:xfrm flipV="1">
          <a:off x="1260147" y="10097892"/>
          <a:ext cx="12962288" cy="1363858"/>
        </a:xfrm>
        <a:prstGeom prst="straightConnector1">
          <a:avLst/>
        </a:prstGeom>
        <a:noFill/>
        <a:ln w="9525">
          <a:solidFill>
            <a:srgbClr val="000000"/>
          </a:solidFill>
          <a:round/>
          <a:headEnd/>
          <a:tailEnd type="arrow" w="med" len="med"/>
        </a:ln>
      </xdr:spPr>
    </xdr:cxnSp>
    <xdr:clientData/>
  </xdr:twoCellAnchor>
  <xdr:twoCellAnchor>
    <xdr:from>
      <xdr:col>3</xdr:col>
      <xdr:colOff>396547</xdr:colOff>
      <xdr:row>57</xdr:row>
      <xdr:rowOff>45842</xdr:rowOff>
    </xdr:from>
    <xdr:to>
      <xdr:col>30</xdr:col>
      <xdr:colOff>633435</xdr:colOff>
      <xdr:row>60</xdr:row>
      <xdr:rowOff>44451</xdr:rowOff>
    </xdr:to>
    <xdr:cxnSp macro="">
      <xdr:nvCxnSpPr>
        <xdr:cNvPr id="62" name="AutoShape 14">
          <a:extLst>
            <a:ext uri="{FF2B5EF4-FFF2-40B4-BE49-F238E27FC236}">
              <a16:creationId xmlns:a16="http://schemas.microsoft.com/office/drawing/2014/main" id="{00000000-0008-0000-0300-00003E000000}"/>
            </a:ext>
          </a:extLst>
        </xdr:cNvPr>
        <xdr:cNvCxnSpPr>
          <a:cxnSpLocks noChangeShapeType="1"/>
          <a:stCxn id="50" idx="3"/>
          <a:endCxn id="60" idx="1"/>
        </xdr:cNvCxnSpPr>
      </xdr:nvCxnSpPr>
      <xdr:spPr bwMode="auto">
        <a:xfrm flipV="1">
          <a:off x="1247447" y="10097892"/>
          <a:ext cx="12974988" cy="493909"/>
        </a:xfrm>
        <a:prstGeom prst="straightConnector1">
          <a:avLst/>
        </a:prstGeom>
        <a:noFill/>
        <a:ln w="9525">
          <a:solidFill>
            <a:srgbClr val="000000"/>
          </a:solidFill>
          <a:round/>
          <a:headEnd/>
          <a:tailEnd type="arrow" w="med" len="med"/>
        </a:ln>
      </xdr:spPr>
    </xdr:cxnSp>
    <xdr:clientData/>
  </xdr:twoCellAnchor>
  <xdr:twoCellAnchor>
    <xdr:from>
      <xdr:col>32</xdr:col>
      <xdr:colOff>401317</xdr:colOff>
      <xdr:row>56</xdr:row>
      <xdr:rowOff>49288</xdr:rowOff>
    </xdr:from>
    <xdr:to>
      <xdr:col>40</xdr:col>
      <xdr:colOff>456796</xdr:colOff>
      <xdr:row>57</xdr:row>
      <xdr:rowOff>45842</xdr:rowOff>
    </xdr:to>
    <xdr:cxnSp macro="">
      <xdr:nvCxnSpPr>
        <xdr:cNvPr id="63" name="AutoShape 14">
          <a:extLst>
            <a:ext uri="{FF2B5EF4-FFF2-40B4-BE49-F238E27FC236}">
              <a16:creationId xmlns:a16="http://schemas.microsoft.com/office/drawing/2014/main" id="{00000000-0008-0000-0300-00003F000000}"/>
            </a:ext>
          </a:extLst>
        </xdr:cNvPr>
        <xdr:cNvCxnSpPr>
          <a:cxnSpLocks noChangeShapeType="1"/>
          <a:stCxn id="60" idx="3"/>
          <a:endCxn id="59" idx="1"/>
        </xdr:cNvCxnSpPr>
      </xdr:nvCxnSpPr>
      <xdr:spPr bwMode="auto">
        <a:xfrm flipV="1">
          <a:off x="15266667" y="9936238"/>
          <a:ext cx="5186279" cy="161654"/>
        </a:xfrm>
        <a:prstGeom prst="straightConnector1">
          <a:avLst/>
        </a:prstGeom>
        <a:noFill/>
        <a:ln w="9525">
          <a:solidFill>
            <a:srgbClr val="000000"/>
          </a:solidFill>
          <a:round/>
          <a:headEnd/>
          <a:tailEnd type="arrow" w="med" len="med"/>
        </a:ln>
      </xdr:spPr>
    </xdr:cxnSp>
    <xdr:clientData/>
  </xdr:twoCellAnchor>
  <xdr:twoCellAnchor>
    <xdr:from>
      <xdr:col>41</xdr:col>
      <xdr:colOff>250482</xdr:colOff>
      <xdr:row>42</xdr:row>
      <xdr:rowOff>12700</xdr:rowOff>
    </xdr:from>
    <xdr:to>
      <xdr:col>41</xdr:col>
      <xdr:colOff>549893</xdr:colOff>
      <xdr:row>54</xdr:row>
      <xdr:rowOff>30238</xdr:rowOff>
    </xdr:to>
    <xdr:cxnSp macro="">
      <xdr:nvCxnSpPr>
        <xdr:cNvPr id="64" name="AutoShape 14">
          <a:extLst>
            <a:ext uri="{FF2B5EF4-FFF2-40B4-BE49-F238E27FC236}">
              <a16:creationId xmlns:a16="http://schemas.microsoft.com/office/drawing/2014/main" id="{00000000-0008-0000-0300-000040000000}"/>
            </a:ext>
          </a:extLst>
        </xdr:cNvPr>
        <xdr:cNvCxnSpPr>
          <a:cxnSpLocks noChangeShapeType="1"/>
          <a:stCxn id="55" idx="3"/>
          <a:endCxn id="59" idx="0"/>
        </xdr:cNvCxnSpPr>
      </xdr:nvCxnSpPr>
      <xdr:spPr bwMode="auto">
        <a:xfrm>
          <a:off x="20887982" y="7588250"/>
          <a:ext cx="299411" cy="1998738"/>
        </a:xfrm>
        <a:prstGeom prst="straightConnector1">
          <a:avLst/>
        </a:prstGeom>
        <a:noFill/>
        <a:ln w="9525">
          <a:solidFill>
            <a:srgbClr val="000000"/>
          </a:solidFill>
          <a:round/>
          <a:headEnd/>
          <a:tailEnd type="arrow" w="med" len="med"/>
        </a:ln>
      </xdr:spPr>
    </xdr:cxnSp>
    <xdr:clientData/>
  </xdr:twoCellAnchor>
  <xdr:twoCellAnchor>
    <xdr:from>
      <xdr:col>41</xdr:col>
      <xdr:colOff>250482</xdr:colOff>
      <xdr:row>35</xdr:row>
      <xdr:rowOff>19050</xdr:rowOff>
    </xdr:from>
    <xdr:to>
      <xdr:col>41</xdr:col>
      <xdr:colOff>549893</xdr:colOff>
      <xdr:row>54</xdr:row>
      <xdr:rowOff>30238</xdr:rowOff>
    </xdr:to>
    <xdr:cxnSp macro="">
      <xdr:nvCxnSpPr>
        <xdr:cNvPr id="65" name="AutoShape 14">
          <a:extLst>
            <a:ext uri="{FF2B5EF4-FFF2-40B4-BE49-F238E27FC236}">
              <a16:creationId xmlns:a16="http://schemas.microsoft.com/office/drawing/2014/main" id="{00000000-0008-0000-0300-000041000000}"/>
            </a:ext>
          </a:extLst>
        </xdr:cNvPr>
        <xdr:cNvCxnSpPr>
          <a:cxnSpLocks noChangeShapeType="1"/>
          <a:stCxn id="40" idx="3"/>
          <a:endCxn id="59" idx="0"/>
        </xdr:cNvCxnSpPr>
      </xdr:nvCxnSpPr>
      <xdr:spPr bwMode="auto">
        <a:xfrm>
          <a:off x="20887982" y="6438900"/>
          <a:ext cx="299411" cy="3148088"/>
        </a:xfrm>
        <a:prstGeom prst="straightConnector1">
          <a:avLst/>
        </a:prstGeom>
        <a:noFill/>
        <a:ln w="9525">
          <a:solidFill>
            <a:srgbClr val="000000"/>
          </a:solidFill>
          <a:round/>
          <a:headEnd/>
          <a:tailEnd type="arrow" w="med" len="med"/>
        </a:ln>
      </xdr:spPr>
    </xdr:cxnSp>
    <xdr:clientData/>
  </xdr:twoCellAnchor>
  <xdr:twoCellAnchor>
    <xdr:from>
      <xdr:col>3</xdr:col>
      <xdr:colOff>427369</xdr:colOff>
      <xdr:row>15</xdr:row>
      <xdr:rowOff>81772</xdr:rowOff>
    </xdr:from>
    <xdr:to>
      <xdr:col>6</xdr:col>
      <xdr:colOff>434260</xdr:colOff>
      <xdr:row>21</xdr:row>
      <xdr:rowOff>68114</xdr:rowOff>
    </xdr:to>
    <xdr:cxnSp macro="">
      <xdr:nvCxnSpPr>
        <xdr:cNvPr id="66" name="AutoShape 14">
          <a:extLst>
            <a:ext uri="{FF2B5EF4-FFF2-40B4-BE49-F238E27FC236}">
              <a16:creationId xmlns:a16="http://schemas.microsoft.com/office/drawing/2014/main" id="{00000000-0008-0000-0300-000042000000}"/>
            </a:ext>
          </a:extLst>
        </xdr:cNvPr>
        <xdr:cNvCxnSpPr>
          <a:cxnSpLocks noChangeShapeType="1"/>
          <a:stCxn id="7" idx="3"/>
          <a:endCxn id="16" idx="1"/>
        </xdr:cNvCxnSpPr>
      </xdr:nvCxnSpPr>
      <xdr:spPr bwMode="auto">
        <a:xfrm flipV="1">
          <a:off x="1278269" y="3034522"/>
          <a:ext cx="1365791" cy="1142042"/>
        </a:xfrm>
        <a:prstGeom prst="straightConnector1">
          <a:avLst/>
        </a:prstGeom>
        <a:noFill/>
        <a:ln w="9525">
          <a:solidFill>
            <a:srgbClr val="000000"/>
          </a:solidFill>
          <a:prstDash val="lgDashDotDot"/>
          <a:round/>
          <a:headEnd/>
          <a:tailEnd type="arrow" w="med" len="med"/>
        </a:ln>
      </xdr:spPr>
    </xdr:cxnSp>
    <xdr:clientData/>
  </xdr:twoCellAnchor>
  <xdr:twoCellAnchor>
    <xdr:from>
      <xdr:col>3</xdr:col>
      <xdr:colOff>435559</xdr:colOff>
      <xdr:row>15</xdr:row>
      <xdr:rowOff>81772</xdr:rowOff>
    </xdr:from>
    <xdr:to>
      <xdr:col>6</xdr:col>
      <xdr:colOff>434260</xdr:colOff>
      <xdr:row>26</xdr:row>
      <xdr:rowOff>78454</xdr:rowOff>
    </xdr:to>
    <xdr:cxnSp macro="">
      <xdr:nvCxnSpPr>
        <xdr:cNvPr id="67" name="AutoShape 14">
          <a:extLst>
            <a:ext uri="{FF2B5EF4-FFF2-40B4-BE49-F238E27FC236}">
              <a16:creationId xmlns:a16="http://schemas.microsoft.com/office/drawing/2014/main" id="{00000000-0008-0000-0300-000043000000}"/>
            </a:ext>
          </a:extLst>
        </xdr:cNvPr>
        <xdr:cNvCxnSpPr>
          <a:cxnSpLocks noChangeShapeType="1"/>
          <a:stCxn id="17" idx="3"/>
          <a:endCxn id="16" idx="1"/>
        </xdr:cNvCxnSpPr>
      </xdr:nvCxnSpPr>
      <xdr:spPr bwMode="auto">
        <a:xfrm flipV="1">
          <a:off x="1286459" y="3034522"/>
          <a:ext cx="1357601" cy="1977882"/>
        </a:xfrm>
        <a:prstGeom prst="straightConnector1">
          <a:avLst/>
        </a:prstGeom>
        <a:noFill/>
        <a:ln w="9525">
          <a:solidFill>
            <a:srgbClr val="000000"/>
          </a:solidFill>
          <a:prstDash val="lgDashDotDot"/>
          <a:round/>
          <a:headEnd/>
          <a:tailEnd type="arrow" w="med" len="med"/>
        </a:ln>
      </xdr:spPr>
    </xdr:cxnSp>
    <xdr:clientData/>
  </xdr:twoCellAnchor>
  <xdr:twoCellAnchor>
    <xdr:from>
      <xdr:col>0</xdr:col>
      <xdr:colOff>235453</xdr:colOff>
      <xdr:row>53</xdr:row>
      <xdr:rowOff>159858</xdr:rowOff>
    </xdr:from>
    <xdr:to>
      <xdr:col>3</xdr:col>
      <xdr:colOff>411866</xdr:colOff>
      <xdr:row>57</xdr:row>
      <xdr:rowOff>109058</xdr:rowOff>
    </xdr:to>
    <xdr:sp macro="" textlink="">
      <xdr:nvSpPr>
        <xdr:cNvPr id="68" name="AutoShape 4">
          <a:extLst>
            <a:ext uri="{FF2B5EF4-FFF2-40B4-BE49-F238E27FC236}">
              <a16:creationId xmlns:a16="http://schemas.microsoft.com/office/drawing/2014/main" id="{00000000-0008-0000-0300-000044000000}"/>
            </a:ext>
          </a:extLst>
        </xdr:cNvPr>
        <xdr:cNvSpPr>
          <a:spLocks noChangeAspect="1" noChangeArrowheads="1"/>
        </xdr:cNvSpPr>
      </xdr:nvSpPr>
      <xdr:spPr bwMode="auto">
        <a:xfrm>
          <a:off x="235453" y="9372739"/>
          <a:ext cx="1026667" cy="594963"/>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rgbClr val="993366"/>
              </a:solidFill>
              <a:latin typeface="Calibri"/>
              <a:ea typeface="+mn-ea"/>
              <a:cs typeface="Calibri"/>
            </a:rPr>
            <a:t>Borrowing Interest Rate (SME)</a:t>
          </a:r>
        </a:p>
      </xdr:txBody>
    </xdr:sp>
    <xdr:clientData/>
  </xdr:twoCellAnchor>
  <xdr:twoCellAnchor>
    <xdr:from>
      <xdr:col>27</xdr:col>
      <xdr:colOff>478770</xdr:colOff>
      <xdr:row>35</xdr:row>
      <xdr:rowOff>47776</xdr:rowOff>
    </xdr:from>
    <xdr:to>
      <xdr:col>29</xdr:col>
      <xdr:colOff>402570</xdr:colOff>
      <xdr:row>39</xdr:row>
      <xdr:rowOff>807</xdr:rowOff>
    </xdr:to>
    <xdr:sp macro="" textlink="">
      <xdr:nvSpPr>
        <xdr:cNvPr id="69" name="AutoShape 1">
          <a:extLst>
            <a:ext uri="{FF2B5EF4-FFF2-40B4-BE49-F238E27FC236}">
              <a16:creationId xmlns:a16="http://schemas.microsoft.com/office/drawing/2014/main" id="{00000000-0008-0000-0300-000045000000}"/>
            </a:ext>
          </a:extLst>
        </xdr:cNvPr>
        <xdr:cNvSpPr>
          <a:spLocks noChangeAspect="1" noChangeArrowheads="1"/>
        </xdr:cNvSpPr>
      </xdr:nvSpPr>
      <xdr:spPr bwMode="auto">
        <a:xfrm>
          <a:off x="12137370" y="6467626"/>
          <a:ext cx="1206500" cy="613431"/>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Initial Investments for Overseas Expansion</a:t>
          </a:r>
        </a:p>
      </xdr:txBody>
    </xdr:sp>
    <xdr:clientData/>
  </xdr:twoCellAnchor>
  <xdr:twoCellAnchor>
    <xdr:from>
      <xdr:col>28</xdr:col>
      <xdr:colOff>430836</xdr:colOff>
      <xdr:row>32</xdr:row>
      <xdr:rowOff>133821</xdr:rowOff>
    </xdr:from>
    <xdr:to>
      <xdr:col>28</xdr:col>
      <xdr:colOff>440670</xdr:colOff>
      <xdr:row>35</xdr:row>
      <xdr:rowOff>47776</xdr:rowOff>
    </xdr:to>
    <xdr:cxnSp macro="">
      <xdr:nvCxnSpPr>
        <xdr:cNvPr id="70" name="AutoShape 14">
          <a:extLst>
            <a:ext uri="{FF2B5EF4-FFF2-40B4-BE49-F238E27FC236}">
              <a16:creationId xmlns:a16="http://schemas.microsoft.com/office/drawing/2014/main" id="{00000000-0008-0000-0300-000046000000}"/>
            </a:ext>
          </a:extLst>
        </xdr:cNvPr>
        <xdr:cNvCxnSpPr>
          <a:cxnSpLocks noChangeShapeType="1"/>
          <a:stCxn id="2" idx="2"/>
          <a:endCxn id="69" idx="0"/>
        </xdr:cNvCxnSpPr>
      </xdr:nvCxnSpPr>
      <xdr:spPr bwMode="auto">
        <a:xfrm>
          <a:off x="12730786" y="6058371"/>
          <a:ext cx="9834" cy="409255"/>
        </a:xfrm>
        <a:prstGeom prst="straightConnector1">
          <a:avLst/>
        </a:prstGeom>
        <a:noFill/>
        <a:ln w="9525">
          <a:solidFill>
            <a:srgbClr val="000000"/>
          </a:solidFill>
          <a:prstDash val="dashDot"/>
          <a:round/>
          <a:headEnd/>
          <a:tailEnd type="arrow" w="med" len="med"/>
        </a:ln>
      </xdr:spPr>
    </xdr:cxnSp>
    <xdr:clientData/>
  </xdr:twoCellAnchor>
  <xdr:twoCellAnchor>
    <xdr:from>
      <xdr:col>3</xdr:col>
      <xdr:colOff>411866</xdr:colOff>
      <xdr:row>42</xdr:row>
      <xdr:rowOff>79930</xdr:rowOff>
    </xdr:from>
    <xdr:to>
      <xdr:col>31</xdr:col>
      <xdr:colOff>1209</xdr:colOff>
      <xdr:row>55</xdr:row>
      <xdr:rowOff>134458</xdr:rowOff>
    </xdr:to>
    <xdr:cxnSp macro="">
      <xdr:nvCxnSpPr>
        <xdr:cNvPr id="71" name="AutoShape 14">
          <a:extLst>
            <a:ext uri="{FF2B5EF4-FFF2-40B4-BE49-F238E27FC236}">
              <a16:creationId xmlns:a16="http://schemas.microsoft.com/office/drawing/2014/main" id="{00000000-0008-0000-0300-000047000000}"/>
            </a:ext>
          </a:extLst>
        </xdr:cNvPr>
        <xdr:cNvCxnSpPr>
          <a:cxnSpLocks noChangeShapeType="1"/>
          <a:stCxn id="68" idx="3"/>
          <a:endCxn id="42" idx="1"/>
        </xdr:cNvCxnSpPr>
      </xdr:nvCxnSpPr>
      <xdr:spPr bwMode="auto">
        <a:xfrm flipV="1">
          <a:off x="1262766" y="7655480"/>
          <a:ext cx="12962443" cy="2200828"/>
        </a:xfrm>
        <a:prstGeom prst="straightConnector1">
          <a:avLst/>
        </a:prstGeom>
        <a:noFill/>
        <a:ln w="9525">
          <a:solidFill>
            <a:srgbClr val="000000"/>
          </a:solidFill>
          <a:round/>
          <a:headEnd/>
          <a:tailEnd type="arrow" w="med" len="med"/>
        </a:ln>
      </xdr:spPr>
    </xdr:cxnSp>
    <xdr:clientData/>
  </xdr:twoCellAnchor>
  <xdr:twoCellAnchor>
    <xdr:from>
      <xdr:col>29</xdr:col>
      <xdr:colOff>402570</xdr:colOff>
      <xdr:row>32</xdr:row>
      <xdr:rowOff>16026</xdr:rowOff>
    </xdr:from>
    <xdr:to>
      <xdr:col>32</xdr:col>
      <xdr:colOff>603351</xdr:colOff>
      <xdr:row>37</xdr:row>
      <xdr:rowOff>24292</xdr:rowOff>
    </xdr:to>
    <xdr:cxnSp macro="">
      <xdr:nvCxnSpPr>
        <xdr:cNvPr id="72" name="AutoShape 14">
          <a:extLst>
            <a:ext uri="{FF2B5EF4-FFF2-40B4-BE49-F238E27FC236}">
              <a16:creationId xmlns:a16="http://schemas.microsoft.com/office/drawing/2014/main" id="{00000000-0008-0000-0300-000048000000}"/>
            </a:ext>
          </a:extLst>
        </xdr:cNvPr>
        <xdr:cNvCxnSpPr>
          <a:cxnSpLocks noChangeShapeType="1"/>
          <a:stCxn id="69" idx="3"/>
          <a:endCxn id="46" idx="1"/>
        </xdr:cNvCxnSpPr>
      </xdr:nvCxnSpPr>
      <xdr:spPr bwMode="auto">
        <a:xfrm flipV="1">
          <a:off x="13343870" y="5940576"/>
          <a:ext cx="2124831" cy="833766"/>
        </a:xfrm>
        <a:prstGeom prst="straightConnector1">
          <a:avLst/>
        </a:prstGeom>
        <a:noFill/>
        <a:ln w="9525">
          <a:solidFill>
            <a:srgbClr val="000000"/>
          </a:solidFill>
          <a:round/>
          <a:headEnd/>
          <a:tailEnd type="arrow" w="med" len="med"/>
        </a:ln>
      </xdr:spPr>
    </xdr:cxnSp>
    <xdr:clientData/>
  </xdr:twoCellAnchor>
  <xdr:twoCellAnchor>
    <xdr:from>
      <xdr:col>3</xdr:col>
      <xdr:colOff>427369</xdr:colOff>
      <xdr:row>21</xdr:row>
      <xdr:rowOff>70835</xdr:rowOff>
    </xdr:from>
    <xdr:to>
      <xdr:col>27</xdr:col>
      <xdr:colOff>553432</xdr:colOff>
      <xdr:row>31</xdr:row>
      <xdr:rowOff>52179</xdr:rowOff>
    </xdr:to>
    <xdr:cxnSp macro="">
      <xdr:nvCxnSpPr>
        <xdr:cNvPr id="73" name="AutoShape 14">
          <a:extLst>
            <a:ext uri="{FF2B5EF4-FFF2-40B4-BE49-F238E27FC236}">
              <a16:creationId xmlns:a16="http://schemas.microsoft.com/office/drawing/2014/main" id="{00000000-0008-0000-0300-000049000000}"/>
            </a:ext>
          </a:extLst>
        </xdr:cNvPr>
        <xdr:cNvCxnSpPr>
          <a:cxnSpLocks noChangeShapeType="1"/>
          <a:stCxn id="7" idx="3"/>
          <a:endCxn id="2" idx="1"/>
        </xdr:cNvCxnSpPr>
      </xdr:nvCxnSpPr>
      <xdr:spPr bwMode="auto">
        <a:xfrm>
          <a:off x="1279016" y="4127364"/>
          <a:ext cx="10965887" cy="1624874"/>
        </a:xfrm>
        <a:prstGeom prst="bentConnector3">
          <a:avLst>
            <a:gd name="adj1" fmla="val 50000"/>
          </a:avLst>
        </a:prstGeom>
        <a:ln w="19050" cap="flat" cmpd="sng" algn="ctr">
          <a:solidFill>
            <a:schemeClr val="dk1"/>
          </a:solidFill>
          <a:prstDash val="lgDashDotDot"/>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24</xdr:col>
      <xdr:colOff>336951</xdr:colOff>
      <xdr:row>22</xdr:row>
      <xdr:rowOff>134449</xdr:rowOff>
    </xdr:from>
    <xdr:to>
      <xdr:col>32</xdr:col>
      <xdr:colOff>603351</xdr:colOff>
      <xdr:row>32</xdr:row>
      <xdr:rowOff>16026</xdr:rowOff>
    </xdr:to>
    <xdr:cxnSp macro="">
      <xdr:nvCxnSpPr>
        <xdr:cNvPr id="74" name="AutoShape 18">
          <a:extLst>
            <a:ext uri="{FF2B5EF4-FFF2-40B4-BE49-F238E27FC236}">
              <a16:creationId xmlns:a16="http://schemas.microsoft.com/office/drawing/2014/main" id="{00000000-0008-0000-0300-00004A000000}"/>
            </a:ext>
          </a:extLst>
        </xdr:cNvPr>
        <xdr:cNvCxnSpPr>
          <a:cxnSpLocks noChangeShapeType="1"/>
          <a:stCxn id="9" idx="3"/>
          <a:endCxn id="46" idx="1"/>
        </xdr:cNvCxnSpPr>
      </xdr:nvCxnSpPr>
      <xdr:spPr bwMode="auto">
        <a:xfrm>
          <a:off x="10071501" y="4407999"/>
          <a:ext cx="5397200" cy="1532577"/>
        </a:xfrm>
        <a:prstGeom prst="straightConnector1">
          <a:avLst/>
        </a:prstGeom>
        <a:noFill/>
        <a:ln w="9525">
          <a:solidFill>
            <a:srgbClr val="000000"/>
          </a:solidFill>
          <a:round/>
          <a:headEnd/>
          <a:tailEnd type="arrow" w="med" len="med"/>
        </a:ln>
      </xdr:spPr>
    </xdr:cxnSp>
    <xdr:clientData/>
  </xdr:twoCellAnchor>
  <xdr:twoCellAnchor>
    <xdr:from>
      <xdr:col>37</xdr:col>
      <xdr:colOff>538238</xdr:colOff>
      <xdr:row>51</xdr:row>
      <xdr:rowOff>158937</xdr:rowOff>
    </xdr:from>
    <xdr:to>
      <xdr:col>41</xdr:col>
      <xdr:colOff>549893</xdr:colOff>
      <xdr:row>54</xdr:row>
      <xdr:rowOff>30238</xdr:rowOff>
    </xdr:to>
    <xdr:cxnSp macro="">
      <xdr:nvCxnSpPr>
        <xdr:cNvPr id="75" name="AutoShape 14">
          <a:extLst>
            <a:ext uri="{FF2B5EF4-FFF2-40B4-BE49-F238E27FC236}">
              <a16:creationId xmlns:a16="http://schemas.microsoft.com/office/drawing/2014/main" id="{00000000-0008-0000-0300-00004B000000}"/>
            </a:ext>
          </a:extLst>
        </xdr:cNvPr>
        <xdr:cNvCxnSpPr>
          <a:cxnSpLocks noChangeShapeType="1"/>
          <a:stCxn id="51" idx="3"/>
          <a:endCxn id="59" idx="0"/>
        </xdr:cNvCxnSpPr>
      </xdr:nvCxnSpPr>
      <xdr:spPr bwMode="auto">
        <a:xfrm>
          <a:off x="18610338" y="9220387"/>
          <a:ext cx="2577055" cy="366601"/>
        </a:xfrm>
        <a:prstGeom prst="straightConnector1">
          <a:avLst/>
        </a:prstGeom>
        <a:noFill/>
        <a:ln w="9525">
          <a:solidFill>
            <a:srgbClr val="000000"/>
          </a:solidFill>
          <a:round/>
          <a:headEnd/>
          <a:tailEnd type="arrow" w="med" len="med"/>
        </a:ln>
      </xdr:spPr>
    </xdr:cxnSp>
    <xdr:clientData/>
  </xdr:twoCellAnchor>
  <xdr:twoCellAnchor>
    <xdr:from>
      <xdr:col>28</xdr:col>
      <xdr:colOff>440670</xdr:colOff>
      <xdr:row>39</xdr:row>
      <xdr:rowOff>808</xdr:rowOff>
    </xdr:from>
    <xdr:to>
      <xdr:col>32</xdr:col>
      <xdr:colOff>612366</xdr:colOff>
      <xdr:row>48</xdr:row>
      <xdr:rowOff>30209</xdr:rowOff>
    </xdr:to>
    <xdr:cxnSp macro="">
      <xdr:nvCxnSpPr>
        <xdr:cNvPr id="76" name="AutoShape 14">
          <a:extLst>
            <a:ext uri="{FF2B5EF4-FFF2-40B4-BE49-F238E27FC236}">
              <a16:creationId xmlns:a16="http://schemas.microsoft.com/office/drawing/2014/main" id="{00000000-0008-0000-0300-00004C000000}"/>
            </a:ext>
          </a:extLst>
        </xdr:cNvPr>
        <xdr:cNvCxnSpPr>
          <a:cxnSpLocks noChangeShapeType="1"/>
          <a:stCxn id="20" idx="1"/>
          <a:endCxn id="69" idx="2"/>
        </xdr:cNvCxnSpPr>
      </xdr:nvCxnSpPr>
      <xdr:spPr bwMode="auto">
        <a:xfrm rot="10800000">
          <a:off x="12740620" y="7081058"/>
          <a:ext cx="2737096" cy="1515301"/>
        </a:xfrm>
        <a:prstGeom prst="curvedConnector2">
          <a:avLst/>
        </a:prstGeom>
        <a:noFill/>
        <a:ln w="9525">
          <a:solidFill>
            <a:srgbClr val="000000"/>
          </a:solidFill>
          <a:round/>
          <a:headEnd/>
          <a:tailEnd type="arrow" w="med" len="med"/>
        </a:ln>
      </xdr:spPr>
    </xdr:cxnSp>
    <xdr:clientData/>
  </xdr:twoCellAnchor>
  <xdr:twoCellAnchor>
    <xdr:from>
      <xdr:col>27</xdr:col>
      <xdr:colOff>571500</xdr:colOff>
      <xdr:row>20</xdr:row>
      <xdr:rowOff>110086</xdr:rowOff>
    </xdr:from>
    <xdr:to>
      <xdr:col>29</xdr:col>
      <xdr:colOff>368300</xdr:colOff>
      <xdr:row>23</xdr:row>
      <xdr:rowOff>160747</xdr:rowOff>
    </xdr:to>
    <xdr:sp macro="" textlink="">
      <xdr:nvSpPr>
        <xdr:cNvPr id="77" name="AutoShape 17">
          <a:extLst>
            <a:ext uri="{FF2B5EF4-FFF2-40B4-BE49-F238E27FC236}">
              <a16:creationId xmlns:a16="http://schemas.microsoft.com/office/drawing/2014/main" id="{00000000-0008-0000-0300-00004D000000}"/>
            </a:ext>
          </a:extLst>
        </xdr:cNvPr>
        <xdr:cNvSpPr>
          <a:spLocks noChangeAspect="1" noChangeArrowheads="1"/>
        </xdr:cNvSpPr>
      </xdr:nvSpPr>
      <xdr:spPr bwMode="auto">
        <a:xfrm>
          <a:off x="12230100" y="4053436"/>
          <a:ext cx="1079500" cy="545961"/>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Seasonality</a:t>
          </a:r>
          <a:r>
            <a:rPr lang="en-US" sz="1000" b="0" i="0" strike="noStrike" baseline="0">
              <a:solidFill>
                <a:sysClr val="windowText" lastClr="000000"/>
              </a:solidFill>
              <a:latin typeface="Calibri"/>
              <a:cs typeface="Calibri"/>
            </a:rPr>
            <a:t> Index</a:t>
          </a:r>
          <a:endParaRPr lang="en-US" sz="1000" b="0" i="0" strike="noStrike">
            <a:solidFill>
              <a:sysClr val="windowText" lastClr="000000"/>
            </a:solidFill>
            <a:latin typeface="Calibri"/>
            <a:cs typeface="Calibri"/>
          </a:endParaRPr>
        </a:p>
      </xdr:txBody>
    </xdr:sp>
    <xdr:clientData/>
  </xdr:twoCellAnchor>
  <xdr:twoCellAnchor>
    <xdr:from>
      <xdr:col>15</xdr:col>
      <xdr:colOff>204771</xdr:colOff>
      <xdr:row>18</xdr:row>
      <xdr:rowOff>39632</xdr:rowOff>
    </xdr:from>
    <xdr:to>
      <xdr:col>27</xdr:col>
      <xdr:colOff>571500</xdr:colOff>
      <xdr:row>22</xdr:row>
      <xdr:rowOff>52867</xdr:rowOff>
    </xdr:to>
    <xdr:cxnSp macro="">
      <xdr:nvCxnSpPr>
        <xdr:cNvPr id="78" name="AutoShape 18">
          <a:extLst>
            <a:ext uri="{FF2B5EF4-FFF2-40B4-BE49-F238E27FC236}">
              <a16:creationId xmlns:a16="http://schemas.microsoft.com/office/drawing/2014/main" id="{00000000-0008-0000-0300-00004E000000}"/>
            </a:ext>
          </a:extLst>
        </xdr:cNvPr>
        <xdr:cNvCxnSpPr>
          <a:cxnSpLocks noChangeShapeType="1"/>
          <a:stCxn id="4" idx="3"/>
          <a:endCxn id="77" idx="1"/>
        </xdr:cNvCxnSpPr>
      </xdr:nvCxnSpPr>
      <xdr:spPr bwMode="auto">
        <a:xfrm>
          <a:off x="6637321" y="3582932"/>
          <a:ext cx="5592779" cy="743485"/>
        </a:xfrm>
        <a:prstGeom prst="straightConnector1">
          <a:avLst/>
        </a:prstGeom>
        <a:noFill/>
        <a:ln w="9525">
          <a:solidFill>
            <a:srgbClr val="000000"/>
          </a:solidFill>
          <a:round/>
          <a:headEnd/>
          <a:tailEnd type="arrow" w="med" len="med"/>
        </a:ln>
      </xdr:spPr>
    </xdr:cxnSp>
    <xdr:clientData/>
  </xdr:twoCellAnchor>
  <xdr:twoCellAnchor>
    <xdr:from>
      <xdr:col>15</xdr:col>
      <xdr:colOff>376970</xdr:colOff>
      <xdr:row>22</xdr:row>
      <xdr:rowOff>52867</xdr:rowOff>
    </xdr:from>
    <xdr:to>
      <xdr:col>27</xdr:col>
      <xdr:colOff>571500</xdr:colOff>
      <xdr:row>34</xdr:row>
      <xdr:rowOff>16633</xdr:rowOff>
    </xdr:to>
    <xdr:cxnSp macro="">
      <xdr:nvCxnSpPr>
        <xdr:cNvPr id="79" name="AutoShape 18">
          <a:extLst>
            <a:ext uri="{FF2B5EF4-FFF2-40B4-BE49-F238E27FC236}">
              <a16:creationId xmlns:a16="http://schemas.microsoft.com/office/drawing/2014/main" id="{00000000-0008-0000-0300-00004F000000}"/>
            </a:ext>
          </a:extLst>
        </xdr:cNvPr>
        <xdr:cNvCxnSpPr>
          <a:cxnSpLocks noChangeShapeType="1"/>
          <a:stCxn id="18" idx="3"/>
          <a:endCxn id="77" idx="1"/>
        </xdr:cNvCxnSpPr>
      </xdr:nvCxnSpPr>
      <xdr:spPr bwMode="auto">
        <a:xfrm flipV="1">
          <a:off x="6809520" y="4326417"/>
          <a:ext cx="5420580" cy="1944966"/>
        </a:xfrm>
        <a:prstGeom prst="straightConnector1">
          <a:avLst/>
        </a:prstGeom>
        <a:noFill/>
        <a:ln w="9525">
          <a:solidFill>
            <a:srgbClr val="000000"/>
          </a:solidFill>
          <a:round/>
          <a:headEnd/>
          <a:tailEnd type="arrow" w="med" len="med"/>
        </a:ln>
      </xdr:spPr>
    </xdr:cxnSp>
    <xdr:clientData/>
  </xdr:twoCellAnchor>
  <xdr:twoCellAnchor>
    <xdr:from>
      <xdr:col>29</xdr:col>
      <xdr:colOff>368300</xdr:colOff>
      <xdr:row>22</xdr:row>
      <xdr:rowOff>52867</xdr:rowOff>
    </xdr:from>
    <xdr:to>
      <xdr:col>35</xdr:col>
      <xdr:colOff>622300</xdr:colOff>
      <xdr:row>25</xdr:row>
      <xdr:rowOff>95250</xdr:rowOff>
    </xdr:to>
    <xdr:cxnSp macro="">
      <xdr:nvCxnSpPr>
        <xdr:cNvPr id="80" name="AutoShape 18">
          <a:extLst>
            <a:ext uri="{FF2B5EF4-FFF2-40B4-BE49-F238E27FC236}">
              <a16:creationId xmlns:a16="http://schemas.microsoft.com/office/drawing/2014/main" id="{00000000-0008-0000-0300-000050000000}"/>
            </a:ext>
          </a:extLst>
        </xdr:cNvPr>
        <xdr:cNvCxnSpPr>
          <a:cxnSpLocks noChangeShapeType="1"/>
          <a:stCxn id="77" idx="3"/>
          <a:endCxn id="89" idx="1"/>
        </xdr:cNvCxnSpPr>
      </xdr:nvCxnSpPr>
      <xdr:spPr bwMode="auto">
        <a:xfrm>
          <a:off x="13309600" y="4326417"/>
          <a:ext cx="4102100" cy="537683"/>
        </a:xfrm>
        <a:prstGeom prst="straightConnector1">
          <a:avLst/>
        </a:prstGeom>
        <a:noFill/>
        <a:ln w="9525">
          <a:solidFill>
            <a:srgbClr val="000000"/>
          </a:solidFill>
          <a:round/>
          <a:headEnd/>
          <a:tailEnd type="arrow" w="med" len="med"/>
        </a:ln>
      </xdr:spPr>
    </xdr:cxnSp>
    <xdr:clientData/>
  </xdr:twoCellAnchor>
  <xdr:twoCellAnchor>
    <xdr:from>
      <xdr:col>35</xdr:col>
      <xdr:colOff>558800</xdr:colOff>
      <xdr:row>4</xdr:row>
      <xdr:rowOff>148200</xdr:rowOff>
    </xdr:from>
    <xdr:to>
      <xdr:col>37</xdr:col>
      <xdr:colOff>457200</xdr:colOff>
      <xdr:row>7</xdr:row>
      <xdr:rowOff>135348</xdr:rowOff>
    </xdr:to>
    <xdr:sp macro="" textlink="">
      <xdr:nvSpPr>
        <xdr:cNvPr id="81" name="AutoShape 17">
          <a:extLst>
            <a:ext uri="{FF2B5EF4-FFF2-40B4-BE49-F238E27FC236}">
              <a16:creationId xmlns:a16="http://schemas.microsoft.com/office/drawing/2014/main" id="{00000000-0008-0000-0300-000051000000}"/>
            </a:ext>
          </a:extLst>
        </xdr:cNvPr>
        <xdr:cNvSpPr>
          <a:spLocks noChangeAspect="1" noChangeArrowheads="1"/>
        </xdr:cNvSpPr>
      </xdr:nvSpPr>
      <xdr:spPr bwMode="auto">
        <a:xfrm>
          <a:off x="17348200" y="935600"/>
          <a:ext cx="1181100" cy="577698"/>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tx1"/>
              </a:solidFill>
              <a:latin typeface="Calibri"/>
              <a:ea typeface="+mn-ea"/>
              <a:cs typeface="Calibri"/>
            </a:rPr>
            <a:t>Safety Stock Level</a:t>
          </a:r>
        </a:p>
      </xdr:txBody>
    </xdr:sp>
    <xdr:clientData/>
  </xdr:twoCellAnchor>
  <xdr:twoCellAnchor>
    <xdr:from>
      <xdr:col>0</xdr:col>
      <xdr:colOff>215900</xdr:colOff>
      <xdr:row>4</xdr:row>
      <xdr:rowOff>190500</xdr:rowOff>
    </xdr:from>
    <xdr:to>
      <xdr:col>3</xdr:col>
      <xdr:colOff>450043</xdr:colOff>
      <xdr:row>7</xdr:row>
      <xdr:rowOff>96178</xdr:rowOff>
    </xdr:to>
    <xdr:sp macro="" textlink="">
      <xdr:nvSpPr>
        <xdr:cNvPr id="82" name="AutoShape 5">
          <a:extLst>
            <a:ext uri="{FF2B5EF4-FFF2-40B4-BE49-F238E27FC236}">
              <a16:creationId xmlns:a16="http://schemas.microsoft.com/office/drawing/2014/main" id="{00000000-0008-0000-0300-000052000000}"/>
            </a:ext>
          </a:extLst>
        </xdr:cNvPr>
        <xdr:cNvSpPr>
          <a:spLocks noChangeAspect="1" noChangeArrowheads="1"/>
        </xdr:cNvSpPr>
      </xdr:nvSpPr>
      <xdr:spPr bwMode="auto">
        <a:xfrm>
          <a:off x="215900" y="977900"/>
          <a:ext cx="1085043" cy="496228"/>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Max.</a:t>
          </a:r>
          <a:r>
            <a:rPr lang="en-US" sz="1000" b="0" i="0" strike="noStrike" baseline="0">
              <a:solidFill>
                <a:srgbClr val="993366"/>
              </a:solidFill>
              <a:latin typeface="Calibri"/>
              <a:cs typeface="Calibri"/>
            </a:rPr>
            <a:t> Lead Time</a:t>
          </a:r>
          <a:endParaRPr lang="en-US" sz="1000" b="0" i="0" strike="noStrike">
            <a:solidFill>
              <a:srgbClr val="993366"/>
            </a:solidFill>
            <a:latin typeface="Calibri"/>
            <a:cs typeface="Calibri"/>
          </a:endParaRPr>
        </a:p>
      </xdr:txBody>
    </xdr:sp>
    <xdr:clientData/>
  </xdr:twoCellAnchor>
  <xdr:twoCellAnchor>
    <xdr:from>
      <xdr:col>0</xdr:col>
      <xdr:colOff>215900</xdr:colOff>
      <xdr:row>8</xdr:row>
      <xdr:rowOff>114300</xdr:rowOff>
    </xdr:from>
    <xdr:to>
      <xdr:col>3</xdr:col>
      <xdr:colOff>450043</xdr:colOff>
      <xdr:row>11</xdr:row>
      <xdr:rowOff>19978</xdr:rowOff>
    </xdr:to>
    <xdr:sp macro="" textlink="">
      <xdr:nvSpPr>
        <xdr:cNvPr id="83" name="AutoShape 5">
          <a:extLst>
            <a:ext uri="{FF2B5EF4-FFF2-40B4-BE49-F238E27FC236}">
              <a16:creationId xmlns:a16="http://schemas.microsoft.com/office/drawing/2014/main" id="{00000000-0008-0000-0300-000053000000}"/>
            </a:ext>
          </a:extLst>
        </xdr:cNvPr>
        <xdr:cNvSpPr>
          <a:spLocks noChangeAspect="1" noChangeArrowheads="1"/>
        </xdr:cNvSpPr>
      </xdr:nvSpPr>
      <xdr:spPr bwMode="auto">
        <a:xfrm>
          <a:off x="215900" y="1689100"/>
          <a:ext cx="1085043" cy="496228"/>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Average</a:t>
          </a:r>
          <a:r>
            <a:rPr lang="en-US" sz="1000" b="0" i="0" strike="noStrike" baseline="0">
              <a:solidFill>
                <a:srgbClr val="993366"/>
              </a:solidFill>
              <a:latin typeface="Calibri"/>
              <a:cs typeface="Calibri"/>
            </a:rPr>
            <a:t> Lead Time</a:t>
          </a:r>
          <a:endParaRPr lang="en-US" sz="1000" b="0" i="0" strike="noStrike">
            <a:solidFill>
              <a:srgbClr val="993366"/>
            </a:solidFill>
            <a:latin typeface="Calibri"/>
            <a:cs typeface="Calibri"/>
          </a:endParaRPr>
        </a:p>
      </xdr:txBody>
    </xdr:sp>
    <xdr:clientData/>
  </xdr:twoCellAnchor>
  <xdr:twoCellAnchor>
    <xdr:from>
      <xdr:col>31</xdr:col>
      <xdr:colOff>0</xdr:colOff>
      <xdr:row>8</xdr:row>
      <xdr:rowOff>127000</xdr:rowOff>
    </xdr:from>
    <xdr:to>
      <xdr:col>32</xdr:col>
      <xdr:colOff>450043</xdr:colOff>
      <xdr:row>11</xdr:row>
      <xdr:rowOff>32678</xdr:rowOff>
    </xdr:to>
    <xdr:sp macro="" textlink="">
      <xdr:nvSpPr>
        <xdr:cNvPr id="84" name="AutoShape 5">
          <a:extLst>
            <a:ext uri="{FF2B5EF4-FFF2-40B4-BE49-F238E27FC236}">
              <a16:creationId xmlns:a16="http://schemas.microsoft.com/office/drawing/2014/main" id="{00000000-0008-0000-0300-000054000000}"/>
            </a:ext>
          </a:extLst>
        </xdr:cNvPr>
        <xdr:cNvSpPr>
          <a:spLocks noChangeAspect="1" noChangeArrowheads="1"/>
        </xdr:cNvSpPr>
      </xdr:nvSpPr>
      <xdr:spPr bwMode="auto">
        <a:xfrm>
          <a:off x="14224000" y="1701800"/>
          <a:ext cx="1091393" cy="496228"/>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Max.Forecasted  Demand</a:t>
          </a:r>
        </a:p>
      </xdr:txBody>
    </xdr:sp>
    <xdr:clientData/>
  </xdr:twoCellAnchor>
  <xdr:twoCellAnchor>
    <xdr:from>
      <xdr:col>3</xdr:col>
      <xdr:colOff>450043</xdr:colOff>
      <xdr:row>6</xdr:row>
      <xdr:rowOff>40174</xdr:rowOff>
    </xdr:from>
    <xdr:to>
      <xdr:col>35</xdr:col>
      <xdr:colOff>558800</xdr:colOff>
      <xdr:row>9</xdr:row>
      <xdr:rowOff>168739</xdr:rowOff>
    </xdr:to>
    <xdr:cxnSp macro="">
      <xdr:nvCxnSpPr>
        <xdr:cNvPr id="85" name="AutoShape 14">
          <a:extLst>
            <a:ext uri="{FF2B5EF4-FFF2-40B4-BE49-F238E27FC236}">
              <a16:creationId xmlns:a16="http://schemas.microsoft.com/office/drawing/2014/main" id="{00000000-0008-0000-0300-000055000000}"/>
            </a:ext>
          </a:extLst>
        </xdr:cNvPr>
        <xdr:cNvCxnSpPr>
          <a:cxnSpLocks noChangeShapeType="1"/>
          <a:stCxn id="83" idx="3"/>
          <a:endCxn id="81" idx="1"/>
        </xdr:cNvCxnSpPr>
      </xdr:nvCxnSpPr>
      <xdr:spPr bwMode="auto">
        <a:xfrm flipV="1">
          <a:off x="1300943" y="1221274"/>
          <a:ext cx="16047257" cy="719115"/>
        </a:xfrm>
        <a:prstGeom prst="straightConnector1">
          <a:avLst/>
        </a:prstGeom>
        <a:noFill/>
        <a:ln w="9525">
          <a:solidFill>
            <a:srgbClr val="000000"/>
          </a:solidFill>
          <a:round/>
          <a:headEnd/>
          <a:tailEnd type="arrow" w="med" len="med"/>
        </a:ln>
      </xdr:spPr>
    </xdr:cxnSp>
    <xdr:clientData/>
  </xdr:twoCellAnchor>
  <xdr:twoCellAnchor>
    <xdr:from>
      <xdr:col>3</xdr:col>
      <xdr:colOff>450043</xdr:colOff>
      <xdr:row>6</xdr:row>
      <xdr:rowOff>40174</xdr:rowOff>
    </xdr:from>
    <xdr:to>
      <xdr:col>35</xdr:col>
      <xdr:colOff>558800</xdr:colOff>
      <xdr:row>6</xdr:row>
      <xdr:rowOff>41739</xdr:rowOff>
    </xdr:to>
    <xdr:cxnSp macro="">
      <xdr:nvCxnSpPr>
        <xdr:cNvPr id="86" name="AutoShape 14">
          <a:extLst>
            <a:ext uri="{FF2B5EF4-FFF2-40B4-BE49-F238E27FC236}">
              <a16:creationId xmlns:a16="http://schemas.microsoft.com/office/drawing/2014/main" id="{00000000-0008-0000-0300-000056000000}"/>
            </a:ext>
          </a:extLst>
        </xdr:cNvPr>
        <xdr:cNvCxnSpPr>
          <a:cxnSpLocks noChangeShapeType="1"/>
          <a:stCxn id="82" idx="3"/>
          <a:endCxn id="81" idx="1"/>
        </xdr:cNvCxnSpPr>
      </xdr:nvCxnSpPr>
      <xdr:spPr bwMode="auto">
        <a:xfrm flipV="1">
          <a:off x="1300943" y="1221274"/>
          <a:ext cx="16047257" cy="1565"/>
        </a:xfrm>
        <a:prstGeom prst="straightConnector1">
          <a:avLst/>
        </a:prstGeom>
        <a:noFill/>
        <a:ln w="9525">
          <a:solidFill>
            <a:srgbClr val="000000"/>
          </a:solidFill>
          <a:round/>
          <a:headEnd/>
          <a:tailEnd type="arrow" w="med" len="med"/>
        </a:ln>
      </xdr:spPr>
    </xdr:cxnSp>
    <xdr:clientData/>
  </xdr:twoCellAnchor>
  <xdr:twoCellAnchor>
    <xdr:from>
      <xdr:col>32</xdr:col>
      <xdr:colOff>597371</xdr:colOff>
      <xdr:row>6</xdr:row>
      <xdr:rowOff>40174</xdr:rowOff>
    </xdr:from>
    <xdr:to>
      <xdr:col>35</xdr:col>
      <xdr:colOff>558800</xdr:colOff>
      <xdr:row>16</xdr:row>
      <xdr:rowOff>144002</xdr:rowOff>
    </xdr:to>
    <xdr:cxnSp macro="">
      <xdr:nvCxnSpPr>
        <xdr:cNvPr id="87" name="AutoShape 18">
          <a:extLst>
            <a:ext uri="{FF2B5EF4-FFF2-40B4-BE49-F238E27FC236}">
              <a16:creationId xmlns:a16="http://schemas.microsoft.com/office/drawing/2014/main" id="{00000000-0008-0000-0300-000057000000}"/>
            </a:ext>
          </a:extLst>
        </xdr:cNvPr>
        <xdr:cNvCxnSpPr>
          <a:cxnSpLocks noChangeShapeType="1"/>
          <a:stCxn id="19" idx="3"/>
          <a:endCxn id="81" idx="1"/>
        </xdr:cNvCxnSpPr>
      </xdr:nvCxnSpPr>
      <xdr:spPr bwMode="auto">
        <a:xfrm flipV="1">
          <a:off x="15462721" y="1221274"/>
          <a:ext cx="1885479" cy="2072328"/>
        </a:xfrm>
        <a:prstGeom prst="straightConnector1">
          <a:avLst/>
        </a:prstGeom>
        <a:noFill/>
        <a:ln w="9525">
          <a:solidFill>
            <a:srgbClr val="000000"/>
          </a:solidFill>
          <a:round/>
          <a:headEnd/>
          <a:tailEnd type="arrow" w="med" len="med"/>
        </a:ln>
      </xdr:spPr>
    </xdr:cxnSp>
    <xdr:clientData/>
  </xdr:twoCellAnchor>
  <xdr:twoCellAnchor>
    <xdr:from>
      <xdr:col>31</xdr:col>
      <xdr:colOff>548872</xdr:colOff>
      <xdr:row>6</xdr:row>
      <xdr:rowOff>40174</xdr:rowOff>
    </xdr:from>
    <xdr:to>
      <xdr:col>35</xdr:col>
      <xdr:colOff>558800</xdr:colOff>
      <xdr:row>8</xdr:row>
      <xdr:rowOff>127000</xdr:rowOff>
    </xdr:to>
    <xdr:cxnSp macro="">
      <xdr:nvCxnSpPr>
        <xdr:cNvPr id="88" name="AutoShape 18">
          <a:extLst>
            <a:ext uri="{FF2B5EF4-FFF2-40B4-BE49-F238E27FC236}">
              <a16:creationId xmlns:a16="http://schemas.microsoft.com/office/drawing/2014/main" id="{00000000-0008-0000-0300-000058000000}"/>
            </a:ext>
          </a:extLst>
        </xdr:cNvPr>
        <xdr:cNvCxnSpPr>
          <a:cxnSpLocks noChangeShapeType="1"/>
          <a:stCxn id="84" idx="0"/>
          <a:endCxn id="81" idx="1"/>
        </xdr:cNvCxnSpPr>
      </xdr:nvCxnSpPr>
      <xdr:spPr bwMode="auto">
        <a:xfrm flipV="1">
          <a:off x="14772872" y="1221274"/>
          <a:ext cx="2575328" cy="480526"/>
        </a:xfrm>
        <a:prstGeom prst="straightConnector1">
          <a:avLst/>
        </a:prstGeom>
        <a:noFill/>
        <a:ln w="9525">
          <a:solidFill>
            <a:srgbClr val="000000"/>
          </a:solidFill>
          <a:round/>
          <a:headEnd/>
          <a:tailEnd type="arrow" w="med" len="med"/>
        </a:ln>
      </xdr:spPr>
    </xdr:cxnSp>
    <xdr:clientData/>
  </xdr:twoCellAnchor>
  <xdr:twoCellAnchor>
    <xdr:from>
      <xdr:col>35</xdr:col>
      <xdr:colOff>622300</xdr:colOff>
      <xdr:row>23</xdr:row>
      <xdr:rowOff>88900</xdr:rowOff>
    </xdr:from>
    <xdr:to>
      <xdr:col>37</xdr:col>
      <xdr:colOff>479082</xdr:colOff>
      <xdr:row>27</xdr:row>
      <xdr:rowOff>101600</xdr:rowOff>
    </xdr:to>
    <xdr:sp macro="" textlink="">
      <xdr:nvSpPr>
        <xdr:cNvPr id="89" name="AutoShape 1">
          <a:extLst>
            <a:ext uri="{FF2B5EF4-FFF2-40B4-BE49-F238E27FC236}">
              <a16:creationId xmlns:a16="http://schemas.microsoft.com/office/drawing/2014/main" id="{00000000-0008-0000-0300-000059000000}"/>
            </a:ext>
          </a:extLst>
        </xdr:cNvPr>
        <xdr:cNvSpPr>
          <a:spLocks noChangeAspect="1" noChangeArrowheads="1"/>
        </xdr:cNvSpPr>
      </xdr:nvSpPr>
      <xdr:spPr bwMode="auto">
        <a:xfrm>
          <a:off x="17411700" y="4527550"/>
          <a:ext cx="1139482" cy="673100"/>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Seasonalised Forecasted Demand</a:t>
          </a:r>
          <a:endParaRPr lang="en-US" sz="1000" b="0" i="0" strike="noStrike">
            <a:solidFill>
              <a:sysClr val="windowText" lastClr="000000"/>
            </a:solidFill>
            <a:latin typeface="Calibri"/>
            <a:cs typeface="Calibri"/>
          </a:endParaRPr>
        </a:p>
      </xdr:txBody>
    </xdr:sp>
    <xdr:clientData/>
  </xdr:twoCellAnchor>
  <xdr:twoCellAnchor>
    <xdr:from>
      <xdr:col>35</xdr:col>
      <xdr:colOff>622300</xdr:colOff>
      <xdr:row>15</xdr:row>
      <xdr:rowOff>50800</xdr:rowOff>
    </xdr:from>
    <xdr:to>
      <xdr:col>37</xdr:col>
      <xdr:colOff>479082</xdr:colOff>
      <xdr:row>18</xdr:row>
      <xdr:rowOff>114300</xdr:rowOff>
    </xdr:to>
    <xdr:sp macro="" textlink="">
      <xdr:nvSpPr>
        <xdr:cNvPr id="90" name="AutoShape 1">
          <a:extLst>
            <a:ext uri="{FF2B5EF4-FFF2-40B4-BE49-F238E27FC236}">
              <a16:creationId xmlns:a16="http://schemas.microsoft.com/office/drawing/2014/main" id="{00000000-0008-0000-0300-00005A000000}"/>
            </a:ext>
          </a:extLst>
        </xdr:cNvPr>
        <xdr:cNvSpPr>
          <a:spLocks noChangeAspect="1" noChangeArrowheads="1"/>
        </xdr:cNvSpPr>
      </xdr:nvSpPr>
      <xdr:spPr bwMode="auto">
        <a:xfrm>
          <a:off x="17411700" y="3003550"/>
          <a:ext cx="1139482" cy="654050"/>
        </a:xfrm>
        <a:prstGeom prst="roundRect">
          <a:avLst>
            <a:gd name="adj" fmla="val 16667"/>
          </a:avLst>
        </a:prstGeom>
        <a:solidFill>
          <a:srgbClr val="FFFFA3"/>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Deseasonalised Forecasted Demand</a:t>
          </a:r>
          <a:endParaRPr lang="en-US" sz="1000" b="0" i="0" strike="noStrike">
            <a:solidFill>
              <a:sysClr val="windowText" lastClr="000000"/>
            </a:solidFill>
            <a:latin typeface="Calibri"/>
            <a:cs typeface="Calibri"/>
          </a:endParaRPr>
        </a:p>
      </xdr:txBody>
    </xdr:sp>
    <xdr:clientData/>
  </xdr:twoCellAnchor>
  <xdr:twoCellAnchor>
    <xdr:from>
      <xdr:col>32</xdr:col>
      <xdr:colOff>597371</xdr:colOff>
      <xdr:row>16</xdr:row>
      <xdr:rowOff>144002</xdr:rowOff>
    </xdr:from>
    <xdr:to>
      <xdr:col>35</xdr:col>
      <xdr:colOff>622300</xdr:colOff>
      <xdr:row>16</xdr:row>
      <xdr:rowOff>184150</xdr:rowOff>
    </xdr:to>
    <xdr:cxnSp macro="">
      <xdr:nvCxnSpPr>
        <xdr:cNvPr id="91" name="AutoShape 18">
          <a:extLst>
            <a:ext uri="{FF2B5EF4-FFF2-40B4-BE49-F238E27FC236}">
              <a16:creationId xmlns:a16="http://schemas.microsoft.com/office/drawing/2014/main" id="{00000000-0008-0000-0300-00005B000000}"/>
            </a:ext>
          </a:extLst>
        </xdr:cNvPr>
        <xdr:cNvCxnSpPr>
          <a:cxnSpLocks noChangeShapeType="1"/>
          <a:stCxn id="19" idx="3"/>
          <a:endCxn id="90" idx="1"/>
        </xdr:cNvCxnSpPr>
      </xdr:nvCxnSpPr>
      <xdr:spPr bwMode="auto">
        <a:xfrm>
          <a:off x="15462721" y="3293602"/>
          <a:ext cx="1948979" cy="40148"/>
        </a:xfrm>
        <a:prstGeom prst="straightConnector1">
          <a:avLst/>
        </a:prstGeom>
        <a:noFill/>
        <a:ln w="9525">
          <a:solidFill>
            <a:srgbClr val="000000"/>
          </a:solidFill>
          <a:round/>
          <a:headEnd/>
          <a:tailEnd type="arrow" w="med" len="med"/>
        </a:ln>
      </xdr:spPr>
    </xdr:cxnSp>
    <xdr:clientData/>
  </xdr:twoCellAnchor>
  <xdr:twoCellAnchor>
    <xdr:from>
      <xdr:col>37</xdr:col>
      <xdr:colOff>457200</xdr:colOff>
      <xdr:row>6</xdr:row>
      <xdr:rowOff>40174</xdr:rowOff>
    </xdr:from>
    <xdr:to>
      <xdr:col>39</xdr:col>
      <xdr:colOff>482600</xdr:colOff>
      <xdr:row>15</xdr:row>
      <xdr:rowOff>158750</xdr:rowOff>
    </xdr:to>
    <xdr:cxnSp macro="">
      <xdr:nvCxnSpPr>
        <xdr:cNvPr id="92" name="AutoShape 18">
          <a:extLst>
            <a:ext uri="{FF2B5EF4-FFF2-40B4-BE49-F238E27FC236}">
              <a16:creationId xmlns:a16="http://schemas.microsoft.com/office/drawing/2014/main" id="{00000000-0008-0000-0300-00005C000000}"/>
            </a:ext>
          </a:extLst>
        </xdr:cNvPr>
        <xdr:cNvCxnSpPr>
          <a:cxnSpLocks noChangeShapeType="1"/>
          <a:stCxn id="81" idx="3"/>
          <a:endCxn id="98" idx="1"/>
        </xdr:cNvCxnSpPr>
      </xdr:nvCxnSpPr>
      <xdr:spPr bwMode="auto">
        <a:xfrm>
          <a:off x="18529300" y="1221274"/>
          <a:ext cx="1308100" cy="1890226"/>
        </a:xfrm>
        <a:prstGeom prst="straightConnector1">
          <a:avLst/>
        </a:prstGeom>
        <a:noFill/>
        <a:ln w="9525">
          <a:solidFill>
            <a:srgbClr val="000000"/>
          </a:solidFill>
          <a:round/>
          <a:headEnd/>
          <a:tailEnd type="arrow" w="med" len="med"/>
        </a:ln>
      </xdr:spPr>
    </xdr:cxnSp>
    <xdr:clientData/>
  </xdr:twoCellAnchor>
  <xdr:twoCellAnchor>
    <xdr:from>
      <xdr:col>37</xdr:col>
      <xdr:colOff>479082</xdr:colOff>
      <xdr:row>15</xdr:row>
      <xdr:rowOff>158750</xdr:rowOff>
    </xdr:from>
    <xdr:to>
      <xdr:col>39</xdr:col>
      <xdr:colOff>482600</xdr:colOff>
      <xdr:row>25</xdr:row>
      <xdr:rowOff>95250</xdr:rowOff>
    </xdr:to>
    <xdr:cxnSp macro="">
      <xdr:nvCxnSpPr>
        <xdr:cNvPr id="93" name="AutoShape 18">
          <a:extLst>
            <a:ext uri="{FF2B5EF4-FFF2-40B4-BE49-F238E27FC236}">
              <a16:creationId xmlns:a16="http://schemas.microsoft.com/office/drawing/2014/main" id="{00000000-0008-0000-0300-00005D000000}"/>
            </a:ext>
          </a:extLst>
        </xdr:cNvPr>
        <xdr:cNvCxnSpPr>
          <a:cxnSpLocks noChangeShapeType="1"/>
          <a:stCxn id="89" idx="3"/>
          <a:endCxn id="98" idx="1"/>
        </xdr:cNvCxnSpPr>
      </xdr:nvCxnSpPr>
      <xdr:spPr bwMode="auto">
        <a:xfrm flipV="1">
          <a:off x="18551182" y="3111500"/>
          <a:ext cx="1286218" cy="1752600"/>
        </a:xfrm>
        <a:prstGeom prst="straightConnector1">
          <a:avLst/>
        </a:prstGeom>
        <a:noFill/>
        <a:ln w="9525">
          <a:solidFill>
            <a:srgbClr val="000000"/>
          </a:solidFill>
          <a:round/>
          <a:headEnd/>
          <a:tailEnd type="arrow" w="med" len="med"/>
        </a:ln>
      </xdr:spPr>
    </xdr:cxnSp>
    <xdr:clientData/>
  </xdr:twoCellAnchor>
  <xdr:twoCellAnchor>
    <xdr:from>
      <xdr:col>36</xdr:col>
      <xdr:colOff>550691</xdr:colOff>
      <xdr:row>18</xdr:row>
      <xdr:rowOff>114300</xdr:rowOff>
    </xdr:from>
    <xdr:to>
      <xdr:col>36</xdr:col>
      <xdr:colOff>550691</xdr:colOff>
      <xdr:row>23</xdr:row>
      <xdr:rowOff>88900</xdr:rowOff>
    </xdr:to>
    <xdr:cxnSp macro="">
      <xdr:nvCxnSpPr>
        <xdr:cNvPr id="94" name="AutoShape 18">
          <a:extLst>
            <a:ext uri="{FF2B5EF4-FFF2-40B4-BE49-F238E27FC236}">
              <a16:creationId xmlns:a16="http://schemas.microsoft.com/office/drawing/2014/main" id="{00000000-0008-0000-0300-00005E000000}"/>
            </a:ext>
          </a:extLst>
        </xdr:cNvPr>
        <xdr:cNvCxnSpPr>
          <a:cxnSpLocks noChangeShapeType="1"/>
          <a:stCxn id="90" idx="2"/>
          <a:endCxn id="89" idx="0"/>
        </xdr:cNvCxnSpPr>
      </xdr:nvCxnSpPr>
      <xdr:spPr bwMode="auto">
        <a:xfrm>
          <a:off x="17981441" y="3657600"/>
          <a:ext cx="0" cy="869950"/>
        </a:xfrm>
        <a:prstGeom prst="straightConnector1">
          <a:avLst/>
        </a:prstGeom>
        <a:noFill/>
        <a:ln w="9525">
          <a:solidFill>
            <a:srgbClr val="000000"/>
          </a:solidFill>
          <a:round/>
          <a:headEnd/>
          <a:tailEnd type="arrow" w="med" len="med"/>
        </a:ln>
      </xdr:spPr>
    </xdr:cxnSp>
    <xdr:clientData/>
  </xdr:twoCellAnchor>
  <xdr:twoCellAnchor>
    <xdr:from>
      <xdr:col>31</xdr:col>
      <xdr:colOff>548872</xdr:colOff>
      <xdr:row>11</xdr:row>
      <xdr:rowOff>32678</xdr:rowOff>
    </xdr:from>
    <xdr:to>
      <xdr:col>36</xdr:col>
      <xdr:colOff>550691</xdr:colOff>
      <xdr:row>15</xdr:row>
      <xdr:rowOff>50800</xdr:rowOff>
    </xdr:to>
    <xdr:cxnSp macro="">
      <xdr:nvCxnSpPr>
        <xdr:cNvPr id="95" name="AutoShape 18">
          <a:extLst>
            <a:ext uri="{FF2B5EF4-FFF2-40B4-BE49-F238E27FC236}">
              <a16:creationId xmlns:a16="http://schemas.microsoft.com/office/drawing/2014/main" id="{00000000-0008-0000-0300-00005F000000}"/>
            </a:ext>
          </a:extLst>
        </xdr:cNvPr>
        <xdr:cNvCxnSpPr>
          <a:cxnSpLocks noChangeShapeType="1"/>
          <a:stCxn id="90" idx="0"/>
          <a:endCxn id="84" idx="2"/>
        </xdr:cNvCxnSpPr>
      </xdr:nvCxnSpPr>
      <xdr:spPr bwMode="auto">
        <a:xfrm flipH="1" flipV="1">
          <a:off x="14772872" y="2198028"/>
          <a:ext cx="3208569" cy="805522"/>
        </a:xfrm>
        <a:prstGeom prst="straightConnector1">
          <a:avLst/>
        </a:prstGeom>
        <a:noFill/>
        <a:ln w="9525">
          <a:solidFill>
            <a:srgbClr val="000000"/>
          </a:solidFill>
          <a:round/>
          <a:headEnd/>
          <a:tailEnd type="arrow" w="med" len="med"/>
        </a:ln>
      </xdr:spPr>
    </xdr:cxnSp>
    <xdr:clientData/>
  </xdr:twoCellAnchor>
  <xdr:twoCellAnchor>
    <xdr:from>
      <xdr:col>31</xdr:col>
      <xdr:colOff>548872</xdr:colOff>
      <xdr:row>11</xdr:row>
      <xdr:rowOff>32678</xdr:rowOff>
    </xdr:from>
    <xdr:to>
      <xdr:col>36</xdr:col>
      <xdr:colOff>550691</xdr:colOff>
      <xdr:row>23</xdr:row>
      <xdr:rowOff>88900</xdr:rowOff>
    </xdr:to>
    <xdr:cxnSp macro="">
      <xdr:nvCxnSpPr>
        <xdr:cNvPr id="96" name="AutoShape 18">
          <a:extLst>
            <a:ext uri="{FF2B5EF4-FFF2-40B4-BE49-F238E27FC236}">
              <a16:creationId xmlns:a16="http://schemas.microsoft.com/office/drawing/2014/main" id="{00000000-0008-0000-0300-000060000000}"/>
            </a:ext>
          </a:extLst>
        </xdr:cNvPr>
        <xdr:cNvCxnSpPr>
          <a:cxnSpLocks noChangeShapeType="1"/>
          <a:stCxn id="89" idx="0"/>
          <a:endCxn id="84" idx="2"/>
        </xdr:cNvCxnSpPr>
      </xdr:nvCxnSpPr>
      <xdr:spPr bwMode="auto">
        <a:xfrm flipH="1" flipV="1">
          <a:off x="14772872" y="2198028"/>
          <a:ext cx="3208569" cy="2329522"/>
        </a:xfrm>
        <a:prstGeom prst="straightConnector1">
          <a:avLst/>
        </a:prstGeom>
        <a:noFill/>
        <a:ln w="9525">
          <a:solidFill>
            <a:srgbClr val="000000"/>
          </a:solidFill>
          <a:round/>
          <a:headEnd/>
          <a:tailEnd type="arrow" w="med" len="med"/>
        </a:ln>
      </xdr:spPr>
    </xdr:cxnSp>
    <xdr:clientData/>
  </xdr:twoCellAnchor>
  <xdr:twoCellAnchor>
    <xdr:from>
      <xdr:col>31</xdr:col>
      <xdr:colOff>548872</xdr:colOff>
      <xdr:row>11</xdr:row>
      <xdr:rowOff>32678</xdr:rowOff>
    </xdr:from>
    <xdr:to>
      <xdr:col>31</xdr:col>
      <xdr:colOff>554567</xdr:colOff>
      <xdr:row>15</xdr:row>
      <xdr:rowOff>76200</xdr:rowOff>
    </xdr:to>
    <xdr:cxnSp macro="">
      <xdr:nvCxnSpPr>
        <xdr:cNvPr id="97" name="AutoShape 18">
          <a:extLst>
            <a:ext uri="{FF2B5EF4-FFF2-40B4-BE49-F238E27FC236}">
              <a16:creationId xmlns:a16="http://schemas.microsoft.com/office/drawing/2014/main" id="{00000000-0008-0000-0300-000061000000}"/>
            </a:ext>
          </a:extLst>
        </xdr:cNvPr>
        <xdr:cNvCxnSpPr>
          <a:cxnSpLocks noChangeShapeType="1"/>
          <a:stCxn id="19" idx="0"/>
          <a:endCxn id="84" idx="2"/>
        </xdr:cNvCxnSpPr>
      </xdr:nvCxnSpPr>
      <xdr:spPr bwMode="auto">
        <a:xfrm flipH="1" flipV="1">
          <a:off x="14772872" y="2198028"/>
          <a:ext cx="5695" cy="830922"/>
        </a:xfrm>
        <a:prstGeom prst="straightConnector1">
          <a:avLst/>
        </a:prstGeom>
        <a:noFill/>
        <a:ln w="9525">
          <a:solidFill>
            <a:srgbClr val="000000"/>
          </a:solidFill>
          <a:round/>
          <a:headEnd/>
          <a:tailEnd type="arrow" w="med" len="med"/>
        </a:ln>
      </xdr:spPr>
    </xdr:cxnSp>
    <xdr:clientData/>
  </xdr:twoCellAnchor>
  <xdr:twoCellAnchor>
    <xdr:from>
      <xdr:col>39</xdr:col>
      <xdr:colOff>482600</xdr:colOff>
      <xdr:row>14</xdr:row>
      <xdr:rowOff>114300</xdr:rowOff>
    </xdr:from>
    <xdr:to>
      <xdr:col>41</xdr:col>
      <xdr:colOff>237408</xdr:colOff>
      <xdr:row>17</xdr:row>
      <xdr:rowOff>-1</xdr:rowOff>
    </xdr:to>
    <xdr:sp macro="" textlink="">
      <xdr:nvSpPr>
        <xdr:cNvPr id="98" name="AutoShape 1">
          <a:extLst>
            <a:ext uri="{FF2B5EF4-FFF2-40B4-BE49-F238E27FC236}">
              <a16:creationId xmlns:a16="http://schemas.microsoft.com/office/drawing/2014/main" id="{00000000-0008-0000-0300-000062000000}"/>
            </a:ext>
          </a:extLst>
        </xdr:cNvPr>
        <xdr:cNvSpPr>
          <a:spLocks noChangeAspect="1" noChangeArrowheads="1"/>
        </xdr:cNvSpPr>
      </xdr:nvSpPr>
      <xdr:spPr bwMode="auto">
        <a:xfrm>
          <a:off x="19837400" y="2870200"/>
          <a:ext cx="1037508" cy="476249"/>
        </a:xfrm>
        <a:prstGeom prst="roundRect">
          <a:avLst>
            <a:gd name="adj" fmla="val 16667"/>
          </a:avLst>
        </a:prstGeom>
        <a:solidFill>
          <a:schemeClr val="accent2">
            <a:lumMod val="40000"/>
            <a:lumOff val="6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tx1"/>
              </a:solidFill>
              <a:latin typeface="Calibri"/>
              <a:ea typeface="+mn-ea"/>
              <a:cs typeface="Calibri"/>
            </a:rPr>
            <a:t>Inventory</a:t>
          </a:r>
          <a:r>
            <a:rPr lang="en-US" sz="1000" b="0" i="0" strike="noStrike" baseline="0">
              <a:solidFill>
                <a:schemeClr val="tx1"/>
              </a:solidFill>
              <a:latin typeface="Calibri"/>
              <a:ea typeface="+mn-ea"/>
              <a:cs typeface="Calibri"/>
            </a:rPr>
            <a:t> Forecast</a:t>
          </a:r>
          <a:endParaRPr lang="en-US" sz="1000" b="0" i="0" strike="noStrike">
            <a:solidFill>
              <a:schemeClr val="tx1"/>
            </a:solidFill>
            <a:latin typeface="Calibri"/>
            <a:ea typeface="+mn-ea"/>
            <a:cs typeface="Calibri"/>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141908</xdr:colOff>
      <xdr:row>21</xdr:row>
      <xdr:rowOff>8614</xdr:rowOff>
    </xdr:from>
    <xdr:to>
      <xdr:col>12</xdr:col>
      <xdr:colOff>454328</xdr:colOff>
      <xdr:row>21</xdr:row>
      <xdr:rowOff>8614</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flipV="1">
          <a:off x="6707808" y="3526514"/>
          <a:ext cx="883920" cy="0"/>
        </a:xfrm>
        <a:prstGeom prst="line">
          <a:avLst/>
        </a:prstGeom>
        <a:noFill/>
        <a:ln w="9525">
          <a:solidFill>
            <a:srgbClr val="000000"/>
          </a:solidFill>
          <a:round/>
          <a:headEnd/>
          <a:tailEnd type="triangle" w="med" len="med"/>
        </a:ln>
      </xdr:spPr>
    </xdr:sp>
    <xdr:clientData/>
  </xdr:twoCellAnchor>
  <xdr:twoCellAnchor>
    <xdr:from>
      <xdr:col>11</xdr:col>
      <xdr:colOff>131418</xdr:colOff>
      <xdr:row>7</xdr:row>
      <xdr:rowOff>31770</xdr:rowOff>
    </xdr:from>
    <xdr:to>
      <xdr:col>12</xdr:col>
      <xdr:colOff>443838</xdr:colOff>
      <xdr:row>7</xdr:row>
      <xdr:rowOff>31770</xdr:rowOff>
    </xdr:to>
    <xdr:sp macro="" textlink="">
      <xdr:nvSpPr>
        <xdr:cNvPr id="3" name="Line 2">
          <a:extLst>
            <a:ext uri="{FF2B5EF4-FFF2-40B4-BE49-F238E27FC236}">
              <a16:creationId xmlns:a16="http://schemas.microsoft.com/office/drawing/2014/main" id="{00000000-0008-0000-0400-000003000000}"/>
            </a:ext>
          </a:extLst>
        </xdr:cNvPr>
        <xdr:cNvSpPr>
          <a:spLocks noChangeShapeType="1"/>
        </xdr:cNvSpPr>
      </xdr:nvSpPr>
      <xdr:spPr bwMode="auto">
        <a:xfrm flipV="1">
          <a:off x="6697318" y="1219220"/>
          <a:ext cx="883920" cy="0"/>
        </a:xfrm>
        <a:prstGeom prst="line">
          <a:avLst/>
        </a:prstGeom>
        <a:noFill/>
        <a:ln w="9525">
          <a:solidFill>
            <a:srgbClr val="000000"/>
          </a:solidFill>
          <a:round/>
          <a:headEnd/>
          <a:tailEnd type="triangle" w="med" len="med"/>
        </a:ln>
      </xdr:spPr>
    </xdr:sp>
    <xdr:clientData/>
  </xdr:twoCellAnchor>
  <xdr:twoCellAnchor>
    <xdr:from>
      <xdr:col>3</xdr:col>
      <xdr:colOff>78479</xdr:colOff>
      <xdr:row>7</xdr:row>
      <xdr:rowOff>18406</xdr:rowOff>
    </xdr:from>
    <xdr:to>
      <xdr:col>7</xdr:col>
      <xdr:colOff>84248</xdr:colOff>
      <xdr:row>7</xdr:row>
      <xdr:rowOff>18406</xdr:rowOff>
    </xdr:to>
    <xdr:sp macro="" textlink="">
      <xdr:nvSpPr>
        <xdr:cNvPr id="4" name="Line 3">
          <a:extLst>
            <a:ext uri="{FF2B5EF4-FFF2-40B4-BE49-F238E27FC236}">
              <a16:creationId xmlns:a16="http://schemas.microsoft.com/office/drawing/2014/main" id="{00000000-0008-0000-0400-000004000000}"/>
            </a:ext>
          </a:extLst>
        </xdr:cNvPr>
        <xdr:cNvSpPr>
          <a:spLocks noChangeShapeType="1"/>
        </xdr:cNvSpPr>
      </xdr:nvSpPr>
      <xdr:spPr bwMode="auto">
        <a:xfrm>
          <a:off x="2326379" y="1205856"/>
          <a:ext cx="2291769" cy="0"/>
        </a:xfrm>
        <a:prstGeom prst="line">
          <a:avLst/>
        </a:prstGeom>
        <a:noFill/>
        <a:ln w="9525">
          <a:solidFill>
            <a:srgbClr val="000000"/>
          </a:solidFill>
          <a:round/>
          <a:headEnd/>
          <a:tailEnd type="triangle" w="med" len="med"/>
        </a:ln>
      </xdr:spPr>
    </xdr:sp>
    <xdr:clientData/>
  </xdr:twoCellAnchor>
  <xdr:twoCellAnchor>
    <xdr:from>
      <xdr:col>3</xdr:col>
      <xdr:colOff>63500</xdr:colOff>
      <xdr:row>20</xdr:row>
      <xdr:rowOff>152094</xdr:rowOff>
    </xdr:from>
    <xdr:to>
      <xdr:col>7</xdr:col>
      <xdr:colOff>69269</xdr:colOff>
      <xdr:row>20</xdr:row>
      <xdr:rowOff>152094</xdr:rowOff>
    </xdr:to>
    <xdr:sp macro="" textlink="">
      <xdr:nvSpPr>
        <xdr:cNvPr id="5" name="Line 3">
          <a:extLst>
            <a:ext uri="{FF2B5EF4-FFF2-40B4-BE49-F238E27FC236}">
              <a16:creationId xmlns:a16="http://schemas.microsoft.com/office/drawing/2014/main" id="{00000000-0008-0000-0400-000005000000}"/>
            </a:ext>
          </a:extLst>
        </xdr:cNvPr>
        <xdr:cNvSpPr>
          <a:spLocks noChangeShapeType="1"/>
        </xdr:cNvSpPr>
      </xdr:nvSpPr>
      <xdr:spPr bwMode="auto">
        <a:xfrm>
          <a:off x="2311400" y="3504894"/>
          <a:ext cx="2291769" cy="0"/>
        </a:xfrm>
        <a:prstGeom prst="line">
          <a:avLst/>
        </a:prstGeom>
        <a:noFill/>
        <a:ln w="9525">
          <a:solidFill>
            <a:srgbClr val="000000"/>
          </a:solidFill>
          <a:round/>
          <a:headEnd/>
          <a:tailEnd type="triangle" w="med" len="med"/>
        </a:ln>
      </xdr:spPr>
    </xdr:sp>
    <xdr:clientData/>
  </xdr:twoCellAnchor>
  <xdr:twoCellAnchor>
    <xdr:from>
      <xdr:col>1</xdr:col>
      <xdr:colOff>40413</xdr:colOff>
      <xdr:row>12</xdr:row>
      <xdr:rowOff>155864</xdr:rowOff>
    </xdr:from>
    <xdr:to>
      <xdr:col>3</xdr:col>
      <xdr:colOff>147291</xdr:colOff>
      <xdr:row>18</xdr:row>
      <xdr:rowOff>141187</xdr:rowOff>
    </xdr:to>
    <xdr:sp macro="" textlink="">
      <xdr:nvSpPr>
        <xdr:cNvPr id="6" name="AutoShape 6">
          <a:extLst>
            <a:ext uri="{FF2B5EF4-FFF2-40B4-BE49-F238E27FC236}">
              <a16:creationId xmlns:a16="http://schemas.microsoft.com/office/drawing/2014/main" id="{00000000-0008-0000-0400-000006000000}"/>
            </a:ext>
          </a:extLst>
        </xdr:cNvPr>
        <xdr:cNvSpPr>
          <a:spLocks noChangeAspect="1" noChangeArrowheads="1"/>
        </xdr:cNvSpPr>
      </xdr:nvSpPr>
      <xdr:spPr bwMode="auto">
        <a:xfrm>
          <a:off x="91213" y="2168814"/>
          <a:ext cx="2303978" cy="994973"/>
        </a:xfrm>
        <a:prstGeom prst="roundRect">
          <a:avLst>
            <a:gd name="adj" fmla="val 16667"/>
          </a:avLst>
        </a:prstGeom>
        <a:noFill/>
        <a:ln w="9525">
          <a:noFill/>
          <a:round/>
          <a:headEnd/>
          <a:tailEnd/>
        </a:ln>
      </xdr:spPr>
      <xdr:txBody>
        <a:bodyPr vertOverflow="clip" wrap="square" lIns="36576" tIns="27432" rIns="36576" bIns="27432" anchor="ctr" upright="1"/>
        <a:lstStyle/>
        <a:p>
          <a:pPr algn="l" rtl="0">
            <a:defRPr sz="1000"/>
          </a:pPr>
          <a:r>
            <a:rPr lang="en-US" sz="1000" b="0" i="0" strike="noStrike">
              <a:solidFill>
                <a:srgbClr val="993366"/>
              </a:solidFill>
              <a:latin typeface="Calibri"/>
              <a:cs typeface="Calibri"/>
            </a:rPr>
            <a:t>Allocated Fixed Cost</a:t>
          </a:r>
        </a:p>
        <a:p>
          <a:pPr algn="l" rtl="0">
            <a:defRPr sz="1000"/>
          </a:pPr>
          <a:r>
            <a:rPr lang="en-US" sz="1000" b="0" i="0" strike="noStrike">
              <a:solidFill>
                <a:srgbClr val="993366"/>
              </a:solidFill>
              <a:latin typeface="Calibri"/>
              <a:cs typeface="Calibri"/>
            </a:rPr>
            <a:t>- Shop</a:t>
          </a:r>
          <a:r>
            <a:rPr lang="en-US" sz="1000" b="0" i="0" strike="noStrike" baseline="0">
              <a:solidFill>
                <a:srgbClr val="993366"/>
              </a:solidFill>
              <a:latin typeface="Calibri"/>
              <a:cs typeface="Calibri"/>
            </a:rPr>
            <a:t> Rental</a:t>
          </a:r>
        </a:p>
        <a:p>
          <a:pPr algn="l" rtl="0">
            <a:defRPr sz="1000"/>
          </a:pPr>
          <a:r>
            <a:rPr lang="en-US" sz="1000" b="0" i="0" strike="noStrike" baseline="0">
              <a:solidFill>
                <a:srgbClr val="993366"/>
              </a:solidFill>
              <a:latin typeface="Calibri"/>
              <a:cs typeface="Calibri"/>
            </a:rPr>
            <a:t>- Electricity</a:t>
          </a:r>
        </a:p>
        <a:p>
          <a:pPr algn="l" rtl="0">
            <a:defRPr sz="1000"/>
          </a:pPr>
          <a:r>
            <a:rPr lang="en-US" sz="1000" b="0" i="0" strike="noStrike" baseline="0">
              <a:solidFill>
                <a:srgbClr val="993366"/>
              </a:solidFill>
              <a:latin typeface="Calibri"/>
              <a:cs typeface="Calibri"/>
            </a:rPr>
            <a:t>- Pay for Part-time and Full-time workers</a:t>
          </a:r>
        </a:p>
        <a:p>
          <a:pPr algn="l" rtl="0">
            <a:defRPr sz="1000"/>
          </a:pPr>
          <a:r>
            <a:rPr lang="en-US" sz="1000" b="0" i="0" strike="noStrike" baseline="0">
              <a:solidFill>
                <a:srgbClr val="993366"/>
              </a:solidFill>
              <a:latin typeface="Calibri"/>
              <a:cs typeface="Calibri"/>
            </a:rPr>
            <a:t>-  Others</a:t>
          </a:r>
          <a:endParaRPr lang="en-US" sz="1000" b="0" i="0" strike="noStrike">
            <a:solidFill>
              <a:srgbClr val="993366"/>
            </a:solidFill>
            <a:latin typeface="Calibri"/>
            <a:cs typeface="Calibri"/>
          </a:endParaRPr>
        </a:p>
      </xdr:txBody>
    </xdr:sp>
    <xdr:clientData/>
  </xdr:twoCellAnchor>
  <xdr:twoCellAnchor>
    <xdr:from>
      <xdr:col>1</xdr:col>
      <xdr:colOff>63504</xdr:colOff>
      <xdr:row>18</xdr:row>
      <xdr:rowOff>23094</xdr:rowOff>
    </xdr:from>
    <xdr:to>
      <xdr:col>1</xdr:col>
      <xdr:colOff>2042709</xdr:colOff>
      <xdr:row>23</xdr:row>
      <xdr:rowOff>121231</xdr:rowOff>
    </xdr:to>
    <xdr:sp macro="" textlink="">
      <xdr:nvSpPr>
        <xdr:cNvPr id="7" name="AutoShape 5">
          <a:extLst>
            <a:ext uri="{FF2B5EF4-FFF2-40B4-BE49-F238E27FC236}">
              <a16:creationId xmlns:a16="http://schemas.microsoft.com/office/drawing/2014/main" id="{00000000-0008-0000-0400-000007000000}"/>
            </a:ext>
          </a:extLst>
        </xdr:cNvPr>
        <xdr:cNvSpPr>
          <a:spLocks noChangeAspect="1" noChangeArrowheads="1"/>
        </xdr:cNvSpPr>
      </xdr:nvSpPr>
      <xdr:spPr bwMode="auto">
        <a:xfrm>
          <a:off x="114304" y="3045694"/>
          <a:ext cx="1979205" cy="923637"/>
        </a:xfrm>
        <a:prstGeom prst="roundRect">
          <a:avLst>
            <a:gd name="adj" fmla="val 16667"/>
          </a:avLst>
        </a:prstGeom>
        <a:noFill/>
        <a:ln w="9525">
          <a:noFill/>
          <a:round/>
          <a:headEnd/>
          <a:tailEnd/>
        </a:ln>
      </xdr:spPr>
      <xdr:txBody>
        <a:bodyPr vertOverflow="clip" wrap="square" lIns="36576" tIns="27432" rIns="36576" bIns="27432" anchor="t" upright="1"/>
        <a:lstStyle/>
        <a:p>
          <a:pPr algn="l" rtl="0">
            <a:defRPr sz="1000"/>
          </a:pPr>
          <a:r>
            <a:rPr lang="en-US" sz="1000" b="0" i="0" strike="noStrike">
              <a:solidFill>
                <a:srgbClr val="993366"/>
              </a:solidFill>
              <a:latin typeface="Calibri"/>
              <a:cs typeface="Calibri"/>
            </a:rPr>
            <a:t>Variable Cost </a:t>
          </a:r>
        </a:p>
        <a:p>
          <a:pPr algn="l" rtl="0">
            <a:defRPr sz="1000"/>
          </a:pPr>
          <a:r>
            <a:rPr lang="en-US" sz="1000" b="0" i="0" strike="noStrike">
              <a:solidFill>
                <a:srgbClr val="993366"/>
              </a:solidFill>
              <a:latin typeface="Calibri"/>
              <a:cs typeface="Calibri"/>
            </a:rPr>
            <a:t>- </a:t>
          </a:r>
          <a:r>
            <a:rPr lang="en-US" sz="1000" b="0" i="0" strike="noStrike" baseline="0">
              <a:solidFill>
                <a:srgbClr val="993366"/>
              </a:solidFill>
              <a:latin typeface="Calibri"/>
              <a:cs typeface="Calibri"/>
            </a:rPr>
            <a:t> Ingredient costs </a:t>
          </a:r>
          <a:r>
            <a:rPr lang="en-US" sz="1000" b="0" i="0" strike="noStrike">
              <a:solidFill>
                <a:srgbClr val="993366"/>
              </a:solidFill>
              <a:latin typeface="Calibri"/>
              <a:cs typeface="Calibri"/>
            </a:rPr>
            <a:t>per volume</a:t>
          </a:r>
          <a:r>
            <a:rPr lang="en-US" sz="1000" b="0" i="0" strike="noStrike" baseline="0">
              <a:solidFill>
                <a:srgbClr val="993366"/>
              </a:solidFill>
              <a:latin typeface="Calibri"/>
              <a:cs typeface="Calibri"/>
            </a:rPr>
            <a:t> /ml (30ml, 50ml and 100ml Bodymist)</a:t>
          </a:r>
        </a:p>
        <a:p>
          <a:pPr marL="0" marR="0" lvl="0" indent="0" algn="l" defTabSz="914400" rtl="0" eaLnBrk="1" fontAlgn="auto" latinLnBrk="0" hangingPunct="1">
            <a:lnSpc>
              <a:spcPct val="100000"/>
            </a:lnSpc>
            <a:spcBef>
              <a:spcPts val="0"/>
            </a:spcBef>
            <a:spcAft>
              <a:spcPts val="0"/>
            </a:spcAft>
            <a:buClrTx/>
            <a:buSzTx/>
            <a:buFontTx/>
            <a:buNone/>
            <a:tabLst/>
            <a:defRPr sz="1000"/>
          </a:pPr>
          <a:r>
            <a:rPr lang="en-US" sz="1000" b="0" i="0" strike="noStrike" baseline="0">
              <a:solidFill>
                <a:srgbClr val="993366"/>
              </a:solidFill>
              <a:latin typeface="Calibri"/>
              <a:ea typeface="+mn-ea"/>
              <a:cs typeface="Calibri"/>
            </a:rPr>
            <a:t>- Costs of bottle </a:t>
          </a:r>
        </a:p>
        <a:p>
          <a:pPr marL="0" marR="0" lvl="0" indent="0" algn="l" defTabSz="914400" rtl="0" eaLnBrk="1" fontAlgn="auto" latinLnBrk="0" hangingPunct="1">
            <a:lnSpc>
              <a:spcPct val="100000"/>
            </a:lnSpc>
            <a:spcBef>
              <a:spcPts val="0"/>
            </a:spcBef>
            <a:spcAft>
              <a:spcPts val="0"/>
            </a:spcAft>
            <a:buClrTx/>
            <a:buSzTx/>
            <a:buFontTx/>
            <a:buNone/>
            <a:tabLst/>
            <a:defRPr sz="1000"/>
          </a:pPr>
          <a:r>
            <a:rPr lang="en-US" sz="1000" b="0" i="0" strike="noStrike" baseline="0">
              <a:solidFill>
                <a:srgbClr val="993366"/>
              </a:solidFill>
              <a:latin typeface="Calibri"/>
              <a:ea typeface="+mn-ea"/>
              <a:cs typeface="Calibri"/>
            </a:rPr>
            <a:t>(30ml, 50ml and 100ml Bodymist)</a:t>
          </a:r>
          <a:endParaRPr lang="en-GB">
            <a:effectLst/>
          </a:endParaRPr>
        </a:p>
        <a:p>
          <a:pPr algn="l" rtl="0">
            <a:defRPr sz="1000"/>
          </a:pPr>
          <a:endParaRPr lang="en-US" sz="1000" b="0" i="0" strike="noStrike" baseline="0">
            <a:solidFill>
              <a:srgbClr val="993366"/>
            </a:solidFill>
            <a:latin typeface="Calibri"/>
            <a:cs typeface="Calibri"/>
          </a:endParaRPr>
        </a:p>
        <a:p>
          <a:pPr algn="l" rtl="0">
            <a:defRPr sz="1000"/>
          </a:pPr>
          <a:endParaRPr lang="en-US" sz="1000" b="0" i="0" strike="noStrike">
            <a:solidFill>
              <a:srgbClr val="993366"/>
            </a:solidFill>
            <a:latin typeface="Calibri"/>
            <a:cs typeface="Calibri"/>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25</xdr:col>
      <xdr:colOff>299432</xdr:colOff>
      <xdr:row>15</xdr:row>
      <xdr:rowOff>22697</xdr:rowOff>
    </xdr:from>
    <xdr:to>
      <xdr:col>27</xdr:col>
      <xdr:colOff>54240</xdr:colOff>
      <xdr:row>18</xdr:row>
      <xdr:rowOff>22696</xdr:rowOff>
    </xdr:to>
    <xdr:sp macro="" textlink="">
      <xdr:nvSpPr>
        <xdr:cNvPr id="2" name="AutoShape 1">
          <a:extLst>
            <a:ext uri="{FF2B5EF4-FFF2-40B4-BE49-F238E27FC236}">
              <a16:creationId xmlns:a16="http://schemas.microsoft.com/office/drawing/2014/main" id="{00000000-0008-0000-0500-000002000000}"/>
            </a:ext>
          </a:extLst>
        </xdr:cNvPr>
        <xdr:cNvSpPr>
          <a:spLocks noChangeAspect="1" noChangeArrowheads="1"/>
        </xdr:cNvSpPr>
      </xdr:nvSpPr>
      <xdr:spPr bwMode="auto">
        <a:xfrm>
          <a:off x="10675332" y="5286847"/>
          <a:ext cx="1024808" cy="495299"/>
        </a:xfrm>
        <a:prstGeom prst="roundRect">
          <a:avLst>
            <a:gd name="adj" fmla="val 16667"/>
          </a:avLst>
        </a:prstGeom>
        <a:solidFill>
          <a:schemeClr val="accent5">
            <a:lumMod val="5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bg1"/>
              </a:solidFill>
              <a:latin typeface="Calibri"/>
              <a:ea typeface="+mn-ea"/>
              <a:cs typeface="Calibri"/>
            </a:rPr>
            <a:t>Profits</a:t>
          </a:r>
        </a:p>
      </xdr:txBody>
    </xdr:sp>
    <xdr:clientData/>
  </xdr:twoCellAnchor>
  <xdr:twoCellAnchor>
    <xdr:from>
      <xdr:col>20</xdr:col>
      <xdr:colOff>150910</xdr:colOff>
      <xdr:row>23</xdr:row>
      <xdr:rowOff>6948</xdr:rowOff>
    </xdr:from>
    <xdr:to>
      <xdr:col>24</xdr:col>
      <xdr:colOff>282555</xdr:colOff>
      <xdr:row>26</xdr:row>
      <xdr:rowOff>6948</xdr:rowOff>
    </xdr:to>
    <xdr:sp macro="" textlink="">
      <xdr:nvSpPr>
        <xdr:cNvPr id="3" name="AutoShape 3">
          <a:extLst>
            <a:ext uri="{FF2B5EF4-FFF2-40B4-BE49-F238E27FC236}">
              <a16:creationId xmlns:a16="http://schemas.microsoft.com/office/drawing/2014/main" id="{00000000-0008-0000-0500-000003000000}"/>
            </a:ext>
          </a:extLst>
        </xdr:cNvPr>
        <xdr:cNvSpPr>
          <a:spLocks noChangeAspect="1" noChangeArrowheads="1"/>
        </xdr:cNvSpPr>
      </xdr:nvSpPr>
      <xdr:spPr bwMode="auto">
        <a:xfrm>
          <a:off x="8990110" y="6591898"/>
          <a:ext cx="1033345" cy="495300"/>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bg1"/>
              </a:solidFill>
              <a:latin typeface="Calibri"/>
              <a:ea typeface="+mn-ea"/>
              <a:cs typeface="Calibri"/>
            </a:rPr>
            <a:t>Total </a:t>
          </a:r>
        </a:p>
        <a:p>
          <a:pPr marL="0" indent="0" algn="ctr" rtl="0">
            <a:defRPr sz="1000"/>
          </a:pPr>
          <a:r>
            <a:rPr lang="en-US" sz="1000" b="0" i="0" strike="noStrike">
              <a:solidFill>
                <a:schemeClr val="bg1"/>
              </a:solidFill>
              <a:latin typeface="Calibri"/>
              <a:ea typeface="+mn-ea"/>
              <a:cs typeface="Calibri"/>
            </a:rPr>
            <a:t>Cost</a:t>
          </a:r>
        </a:p>
      </xdr:txBody>
    </xdr:sp>
    <xdr:clientData/>
  </xdr:twoCellAnchor>
  <xdr:twoCellAnchor>
    <xdr:from>
      <xdr:col>12</xdr:col>
      <xdr:colOff>23673</xdr:colOff>
      <xdr:row>13</xdr:row>
      <xdr:rowOff>71120</xdr:rowOff>
    </xdr:from>
    <xdr:to>
      <xdr:col>14</xdr:col>
      <xdr:colOff>30146</xdr:colOff>
      <xdr:row>16</xdr:row>
      <xdr:rowOff>58943</xdr:rowOff>
    </xdr:to>
    <xdr:sp macro="" textlink="">
      <xdr:nvSpPr>
        <xdr:cNvPr id="4" name="AutoShape 4">
          <a:extLst>
            <a:ext uri="{FF2B5EF4-FFF2-40B4-BE49-F238E27FC236}">
              <a16:creationId xmlns:a16="http://schemas.microsoft.com/office/drawing/2014/main" id="{00000000-0008-0000-0500-000004000000}"/>
            </a:ext>
          </a:extLst>
        </xdr:cNvPr>
        <xdr:cNvSpPr>
          <a:spLocks noChangeAspect="1" noChangeArrowheads="1"/>
        </xdr:cNvSpPr>
      </xdr:nvSpPr>
      <xdr:spPr bwMode="auto">
        <a:xfrm>
          <a:off x="5103673" y="5005070"/>
          <a:ext cx="1047873" cy="483123"/>
        </a:xfrm>
        <a:prstGeom prst="roundRect">
          <a:avLst>
            <a:gd name="adj" fmla="val 16667"/>
          </a:avLst>
        </a:prstGeom>
        <a:solidFill>
          <a:schemeClr val="accent5">
            <a:lumMod val="60000"/>
            <a:lumOff val="4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Perfume</a:t>
          </a:r>
        </a:p>
        <a:p>
          <a:pPr algn="ctr" rtl="0">
            <a:defRPr sz="1000"/>
          </a:pPr>
          <a:r>
            <a:rPr lang="en-US" sz="1000" b="0" i="0" strike="noStrike">
              <a:solidFill>
                <a:sysClr val="windowText" lastClr="000000"/>
              </a:solidFill>
              <a:latin typeface="Calibri"/>
              <a:cs typeface="Calibri"/>
            </a:rPr>
            <a:t>Demand</a:t>
          </a:r>
        </a:p>
      </xdr:txBody>
    </xdr:sp>
    <xdr:clientData/>
  </xdr:twoCellAnchor>
  <xdr:twoCellAnchor>
    <xdr:from>
      <xdr:col>0</xdr:col>
      <xdr:colOff>242949</xdr:colOff>
      <xdr:row>28</xdr:row>
      <xdr:rowOff>38636</xdr:rowOff>
    </xdr:from>
    <xdr:to>
      <xdr:col>5</xdr:col>
      <xdr:colOff>317154</xdr:colOff>
      <xdr:row>34</xdr:row>
      <xdr:rowOff>31987</xdr:rowOff>
    </xdr:to>
    <xdr:sp macro="" textlink="">
      <xdr:nvSpPr>
        <xdr:cNvPr id="5" name="AutoShape 5">
          <a:extLst>
            <a:ext uri="{FF2B5EF4-FFF2-40B4-BE49-F238E27FC236}">
              <a16:creationId xmlns:a16="http://schemas.microsoft.com/office/drawing/2014/main" id="{00000000-0008-0000-0500-000005000000}"/>
            </a:ext>
          </a:extLst>
        </xdr:cNvPr>
        <xdr:cNvSpPr>
          <a:spLocks noChangeAspect="1" noChangeArrowheads="1"/>
        </xdr:cNvSpPr>
      </xdr:nvSpPr>
      <xdr:spPr bwMode="auto">
        <a:xfrm>
          <a:off x="242949" y="7449086"/>
          <a:ext cx="1966505" cy="983951"/>
        </a:xfrm>
        <a:prstGeom prst="roundRect">
          <a:avLst>
            <a:gd name="adj" fmla="val 16667"/>
          </a:avLst>
        </a:prstGeom>
        <a:noFill/>
        <a:ln w="9525">
          <a:solidFill>
            <a:srgbClr val="000000"/>
          </a:solidFill>
          <a:round/>
          <a:headEnd/>
          <a:tailEnd/>
        </a:ln>
      </xdr:spPr>
      <xdr:txBody>
        <a:bodyPr vertOverflow="clip" wrap="square" lIns="36576" tIns="27432" rIns="36576" bIns="27432" anchor="t" upright="1"/>
        <a:lstStyle/>
        <a:p>
          <a:pPr algn="ctr" rtl="0">
            <a:defRPr sz="1000"/>
          </a:pPr>
          <a:r>
            <a:rPr lang="en-US" sz="1000" b="0" i="0" strike="noStrike">
              <a:solidFill>
                <a:srgbClr val="993366"/>
              </a:solidFill>
              <a:latin typeface="Calibri"/>
              <a:cs typeface="Calibri"/>
            </a:rPr>
            <a:t>Variable Cost </a:t>
          </a:r>
        </a:p>
        <a:p>
          <a:pPr algn="ctr" rtl="0">
            <a:defRPr sz="1000"/>
          </a:pPr>
          <a:r>
            <a:rPr lang="en-US" sz="1000" b="0" i="0" strike="noStrike">
              <a:solidFill>
                <a:srgbClr val="993366"/>
              </a:solidFill>
              <a:latin typeface="Calibri"/>
              <a:cs typeface="Calibri"/>
            </a:rPr>
            <a:t>- </a:t>
          </a:r>
          <a:r>
            <a:rPr lang="en-US" sz="1000" b="0" i="0" strike="noStrike" baseline="0">
              <a:solidFill>
                <a:srgbClr val="993366"/>
              </a:solidFill>
              <a:latin typeface="Calibri"/>
              <a:cs typeface="Calibri"/>
            </a:rPr>
            <a:t> Ingredient costs </a:t>
          </a:r>
          <a:r>
            <a:rPr lang="en-US" sz="1000" b="0" i="0" strike="noStrike">
              <a:solidFill>
                <a:srgbClr val="993366"/>
              </a:solidFill>
              <a:latin typeface="Calibri"/>
              <a:cs typeface="Calibri"/>
            </a:rPr>
            <a:t>per volume</a:t>
          </a:r>
          <a:r>
            <a:rPr lang="en-US" sz="1000" b="0" i="0" strike="noStrike" baseline="0">
              <a:solidFill>
                <a:srgbClr val="993366"/>
              </a:solidFill>
              <a:latin typeface="Calibri"/>
              <a:cs typeface="Calibri"/>
            </a:rPr>
            <a:t> /ml (30ml, 50ml and 100ml Bodymist)</a:t>
          </a:r>
        </a:p>
        <a:p>
          <a:pPr marL="0" marR="0" lvl="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baseline="0">
              <a:solidFill>
                <a:srgbClr val="993366"/>
              </a:solidFill>
              <a:latin typeface="Calibri"/>
              <a:ea typeface="+mn-ea"/>
              <a:cs typeface="Calibri"/>
            </a:rPr>
            <a:t>- Costs of bottle </a:t>
          </a:r>
        </a:p>
        <a:p>
          <a:pPr marL="0" marR="0" lvl="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baseline="0">
              <a:solidFill>
                <a:srgbClr val="993366"/>
              </a:solidFill>
              <a:latin typeface="Calibri"/>
              <a:ea typeface="+mn-ea"/>
              <a:cs typeface="Calibri"/>
            </a:rPr>
            <a:t>(30ml, 50ml and 100ml Bodymist)</a:t>
          </a:r>
          <a:endParaRPr lang="en-GB">
            <a:effectLst/>
          </a:endParaRPr>
        </a:p>
        <a:p>
          <a:pPr algn="ctr" rtl="0">
            <a:defRPr sz="1000"/>
          </a:pPr>
          <a:endParaRPr lang="en-US" sz="1000" b="0" i="0" strike="noStrike" baseline="0">
            <a:solidFill>
              <a:srgbClr val="993366"/>
            </a:solidFill>
            <a:latin typeface="Calibri"/>
            <a:cs typeface="Calibri"/>
          </a:endParaRPr>
        </a:p>
        <a:p>
          <a:pPr algn="ctr" rtl="0">
            <a:defRPr sz="1000"/>
          </a:pPr>
          <a:endParaRPr lang="en-US" sz="1000" b="0" i="0" strike="noStrike">
            <a:solidFill>
              <a:srgbClr val="993366"/>
            </a:solidFill>
            <a:latin typeface="Calibri"/>
            <a:cs typeface="Calibri"/>
          </a:endParaRPr>
        </a:p>
      </xdr:txBody>
    </xdr:sp>
    <xdr:clientData/>
  </xdr:twoCellAnchor>
  <xdr:twoCellAnchor>
    <xdr:from>
      <xdr:col>0</xdr:col>
      <xdr:colOff>253999</xdr:colOff>
      <xdr:row>21</xdr:row>
      <xdr:rowOff>38058</xdr:rowOff>
    </xdr:from>
    <xdr:to>
      <xdr:col>6</xdr:col>
      <xdr:colOff>337786</xdr:colOff>
      <xdr:row>27</xdr:row>
      <xdr:rowOff>54553</xdr:rowOff>
    </xdr:to>
    <xdr:sp macro="" textlink="">
      <xdr:nvSpPr>
        <xdr:cNvPr id="6" name="AutoShape 6">
          <a:extLst>
            <a:ext uri="{FF2B5EF4-FFF2-40B4-BE49-F238E27FC236}">
              <a16:creationId xmlns:a16="http://schemas.microsoft.com/office/drawing/2014/main" id="{00000000-0008-0000-0500-000006000000}"/>
            </a:ext>
          </a:extLst>
        </xdr:cNvPr>
        <xdr:cNvSpPr>
          <a:spLocks noChangeAspect="1" noChangeArrowheads="1"/>
        </xdr:cNvSpPr>
      </xdr:nvSpPr>
      <xdr:spPr bwMode="auto">
        <a:xfrm>
          <a:off x="253999" y="6292808"/>
          <a:ext cx="2293587" cy="1007095"/>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Allocated Fixed Cost</a:t>
          </a:r>
        </a:p>
        <a:p>
          <a:pPr algn="ctr" rtl="0">
            <a:defRPr sz="1000"/>
          </a:pPr>
          <a:r>
            <a:rPr lang="en-US" sz="1000" b="0" i="0" strike="noStrike">
              <a:solidFill>
                <a:srgbClr val="993366"/>
              </a:solidFill>
              <a:latin typeface="Calibri"/>
              <a:cs typeface="Calibri"/>
            </a:rPr>
            <a:t>- Shop</a:t>
          </a:r>
          <a:r>
            <a:rPr lang="en-US" sz="1000" b="0" i="0" strike="noStrike" baseline="0">
              <a:solidFill>
                <a:srgbClr val="993366"/>
              </a:solidFill>
              <a:latin typeface="Calibri"/>
              <a:cs typeface="Calibri"/>
            </a:rPr>
            <a:t> Rental</a:t>
          </a:r>
        </a:p>
        <a:p>
          <a:pPr algn="ctr" rtl="0">
            <a:defRPr sz="1000"/>
          </a:pPr>
          <a:r>
            <a:rPr lang="en-US" sz="1000" b="0" i="0" strike="noStrike" baseline="0">
              <a:solidFill>
                <a:srgbClr val="993366"/>
              </a:solidFill>
              <a:latin typeface="Calibri"/>
              <a:cs typeface="Calibri"/>
            </a:rPr>
            <a:t>- Electricity</a:t>
          </a:r>
        </a:p>
        <a:p>
          <a:pPr algn="ctr" rtl="0">
            <a:defRPr sz="1000"/>
          </a:pPr>
          <a:r>
            <a:rPr lang="en-US" sz="1000" b="0" i="0" strike="noStrike" baseline="0">
              <a:solidFill>
                <a:srgbClr val="993366"/>
              </a:solidFill>
              <a:latin typeface="Calibri"/>
              <a:cs typeface="Calibri"/>
            </a:rPr>
            <a:t>- Pay for Part-time and Full-time workers</a:t>
          </a:r>
        </a:p>
        <a:p>
          <a:pPr algn="ctr" rtl="0">
            <a:defRPr sz="1000"/>
          </a:pPr>
          <a:r>
            <a:rPr lang="en-US" sz="1000" b="0" i="0" strike="noStrike" baseline="0">
              <a:solidFill>
                <a:srgbClr val="993366"/>
              </a:solidFill>
              <a:latin typeface="Calibri"/>
              <a:cs typeface="Calibri"/>
            </a:rPr>
            <a:t>-  Others</a:t>
          </a:r>
          <a:endParaRPr lang="en-US" sz="1000" b="0" i="0" strike="noStrike">
            <a:solidFill>
              <a:srgbClr val="993366"/>
            </a:solidFill>
            <a:latin typeface="Calibri"/>
            <a:cs typeface="Calibri"/>
          </a:endParaRPr>
        </a:p>
      </xdr:txBody>
    </xdr:sp>
    <xdr:clientData/>
  </xdr:twoCellAnchor>
  <xdr:twoCellAnchor>
    <xdr:from>
      <xdr:col>0</xdr:col>
      <xdr:colOff>233522</xdr:colOff>
      <xdr:row>6</xdr:row>
      <xdr:rowOff>221751</xdr:rowOff>
    </xdr:from>
    <xdr:to>
      <xdr:col>3</xdr:col>
      <xdr:colOff>427369</xdr:colOff>
      <xdr:row>9</xdr:row>
      <xdr:rowOff>155776</xdr:rowOff>
    </xdr:to>
    <xdr:sp macro="" textlink="">
      <xdr:nvSpPr>
        <xdr:cNvPr id="7" name="AutoShape 7">
          <a:extLst>
            <a:ext uri="{FF2B5EF4-FFF2-40B4-BE49-F238E27FC236}">
              <a16:creationId xmlns:a16="http://schemas.microsoft.com/office/drawing/2014/main" id="{00000000-0008-0000-0500-000007000000}"/>
            </a:ext>
          </a:extLst>
        </xdr:cNvPr>
        <xdr:cNvSpPr>
          <a:spLocks noChangeAspect="1" noChangeArrowheads="1"/>
        </xdr:cNvSpPr>
      </xdr:nvSpPr>
      <xdr:spPr bwMode="auto">
        <a:xfrm>
          <a:off x="233522" y="3930151"/>
          <a:ext cx="1044747" cy="499175"/>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accent1"/>
              </a:solidFill>
              <a:latin typeface="Calibri"/>
              <a:cs typeface="Calibri"/>
            </a:rPr>
            <a:t>Perfume</a:t>
          </a:r>
          <a:r>
            <a:rPr lang="en-US" sz="1000" b="0" i="0" strike="noStrike" baseline="0">
              <a:solidFill>
                <a:schemeClr val="accent1"/>
              </a:solidFill>
              <a:latin typeface="Calibri"/>
              <a:cs typeface="Calibri"/>
            </a:rPr>
            <a:t> Prices</a:t>
          </a:r>
        </a:p>
      </xdr:txBody>
    </xdr:sp>
    <xdr:clientData/>
  </xdr:twoCellAnchor>
  <xdr:twoCellAnchor>
    <xdr:from>
      <xdr:col>24</xdr:col>
      <xdr:colOff>282555</xdr:colOff>
      <xdr:row>16</xdr:row>
      <xdr:rowOff>102072</xdr:rowOff>
    </xdr:from>
    <xdr:to>
      <xdr:col>25</xdr:col>
      <xdr:colOff>299432</xdr:colOff>
      <xdr:row>24</xdr:row>
      <xdr:rowOff>86323</xdr:rowOff>
    </xdr:to>
    <xdr:cxnSp macro="">
      <xdr:nvCxnSpPr>
        <xdr:cNvPr id="8" name="AutoShape 15">
          <a:extLst>
            <a:ext uri="{FF2B5EF4-FFF2-40B4-BE49-F238E27FC236}">
              <a16:creationId xmlns:a16="http://schemas.microsoft.com/office/drawing/2014/main" id="{00000000-0008-0000-0500-000008000000}"/>
            </a:ext>
          </a:extLst>
        </xdr:cNvPr>
        <xdr:cNvCxnSpPr>
          <a:cxnSpLocks noChangeShapeType="1"/>
          <a:stCxn id="3" idx="3"/>
          <a:endCxn id="2" idx="1"/>
        </xdr:cNvCxnSpPr>
      </xdr:nvCxnSpPr>
      <xdr:spPr bwMode="auto">
        <a:xfrm flipV="1">
          <a:off x="10023455" y="5531322"/>
          <a:ext cx="651877" cy="1305051"/>
        </a:xfrm>
        <a:prstGeom prst="straightConnector1">
          <a:avLst/>
        </a:prstGeom>
        <a:noFill/>
        <a:ln w="9525">
          <a:solidFill>
            <a:srgbClr val="000000"/>
          </a:solidFill>
          <a:round/>
          <a:headEnd/>
          <a:tailEnd type="arrow" w="med" len="med"/>
        </a:ln>
      </xdr:spPr>
    </xdr:cxnSp>
    <xdr:clientData/>
  </xdr:twoCellAnchor>
  <xdr:twoCellAnchor>
    <xdr:from>
      <xdr:col>22</xdr:col>
      <xdr:colOff>2494</xdr:colOff>
      <xdr:row>8</xdr:row>
      <xdr:rowOff>57250</xdr:rowOff>
    </xdr:from>
    <xdr:to>
      <xdr:col>24</xdr:col>
      <xdr:colOff>336951</xdr:colOff>
      <xdr:row>11</xdr:row>
      <xdr:rowOff>78297</xdr:rowOff>
    </xdr:to>
    <xdr:sp macro="" textlink="">
      <xdr:nvSpPr>
        <xdr:cNvPr id="9" name="AutoShape 17">
          <a:extLst>
            <a:ext uri="{FF2B5EF4-FFF2-40B4-BE49-F238E27FC236}">
              <a16:creationId xmlns:a16="http://schemas.microsoft.com/office/drawing/2014/main" id="{00000000-0008-0000-0500-000009000000}"/>
            </a:ext>
          </a:extLst>
        </xdr:cNvPr>
        <xdr:cNvSpPr>
          <a:spLocks noChangeAspect="1" noChangeArrowheads="1"/>
        </xdr:cNvSpPr>
      </xdr:nvSpPr>
      <xdr:spPr bwMode="auto">
        <a:xfrm>
          <a:off x="9057594" y="4165700"/>
          <a:ext cx="1020257" cy="516347"/>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bg1"/>
              </a:solidFill>
              <a:latin typeface="Calibri"/>
              <a:cs typeface="Calibri"/>
            </a:rPr>
            <a:t>Total </a:t>
          </a:r>
        </a:p>
        <a:p>
          <a:pPr algn="ctr" rtl="0">
            <a:defRPr sz="1000"/>
          </a:pPr>
          <a:r>
            <a:rPr lang="en-US" sz="1000" b="0" i="0" strike="noStrike">
              <a:solidFill>
                <a:schemeClr val="bg1"/>
              </a:solidFill>
              <a:latin typeface="Calibri"/>
              <a:cs typeface="Calibri"/>
            </a:rPr>
            <a:t>Revenue</a:t>
          </a:r>
        </a:p>
      </xdr:txBody>
    </xdr:sp>
    <xdr:clientData/>
  </xdr:twoCellAnchor>
  <xdr:twoCellAnchor>
    <xdr:from>
      <xdr:col>24</xdr:col>
      <xdr:colOff>336951</xdr:colOff>
      <xdr:row>9</xdr:row>
      <xdr:rowOff>147149</xdr:rowOff>
    </xdr:from>
    <xdr:to>
      <xdr:col>25</xdr:col>
      <xdr:colOff>299432</xdr:colOff>
      <xdr:row>16</xdr:row>
      <xdr:rowOff>102072</xdr:rowOff>
    </xdr:to>
    <xdr:cxnSp macro="">
      <xdr:nvCxnSpPr>
        <xdr:cNvPr id="10" name="AutoShape 19">
          <a:extLst>
            <a:ext uri="{FF2B5EF4-FFF2-40B4-BE49-F238E27FC236}">
              <a16:creationId xmlns:a16="http://schemas.microsoft.com/office/drawing/2014/main" id="{00000000-0008-0000-0500-00000A000000}"/>
            </a:ext>
          </a:extLst>
        </xdr:cNvPr>
        <xdr:cNvCxnSpPr>
          <a:cxnSpLocks noChangeShapeType="1"/>
          <a:stCxn id="9" idx="3"/>
          <a:endCxn id="2" idx="1"/>
        </xdr:cNvCxnSpPr>
      </xdr:nvCxnSpPr>
      <xdr:spPr bwMode="auto">
        <a:xfrm>
          <a:off x="10077851" y="4420699"/>
          <a:ext cx="597481" cy="1110623"/>
        </a:xfrm>
        <a:prstGeom prst="straightConnector1">
          <a:avLst/>
        </a:prstGeom>
        <a:noFill/>
        <a:ln w="9525">
          <a:solidFill>
            <a:srgbClr val="000000"/>
          </a:solidFill>
          <a:round/>
          <a:headEnd/>
          <a:tailEnd type="arrow" w="med" len="med"/>
        </a:ln>
      </xdr:spPr>
    </xdr:cxnSp>
    <xdr:clientData/>
  </xdr:twoCellAnchor>
  <xdr:twoCellAnchor>
    <xdr:from>
      <xdr:col>11</xdr:col>
      <xdr:colOff>252910</xdr:colOff>
      <xdr:row>19</xdr:row>
      <xdr:rowOff>93195</xdr:rowOff>
    </xdr:from>
    <xdr:to>
      <xdr:col>20</xdr:col>
      <xdr:colOff>150910</xdr:colOff>
      <xdr:row>24</xdr:row>
      <xdr:rowOff>93196</xdr:rowOff>
    </xdr:to>
    <xdr:cxnSp macro="">
      <xdr:nvCxnSpPr>
        <xdr:cNvPr id="11" name="AutoShape 21">
          <a:extLst>
            <a:ext uri="{FF2B5EF4-FFF2-40B4-BE49-F238E27FC236}">
              <a16:creationId xmlns:a16="http://schemas.microsoft.com/office/drawing/2014/main" id="{00000000-0008-0000-0500-00000B000000}"/>
            </a:ext>
          </a:extLst>
        </xdr:cNvPr>
        <xdr:cNvCxnSpPr>
          <a:cxnSpLocks noChangeShapeType="1"/>
          <a:endCxn id="3" idx="1"/>
        </xdr:cNvCxnSpPr>
      </xdr:nvCxnSpPr>
      <xdr:spPr bwMode="auto">
        <a:xfrm>
          <a:off x="5015410" y="6017745"/>
          <a:ext cx="3974700" cy="825501"/>
        </a:xfrm>
        <a:prstGeom prst="straightConnector1">
          <a:avLst/>
        </a:prstGeom>
        <a:noFill/>
        <a:ln w="9525">
          <a:solidFill>
            <a:srgbClr val="FFFFFF"/>
          </a:solidFill>
          <a:round/>
          <a:headEnd/>
          <a:tailEnd type="triangle" w="med" len="med"/>
        </a:ln>
      </xdr:spPr>
    </xdr:cxnSp>
    <xdr:clientData/>
  </xdr:twoCellAnchor>
  <xdr:twoCellAnchor>
    <xdr:from>
      <xdr:col>6</xdr:col>
      <xdr:colOff>337786</xdr:colOff>
      <xdr:row>24</xdr:row>
      <xdr:rowOff>46306</xdr:rowOff>
    </xdr:from>
    <xdr:to>
      <xdr:col>20</xdr:col>
      <xdr:colOff>150910</xdr:colOff>
      <xdr:row>24</xdr:row>
      <xdr:rowOff>86323</xdr:rowOff>
    </xdr:to>
    <xdr:cxnSp macro="">
      <xdr:nvCxnSpPr>
        <xdr:cNvPr id="12" name="AutoShape 22">
          <a:extLst>
            <a:ext uri="{FF2B5EF4-FFF2-40B4-BE49-F238E27FC236}">
              <a16:creationId xmlns:a16="http://schemas.microsoft.com/office/drawing/2014/main" id="{00000000-0008-0000-0500-00000C000000}"/>
            </a:ext>
          </a:extLst>
        </xdr:cNvPr>
        <xdr:cNvCxnSpPr>
          <a:cxnSpLocks noChangeShapeType="1"/>
          <a:stCxn id="6" idx="3"/>
          <a:endCxn id="3" idx="1"/>
        </xdr:cNvCxnSpPr>
      </xdr:nvCxnSpPr>
      <xdr:spPr bwMode="auto">
        <a:xfrm>
          <a:off x="2547586" y="6796356"/>
          <a:ext cx="6442524" cy="40017"/>
        </a:xfrm>
        <a:prstGeom prst="straightConnector1">
          <a:avLst/>
        </a:prstGeom>
        <a:noFill/>
        <a:ln w="9525">
          <a:solidFill>
            <a:srgbClr val="000000"/>
          </a:solidFill>
          <a:round/>
          <a:headEnd/>
          <a:tailEnd type="arrow" w="med" len="med"/>
        </a:ln>
      </xdr:spPr>
    </xdr:cxnSp>
    <xdr:clientData/>
  </xdr:twoCellAnchor>
  <xdr:twoCellAnchor>
    <xdr:from>
      <xdr:col>5</xdr:col>
      <xdr:colOff>317154</xdr:colOff>
      <xdr:row>27</xdr:row>
      <xdr:rowOff>150561</xdr:rowOff>
    </xdr:from>
    <xdr:to>
      <xdr:col>16</xdr:col>
      <xdr:colOff>359292</xdr:colOff>
      <xdr:row>31</xdr:row>
      <xdr:rowOff>35312</xdr:rowOff>
    </xdr:to>
    <xdr:cxnSp macro="">
      <xdr:nvCxnSpPr>
        <xdr:cNvPr id="13" name="AutoShape 23">
          <a:extLst>
            <a:ext uri="{FF2B5EF4-FFF2-40B4-BE49-F238E27FC236}">
              <a16:creationId xmlns:a16="http://schemas.microsoft.com/office/drawing/2014/main" id="{00000000-0008-0000-0500-00000D000000}"/>
            </a:ext>
          </a:extLst>
        </xdr:cNvPr>
        <xdr:cNvCxnSpPr>
          <a:cxnSpLocks noChangeShapeType="1"/>
          <a:stCxn id="5" idx="3"/>
          <a:endCxn id="40" idx="1"/>
        </xdr:cNvCxnSpPr>
      </xdr:nvCxnSpPr>
      <xdr:spPr bwMode="auto">
        <a:xfrm flipV="1">
          <a:off x="2198192" y="4871127"/>
          <a:ext cx="5086194" cy="555694"/>
        </a:xfrm>
        <a:prstGeom prst="straightConnector1">
          <a:avLst/>
        </a:prstGeom>
        <a:noFill/>
        <a:ln w="9525">
          <a:solidFill>
            <a:srgbClr val="000000"/>
          </a:solidFill>
          <a:round/>
          <a:headEnd/>
          <a:tailEnd type="arrow" w="med" len="med"/>
        </a:ln>
      </xdr:spPr>
    </xdr:cxnSp>
    <xdr:clientData/>
  </xdr:twoCellAnchor>
  <xdr:twoCellAnchor>
    <xdr:from>
      <xdr:col>0</xdr:col>
      <xdr:colOff>244104</xdr:colOff>
      <xdr:row>17</xdr:row>
      <xdr:rowOff>55627</xdr:rowOff>
    </xdr:from>
    <xdr:to>
      <xdr:col>3</xdr:col>
      <xdr:colOff>466649</xdr:colOff>
      <xdr:row>20</xdr:row>
      <xdr:rowOff>55627</xdr:rowOff>
    </xdr:to>
    <xdr:sp macro="" textlink="">
      <xdr:nvSpPr>
        <xdr:cNvPr id="14" name="AutoShape 7">
          <a:extLst>
            <a:ext uri="{FF2B5EF4-FFF2-40B4-BE49-F238E27FC236}">
              <a16:creationId xmlns:a16="http://schemas.microsoft.com/office/drawing/2014/main" id="{00000000-0008-0000-0500-00000E000000}"/>
            </a:ext>
          </a:extLst>
        </xdr:cNvPr>
        <xdr:cNvSpPr>
          <a:spLocks noChangeAspect="1" noChangeArrowheads="1"/>
        </xdr:cNvSpPr>
      </xdr:nvSpPr>
      <xdr:spPr bwMode="auto">
        <a:xfrm>
          <a:off x="244104" y="5649977"/>
          <a:ext cx="1073445" cy="495300"/>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accent1"/>
              </a:solidFill>
              <a:latin typeface="Calibri"/>
              <a:cs typeface="Calibri"/>
            </a:rPr>
            <a:t>Marketing</a:t>
          </a:r>
        </a:p>
      </xdr:txBody>
    </xdr:sp>
    <xdr:clientData/>
  </xdr:twoCellAnchor>
  <xdr:twoCellAnchor>
    <xdr:from>
      <xdr:col>0</xdr:col>
      <xdr:colOff>250457</xdr:colOff>
      <xdr:row>13</xdr:row>
      <xdr:rowOff>126185</xdr:rowOff>
    </xdr:from>
    <xdr:to>
      <xdr:col>3</xdr:col>
      <xdr:colOff>484600</xdr:colOff>
      <xdr:row>16</xdr:row>
      <xdr:rowOff>146163</xdr:rowOff>
    </xdr:to>
    <xdr:sp macro="" textlink="">
      <xdr:nvSpPr>
        <xdr:cNvPr id="15" name="AutoShape 5">
          <a:extLst>
            <a:ext uri="{FF2B5EF4-FFF2-40B4-BE49-F238E27FC236}">
              <a16:creationId xmlns:a16="http://schemas.microsoft.com/office/drawing/2014/main" id="{00000000-0008-0000-0500-00000F000000}"/>
            </a:ext>
          </a:extLst>
        </xdr:cNvPr>
        <xdr:cNvSpPr>
          <a:spLocks noChangeAspect="1" noChangeArrowheads="1"/>
        </xdr:cNvSpPr>
      </xdr:nvSpPr>
      <xdr:spPr bwMode="auto">
        <a:xfrm>
          <a:off x="250457" y="5060135"/>
          <a:ext cx="1085043" cy="515278"/>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Seasonality</a:t>
          </a:r>
        </a:p>
      </xdr:txBody>
    </xdr:sp>
    <xdr:clientData/>
  </xdr:twoCellAnchor>
  <xdr:twoCellAnchor>
    <xdr:from>
      <xdr:col>6</xdr:col>
      <xdr:colOff>434260</xdr:colOff>
      <xdr:row>2</xdr:row>
      <xdr:rowOff>48166</xdr:rowOff>
    </xdr:from>
    <xdr:to>
      <xdr:col>9</xdr:col>
      <xdr:colOff>16899</xdr:colOff>
      <xdr:row>4</xdr:row>
      <xdr:rowOff>147127</xdr:rowOff>
    </xdr:to>
    <xdr:sp macro="" textlink="">
      <xdr:nvSpPr>
        <xdr:cNvPr id="16" name="AutoShape 7">
          <a:extLst>
            <a:ext uri="{FF2B5EF4-FFF2-40B4-BE49-F238E27FC236}">
              <a16:creationId xmlns:a16="http://schemas.microsoft.com/office/drawing/2014/main" id="{00000000-0008-0000-0500-000010000000}"/>
            </a:ext>
          </a:extLst>
        </xdr:cNvPr>
        <xdr:cNvSpPr>
          <a:spLocks noChangeAspect="1" noChangeArrowheads="1"/>
        </xdr:cNvSpPr>
      </xdr:nvSpPr>
      <xdr:spPr bwMode="auto">
        <a:xfrm>
          <a:off x="2644060" y="3000916"/>
          <a:ext cx="1093939" cy="492661"/>
        </a:xfrm>
        <a:prstGeom prst="roundRect">
          <a:avLst>
            <a:gd name="adj" fmla="val 16667"/>
          </a:avLst>
        </a:prstGeom>
        <a:solidFill>
          <a:schemeClr val="accent5">
            <a:lumMod val="20000"/>
            <a:lumOff val="8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a:solidFill>
                <a:sysClr val="windowText" lastClr="000000"/>
              </a:solidFill>
              <a:effectLst/>
              <a:latin typeface="+mn-lt"/>
              <a:ea typeface="+mn-ea"/>
              <a:cs typeface="+mn-cs"/>
            </a:rPr>
            <a:t>Price Elasticity</a:t>
          </a:r>
          <a:endParaRPr lang="en-US" sz="1000" b="0" i="0" strike="noStrike" baseline="0">
            <a:solidFill>
              <a:sysClr val="windowText" lastClr="000000"/>
            </a:solidFill>
            <a:latin typeface="Calibri"/>
            <a:cs typeface="Calibri"/>
          </a:endParaRPr>
        </a:p>
      </xdr:txBody>
    </xdr:sp>
    <xdr:clientData/>
  </xdr:twoCellAnchor>
  <xdr:twoCellAnchor>
    <xdr:from>
      <xdr:col>0</xdr:col>
      <xdr:colOff>241712</xdr:colOff>
      <xdr:row>10</xdr:row>
      <xdr:rowOff>65754</xdr:rowOff>
    </xdr:from>
    <xdr:to>
      <xdr:col>3</xdr:col>
      <xdr:colOff>435559</xdr:colOff>
      <xdr:row>13</xdr:row>
      <xdr:rowOff>65753</xdr:rowOff>
    </xdr:to>
    <xdr:sp macro="" textlink="">
      <xdr:nvSpPr>
        <xdr:cNvPr id="17" name="AutoShape 7">
          <a:extLst>
            <a:ext uri="{FF2B5EF4-FFF2-40B4-BE49-F238E27FC236}">
              <a16:creationId xmlns:a16="http://schemas.microsoft.com/office/drawing/2014/main" id="{00000000-0008-0000-0500-000011000000}"/>
            </a:ext>
          </a:extLst>
        </xdr:cNvPr>
        <xdr:cNvSpPr>
          <a:spLocks noChangeAspect="1" noChangeArrowheads="1"/>
        </xdr:cNvSpPr>
      </xdr:nvSpPr>
      <xdr:spPr bwMode="auto">
        <a:xfrm>
          <a:off x="241712" y="4504404"/>
          <a:ext cx="1044747" cy="495299"/>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chemeClr val="accent1"/>
              </a:solidFill>
              <a:latin typeface="Calibri"/>
              <a:cs typeface="Calibri"/>
            </a:rPr>
            <a:t>Bodymist Prices</a:t>
          </a:r>
        </a:p>
      </xdr:txBody>
    </xdr:sp>
    <xdr:clientData/>
  </xdr:twoCellAnchor>
  <xdr:twoCellAnchor>
    <xdr:from>
      <xdr:col>12</xdr:col>
      <xdr:colOff>43923</xdr:colOff>
      <xdr:row>18</xdr:row>
      <xdr:rowOff>51557</xdr:rowOff>
    </xdr:from>
    <xdr:to>
      <xdr:col>14</xdr:col>
      <xdr:colOff>43595</xdr:colOff>
      <xdr:row>21</xdr:row>
      <xdr:rowOff>51558</xdr:rowOff>
    </xdr:to>
    <xdr:sp macro="" textlink="">
      <xdr:nvSpPr>
        <xdr:cNvPr id="18" name="AutoShape 4">
          <a:extLst>
            <a:ext uri="{FF2B5EF4-FFF2-40B4-BE49-F238E27FC236}">
              <a16:creationId xmlns:a16="http://schemas.microsoft.com/office/drawing/2014/main" id="{00000000-0008-0000-0500-000012000000}"/>
            </a:ext>
          </a:extLst>
        </xdr:cNvPr>
        <xdr:cNvSpPr>
          <a:spLocks noChangeAspect="1" noChangeArrowheads="1"/>
        </xdr:cNvSpPr>
      </xdr:nvSpPr>
      <xdr:spPr bwMode="auto">
        <a:xfrm>
          <a:off x="5123923" y="5811007"/>
          <a:ext cx="1041072" cy="495301"/>
        </a:xfrm>
        <a:prstGeom prst="roundRect">
          <a:avLst>
            <a:gd name="adj" fmla="val 16667"/>
          </a:avLst>
        </a:prstGeom>
        <a:solidFill>
          <a:schemeClr val="accent5">
            <a:lumMod val="60000"/>
            <a:lumOff val="4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Body</a:t>
          </a:r>
          <a:r>
            <a:rPr lang="en-US" sz="1000" b="0" i="0" strike="noStrike" baseline="0">
              <a:solidFill>
                <a:sysClr val="windowText" lastClr="000000"/>
              </a:solidFill>
              <a:latin typeface="Calibri"/>
              <a:cs typeface="Calibri"/>
            </a:rPr>
            <a:t>mist</a:t>
          </a:r>
          <a:endParaRPr lang="en-US" sz="1000" b="0" i="0" strike="noStrike">
            <a:solidFill>
              <a:sysClr val="windowText" lastClr="000000"/>
            </a:solidFill>
            <a:latin typeface="Calibri"/>
            <a:cs typeface="Calibri"/>
          </a:endParaRPr>
        </a:p>
        <a:p>
          <a:pPr algn="ctr" rtl="0">
            <a:defRPr sz="1000"/>
          </a:pPr>
          <a:r>
            <a:rPr lang="en-US" sz="1000" b="0" i="0" strike="noStrike">
              <a:solidFill>
                <a:sysClr val="windowText" lastClr="000000"/>
              </a:solidFill>
              <a:latin typeface="Calibri"/>
              <a:cs typeface="Calibri"/>
            </a:rPr>
            <a:t>Demand</a:t>
          </a:r>
        </a:p>
      </xdr:txBody>
    </xdr:sp>
    <xdr:clientData/>
  </xdr:twoCellAnchor>
  <xdr:twoCellAnchor>
    <xdr:from>
      <xdr:col>3</xdr:col>
      <xdr:colOff>427369</xdr:colOff>
      <xdr:row>8</xdr:row>
      <xdr:rowOff>69701</xdr:rowOff>
    </xdr:from>
    <xdr:to>
      <xdr:col>22</xdr:col>
      <xdr:colOff>2494</xdr:colOff>
      <xdr:row>9</xdr:row>
      <xdr:rowOff>147149</xdr:rowOff>
    </xdr:to>
    <xdr:cxnSp macro="">
      <xdr:nvCxnSpPr>
        <xdr:cNvPr id="19" name="AutoShape 18">
          <a:extLst>
            <a:ext uri="{FF2B5EF4-FFF2-40B4-BE49-F238E27FC236}">
              <a16:creationId xmlns:a16="http://schemas.microsoft.com/office/drawing/2014/main" id="{00000000-0008-0000-0500-000013000000}"/>
            </a:ext>
          </a:extLst>
        </xdr:cNvPr>
        <xdr:cNvCxnSpPr>
          <a:cxnSpLocks noChangeShapeType="1"/>
          <a:stCxn id="7" idx="3"/>
          <a:endCxn id="9" idx="1"/>
        </xdr:cNvCxnSpPr>
      </xdr:nvCxnSpPr>
      <xdr:spPr bwMode="auto">
        <a:xfrm>
          <a:off x="1278269" y="4178151"/>
          <a:ext cx="7779325" cy="242548"/>
        </a:xfrm>
        <a:prstGeom prst="straightConnector1">
          <a:avLst/>
        </a:prstGeom>
        <a:noFill/>
        <a:ln w="9525">
          <a:solidFill>
            <a:srgbClr val="000000"/>
          </a:solidFill>
          <a:round/>
          <a:headEnd/>
          <a:tailEnd type="arrow" w="med" len="med"/>
        </a:ln>
      </xdr:spPr>
    </xdr:cxnSp>
    <xdr:clientData/>
  </xdr:twoCellAnchor>
  <xdr:twoCellAnchor>
    <xdr:from>
      <xdr:col>3</xdr:col>
      <xdr:colOff>435559</xdr:colOff>
      <xdr:row>9</xdr:row>
      <xdr:rowOff>147149</xdr:rowOff>
    </xdr:from>
    <xdr:to>
      <xdr:col>22</xdr:col>
      <xdr:colOff>2494</xdr:colOff>
      <xdr:row>11</xdr:row>
      <xdr:rowOff>145129</xdr:rowOff>
    </xdr:to>
    <xdr:cxnSp macro="">
      <xdr:nvCxnSpPr>
        <xdr:cNvPr id="20" name="AutoShape 18">
          <a:extLst>
            <a:ext uri="{FF2B5EF4-FFF2-40B4-BE49-F238E27FC236}">
              <a16:creationId xmlns:a16="http://schemas.microsoft.com/office/drawing/2014/main" id="{00000000-0008-0000-0500-000014000000}"/>
            </a:ext>
          </a:extLst>
        </xdr:cNvPr>
        <xdr:cNvCxnSpPr>
          <a:cxnSpLocks noChangeShapeType="1"/>
          <a:stCxn id="17" idx="3"/>
          <a:endCxn id="9" idx="1"/>
        </xdr:cNvCxnSpPr>
      </xdr:nvCxnSpPr>
      <xdr:spPr bwMode="auto">
        <a:xfrm flipV="1">
          <a:off x="1286459" y="4420699"/>
          <a:ext cx="7771135" cy="328180"/>
        </a:xfrm>
        <a:prstGeom prst="straightConnector1">
          <a:avLst/>
        </a:prstGeom>
        <a:noFill/>
        <a:ln w="9525">
          <a:solidFill>
            <a:srgbClr val="000000"/>
          </a:solidFill>
          <a:round/>
          <a:headEnd/>
          <a:tailEnd type="arrow" w="med" len="med"/>
        </a:ln>
      </xdr:spPr>
    </xdr:cxnSp>
    <xdr:clientData/>
  </xdr:twoCellAnchor>
  <xdr:twoCellAnchor>
    <xdr:from>
      <xdr:col>3</xdr:col>
      <xdr:colOff>427369</xdr:colOff>
      <xdr:row>8</xdr:row>
      <xdr:rowOff>69701</xdr:rowOff>
    </xdr:from>
    <xdr:to>
      <xdr:col>12</xdr:col>
      <xdr:colOff>23673</xdr:colOff>
      <xdr:row>14</xdr:row>
      <xdr:rowOff>144407</xdr:rowOff>
    </xdr:to>
    <xdr:cxnSp macro="">
      <xdr:nvCxnSpPr>
        <xdr:cNvPr id="21" name="AutoShape 18">
          <a:extLst>
            <a:ext uri="{FF2B5EF4-FFF2-40B4-BE49-F238E27FC236}">
              <a16:creationId xmlns:a16="http://schemas.microsoft.com/office/drawing/2014/main" id="{00000000-0008-0000-0500-000015000000}"/>
            </a:ext>
          </a:extLst>
        </xdr:cNvPr>
        <xdr:cNvCxnSpPr>
          <a:cxnSpLocks noChangeShapeType="1"/>
          <a:stCxn id="7" idx="3"/>
          <a:endCxn id="4" idx="1"/>
        </xdr:cNvCxnSpPr>
      </xdr:nvCxnSpPr>
      <xdr:spPr bwMode="auto">
        <a:xfrm>
          <a:off x="1278269" y="4178151"/>
          <a:ext cx="3825404" cy="1065306"/>
        </a:xfrm>
        <a:prstGeom prst="straightConnector1">
          <a:avLst/>
        </a:prstGeom>
        <a:noFill/>
        <a:ln w="9525">
          <a:solidFill>
            <a:srgbClr val="000000"/>
          </a:solidFill>
          <a:round/>
          <a:headEnd/>
          <a:tailEnd type="arrow" w="med" len="med"/>
        </a:ln>
      </xdr:spPr>
    </xdr:cxnSp>
    <xdr:clientData/>
  </xdr:twoCellAnchor>
  <xdr:twoCellAnchor>
    <xdr:from>
      <xdr:col>3</xdr:col>
      <xdr:colOff>435559</xdr:colOff>
      <xdr:row>11</xdr:row>
      <xdr:rowOff>145129</xdr:rowOff>
    </xdr:from>
    <xdr:to>
      <xdr:col>12</xdr:col>
      <xdr:colOff>43923</xdr:colOff>
      <xdr:row>19</xdr:row>
      <xdr:rowOff>130933</xdr:rowOff>
    </xdr:to>
    <xdr:cxnSp macro="">
      <xdr:nvCxnSpPr>
        <xdr:cNvPr id="22" name="AutoShape 18">
          <a:extLst>
            <a:ext uri="{FF2B5EF4-FFF2-40B4-BE49-F238E27FC236}">
              <a16:creationId xmlns:a16="http://schemas.microsoft.com/office/drawing/2014/main" id="{00000000-0008-0000-0500-000016000000}"/>
            </a:ext>
          </a:extLst>
        </xdr:cNvPr>
        <xdr:cNvCxnSpPr>
          <a:cxnSpLocks noChangeShapeType="1"/>
          <a:stCxn id="17" idx="3"/>
          <a:endCxn id="18" idx="1"/>
        </xdr:cNvCxnSpPr>
      </xdr:nvCxnSpPr>
      <xdr:spPr bwMode="auto">
        <a:xfrm>
          <a:off x="1286459" y="4748879"/>
          <a:ext cx="3837464" cy="1306604"/>
        </a:xfrm>
        <a:prstGeom prst="straightConnector1">
          <a:avLst/>
        </a:prstGeom>
        <a:noFill/>
        <a:ln w="9525">
          <a:solidFill>
            <a:srgbClr val="000000"/>
          </a:solidFill>
          <a:round/>
          <a:headEnd/>
          <a:tailEnd type="arrow" w="med" len="med"/>
        </a:ln>
      </xdr:spPr>
    </xdr:cxnSp>
    <xdr:clientData/>
  </xdr:twoCellAnchor>
  <xdr:twoCellAnchor>
    <xdr:from>
      <xdr:col>9</xdr:col>
      <xdr:colOff>16899</xdr:colOff>
      <xdr:row>3</xdr:row>
      <xdr:rowOff>97647</xdr:rowOff>
    </xdr:from>
    <xdr:to>
      <xdr:col>12</xdr:col>
      <xdr:colOff>23673</xdr:colOff>
      <xdr:row>14</xdr:row>
      <xdr:rowOff>144407</xdr:rowOff>
    </xdr:to>
    <xdr:cxnSp macro="">
      <xdr:nvCxnSpPr>
        <xdr:cNvPr id="23" name="AutoShape 18">
          <a:extLst>
            <a:ext uri="{FF2B5EF4-FFF2-40B4-BE49-F238E27FC236}">
              <a16:creationId xmlns:a16="http://schemas.microsoft.com/office/drawing/2014/main" id="{00000000-0008-0000-0500-000017000000}"/>
            </a:ext>
          </a:extLst>
        </xdr:cNvPr>
        <xdr:cNvCxnSpPr>
          <a:cxnSpLocks noChangeShapeType="1"/>
          <a:stCxn id="16" idx="3"/>
          <a:endCxn id="4" idx="1"/>
        </xdr:cNvCxnSpPr>
      </xdr:nvCxnSpPr>
      <xdr:spPr bwMode="auto">
        <a:xfrm>
          <a:off x="3737999" y="3247247"/>
          <a:ext cx="1365674" cy="1996210"/>
        </a:xfrm>
        <a:prstGeom prst="straightConnector1">
          <a:avLst/>
        </a:prstGeom>
        <a:noFill/>
        <a:ln w="9525">
          <a:solidFill>
            <a:srgbClr val="000000"/>
          </a:solidFill>
          <a:round/>
          <a:headEnd/>
          <a:tailEnd type="arrow" w="med" len="med"/>
        </a:ln>
      </xdr:spPr>
    </xdr:cxnSp>
    <xdr:clientData/>
  </xdr:twoCellAnchor>
  <xdr:twoCellAnchor>
    <xdr:from>
      <xdr:col>9</xdr:col>
      <xdr:colOff>16899</xdr:colOff>
      <xdr:row>3</xdr:row>
      <xdr:rowOff>97647</xdr:rowOff>
    </xdr:from>
    <xdr:to>
      <xdr:col>12</xdr:col>
      <xdr:colOff>43923</xdr:colOff>
      <xdr:row>19</xdr:row>
      <xdr:rowOff>130933</xdr:rowOff>
    </xdr:to>
    <xdr:cxnSp macro="">
      <xdr:nvCxnSpPr>
        <xdr:cNvPr id="24" name="AutoShape 18">
          <a:extLst>
            <a:ext uri="{FF2B5EF4-FFF2-40B4-BE49-F238E27FC236}">
              <a16:creationId xmlns:a16="http://schemas.microsoft.com/office/drawing/2014/main" id="{00000000-0008-0000-0500-000018000000}"/>
            </a:ext>
          </a:extLst>
        </xdr:cNvPr>
        <xdr:cNvCxnSpPr>
          <a:cxnSpLocks noChangeShapeType="1"/>
          <a:stCxn id="16" idx="3"/>
          <a:endCxn id="18" idx="1"/>
        </xdr:cNvCxnSpPr>
      </xdr:nvCxnSpPr>
      <xdr:spPr bwMode="auto">
        <a:xfrm>
          <a:off x="3737999" y="3247247"/>
          <a:ext cx="1385924" cy="2808236"/>
        </a:xfrm>
        <a:prstGeom prst="straightConnector1">
          <a:avLst/>
        </a:prstGeom>
        <a:noFill/>
        <a:ln w="9525">
          <a:solidFill>
            <a:srgbClr val="000000"/>
          </a:solidFill>
          <a:round/>
          <a:headEnd/>
          <a:tailEnd type="arrow" w="med" len="med"/>
        </a:ln>
      </xdr:spPr>
    </xdr:cxnSp>
    <xdr:clientData/>
  </xdr:twoCellAnchor>
  <xdr:twoCellAnchor>
    <xdr:from>
      <xdr:col>14</xdr:col>
      <xdr:colOff>30146</xdr:colOff>
      <xdr:row>9</xdr:row>
      <xdr:rowOff>147149</xdr:rowOff>
    </xdr:from>
    <xdr:to>
      <xdr:col>22</xdr:col>
      <xdr:colOff>2494</xdr:colOff>
      <xdr:row>14</xdr:row>
      <xdr:rowOff>144407</xdr:rowOff>
    </xdr:to>
    <xdr:cxnSp macro="">
      <xdr:nvCxnSpPr>
        <xdr:cNvPr id="25" name="AutoShape 18">
          <a:extLst>
            <a:ext uri="{FF2B5EF4-FFF2-40B4-BE49-F238E27FC236}">
              <a16:creationId xmlns:a16="http://schemas.microsoft.com/office/drawing/2014/main" id="{00000000-0008-0000-0500-000019000000}"/>
            </a:ext>
          </a:extLst>
        </xdr:cNvPr>
        <xdr:cNvCxnSpPr>
          <a:cxnSpLocks noChangeShapeType="1"/>
          <a:stCxn id="4" idx="3"/>
          <a:endCxn id="9" idx="1"/>
        </xdr:cNvCxnSpPr>
      </xdr:nvCxnSpPr>
      <xdr:spPr bwMode="auto">
        <a:xfrm flipV="1">
          <a:off x="6151546" y="4420699"/>
          <a:ext cx="2906048" cy="822758"/>
        </a:xfrm>
        <a:prstGeom prst="straightConnector1">
          <a:avLst/>
        </a:prstGeom>
        <a:noFill/>
        <a:ln w="9525">
          <a:solidFill>
            <a:srgbClr val="000000"/>
          </a:solidFill>
          <a:round/>
          <a:headEnd/>
          <a:tailEnd type="arrow" w="med" len="med"/>
        </a:ln>
      </xdr:spPr>
    </xdr:cxnSp>
    <xdr:clientData/>
  </xdr:twoCellAnchor>
  <xdr:twoCellAnchor>
    <xdr:from>
      <xdr:col>14</xdr:col>
      <xdr:colOff>43595</xdr:colOff>
      <xdr:row>9</xdr:row>
      <xdr:rowOff>147149</xdr:rowOff>
    </xdr:from>
    <xdr:to>
      <xdr:col>22</xdr:col>
      <xdr:colOff>2494</xdr:colOff>
      <xdr:row>19</xdr:row>
      <xdr:rowOff>130933</xdr:rowOff>
    </xdr:to>
    <xdr:cxnSp macro="">
      <xdr:nvCxnSpPr>
        <xdr:cNvPr id="26" name="AutoShape 18">
          <a:extLst>
            <a:ext uri="{FF2B5EF4-FFF2-40B4-BE49-F238E27FC236}">
              <a16:creationId xmlns:a16="http://schemas.microsoft.com/office/drawing/2014/main" id="{00000000-0008-0000-0500-00001A000000}"/>
            </a:ext>
          </a:extLst>
        </xdr:cNvPr>
        <xdr:cNvCxnSpPr>
          <a:cxnSpLocks noChangeShapeType="1"/>
          <a:stCxn id="18" idx="3"/>
          <a:endCxn id="9" idx="1"/>
        </xdr:cNvCxnSpPr>
      </xdr:nvCxnSpPr>
      <xdr:spPr bwMode="auto">
        <a:xfrm flipV="1">
          <a:off x="6164995" y="4420699"/>
          <a:ext cx="2892599" cy="1634784"/>
        </a:xfrm>
        <a:prstGeom prst="straightConnector1">
          <a:avLst/>
        </a:prstGeom>
        <a:noFill/>
        <a:ln w="9525">
          <a:solidFill>
            <a:srgbClr val="000000"/>
          </a:solidFill>
          <a:round/>
          <a:headEnd/>
          <a:tailEnd type="arrow" w="med" len="med"/>
        </a:ln>
      </xdr:spPr>
    </xdr:cxnSp>
    <xdr:clientData/>
  </xdr:twoCellAnchor>
  <xdr:twoCellAnchor>
    <xdr:from>
      <xdr:col>3</xdr:col>
      <xdr:colOff>484600</xdr:colOff>
      <xdr:row>14</xdr:row>
      <xdr:rowOff>144407</xdr:rowOff>
    </xdr:from>
    <xdr:to>
      <xdr:col>12</xdr:col>
      <xdr:colOff>23673</xdr:colOff>
      <xdr:row>15</xdr:row>
      <xdr:rowOff>56799</xdr:rowOff>
    </xdr:to>
    <xdr:cxnSp macro="">
      <xdr:nvCxnSpPr>
        <xdr:cNvPr id="27" name="AutoShape 18">
          <a:extLst>
            <a:ext uri="{FF2B5EF4-FFF2-40B4-BE49-F238E27FC236}">
              <a16:creationId xmlns:a16="http://schemas.microsoft.com/office/drawing/2014/main" id="{00000000-0008-0000-0500-00001B000000}"/>
            </a:ext>
          </a:extLst>
        </xdr:cNvPr>
        <xdr:cNvCxnSpPr>
          <a:cxnSpLocks noChangeShapeType="1"/>
          <a:stCxn id="15" idx="3"/>
          <a:endCxn id="4" idx="1"/>
        </xdr:cNvCxnSpPr>
      </xdr:nvCxnSpPr>
      <xdr:spPr bwMode="auto">
        <a:xfrm flipV="1">
          <a:off x="1335500" y="5243457"/>
          <a:ext cx="3768173" cy="77492"/>
        </a:xfrm>
        <a:prstGeom prst="straightConnector1">
          <a:avLst/>
        </a:prstGeom>
        <a:noFill/>
        <a:ln w="9525">
          <a:solidFill>
            <a:srgbClr val="000000"/>
          </a:solidFill>
          <a:round/>
          <a:headEnd/>
          <a:tailEnd type="arrow" w="med" len="med"/>
        </a:ln>
      </xdr:spPr>
    </xdr:cxnSp>
    <xdr:clientData/>
  </xdr:twoCellAnchor>
  <xdr:twoCellAnchor>
    <xdr:from>
      <xdr:col>3</xdr:col>
      <xdr:colOff>484600</xdr:colOff>
      <xdr:row>15</xdr:row>
      <xdr:rowOff>56799</xdr:rowOff>
    </xdr:from>
    <xdr:to>
      <xdr:col>12</xdr:col>
      <xdr:colOff>43923</xdr:colOff>
      <xdr:row>19</xdr:row>
      <xdr:rowOff>130933</xdr:rowOff>
    </xdr:to>
    <xdr:cxnSp macro="">
      <xdr:nvCxnSpPr>
        <xdr:cNvPr id="28" name="AutoShape 18">
          <a:extLst>
            <a:ext uri="{FF2B5EF4-FFF2-40B4-BE49-F238E27FC236}">
              <a16:creationId xmlns:a16="http://schemas.microsoft.com/office/drawing/2014/main" id="{00000000-0008-0000-0500-00001C000000}"/>
            </a:ext>
          </a:extLst>
        </xdr:cNvPr>
        <xdr:cNvCxnSpPr>
          <a:cxnSpLocks noChangeShapeType="1"/>
          <a:stCxn id="15" idx="3"/>
          <a:endCxn id="18" idx="1"/>
        </xdr:cNvCxnSpPr>
      </xdr:nvCxnSpPr>
      <xdr:spPr bwMode="auto">
        <a:xfrm>
          <a:off x="1335500" y="5320949"/>
          <a:ext cx="3788423" cy="734534"/>
        </a:xfrm>
        <a:prstGeom prst="straightConnector1">
          <a:avLst/>
        </a:prstGeom>
        <a:noFill/>
        <a:ln w="9525">
          <a:solidFill>
            <a:srgbClr val="000000"/>
          </a:solidFill>
          <a:round/>
          <a:headEnd/>
          <a:tailEnd type="arrow" w="med" len="med"/>
        </a:ln>
      </xdr:spPr>
    </xdr:cxnSp>
    <xdr:clientData/>
  </xdr:twoCellAnchor>
  <xdr:twoCellAnchor>
    <xdr:from>
      <xdr:col>3</xdr:col>
      <xdr:colOff>466649</xdr:colOff>
      <xdr:row>14</xdr:row>
      <xdr:rowOff>144407</xdr:rowOff>
    </xdr:from>
    <xdr:to>
      <xdr:col>12</xdr:col>
      <xdr:colOff>23673</xdr:colOff>
      <xdr:row>18</xdr:row>
      <xdr:rowOff>135002</xdr:rowOff>
    </xdr:to>
    <xdr:cxnSp macro="">
      <xdr:nvCxnSpPr>
        <xdr:cNvPr id="29" name="AutoShape 18">
          <a:extLst>
            <a:ext uri="{FF2B5EF4-FFF2-40B4-BE49-F238E27FC236}">
              <a16:creationId xmlns:a16="http://schemas.microsoft.com/office/drawing/2014/main" id="{00000000-0008-0000-0500-00001D000000}"/>
            </a:ext>
          </a:extLst>
        </xdr:cNvPr>
        <xdr:cNvCxnSpPr>
          <a:cxnSpLocks noChangeShapeType="1"/>
          <a:stCxn id="14" idx="3"/>
          <a:endCxn id="4" idx="1"/>
        </xdr:cNvCxnSpPr>
      </xdr:nvCxnSpPr>
      <xdr:spPr bwMode="auto">
        <a:xfrm flipV="1">
          <a:off x="1317549" y="5243457"/>
          <a:ext cx="3786124" cy="650995"/>
        </a:xfrm>
        <a:prstGeom prst="straightConnector1">
          <a:avLst/>
        </a:prstGeom>
        <a:noFill/>
        <a:ln w="9525">
          <a:solidFill>
            <a:srgbClr val="000000"/>
          </a:solidFill>
          <a:round/>
          <a:headEnd/>
          <a:tailEnd type="arrow" w="med" len="med"/>
        </a:ln>
      </xdr:spPr>
    </xdr:cxnSp>
    <xdr:clientData/>
  </xdr:twoCellAnchor>
  <xdr:twoCellAnchor>
    <xdr:from>
      <xdr:col>3</xdr:col>
      <xdr:colOff>466649</xdr:colOff>
      <xdr:row>18</xdr:row>
      <xdr:rowOff>135002</xdr:rowOff>
    </xdr:from>
    <xdr:to>
      <xdr:col>12</xdr:col>
      <xdr:colOff>43923</xdr:colOff>
      <xdr:row>19</xdr:row>
      <xdr:rowOff>130933</xdr:rowOff>
    </xdr:to>
    <xdr:cxnSp macro="">
      <xdr:nvCxnSpPr>
        <xdr:cNvPr id="30" name="AutoShape 18">
          <a:extLst>
            <a:ext uri="{FF2B5EF4-FFF2-40B4-BE49-F238E27FC236}">
              <a16:creationId xmlns:a16="http://schemas.microsoft.com/office/drawing/2014/main" id="{00000000-0008-0000-0500-00001E000000}"/>
            </a:ext>
          </a:extLst>
        </xdr:cNvPr>
        <xdr:cNvCxnSpPr>
          <a:cxnSpLocks noChangeShapeType="1"/>
          <a:stCxn id="14" idx="3"/>
          <a:endCxn id="18" idx="1"/>
        </xdr:cNvCxnSpPr>
      </xdr:nvCxnSpPr>
      <xdr:spPr bwMode="auto">
        <a:xfrm>
          <a:off x="1317549" y="5894452"/>
          <a:ext cx="3806374" cy="161031"/>
        </a:xfrm>
        <a:prstGeom prst="straightConnector1">
          <a:avLst/>
        </a:prstGeom>
        <a:noFill/>
        <a:ln w="9525">
          <a:solidFill>
            <a:srgbClr val="000000"/>
          </a:solidFill>
          <a:round/>
          <a:headEnd/>
          <a:tailEnd type="arrow" w="med" len="med"/>
        </a:ln>
      </xdr:spPr>
    </xdr:cxnSp>
    <xdr:clientData/>
  </xdr:twoCellAnchor>
  <xdr:twoCellAnchor>
    <xdr:from>
      <xdr:col>14</xdr:col>
      <xdr:colOff>43595</xdr:colOff>
      <xdr:row>19</xdr:row>
      <xdr:rowOff>130933</xdr:rowOff>
    </xdr:from>
    <xdr:to>
      <xdr:col>20</xdr:col>
      <xdr:colOff>150910</xdr:colOff>
      <xdr:row>24</xdr:row>
      <xdr:rowOff>86323</xdr:rowOff>
    </xdr:to>
    <xdr:cxnSp macro="">
      <xdr:nvCxnSpPr>
        <xdr:cNvPr id="31" name="AutoShape 18">
          <a:extLst>
            <a:ext uri="{FF2B5EF4-FFF2-40B4-BE49-F238E27FC236}">
              <a16:creationId xmlns:a16="http://schemas.microsoft.com/office/drawing/2014/main" id="{00000000-0008-0000-0500-00001F000000}"/>
            </a:ext>
          </a:extLst>
        </xdr:cNvPr>
        <xdr:cNvCxnSpPr>
          <a:cxnSpLocks noChangeShapeType="1"/>
          <a:stCxn id="18" idx="3"/>
          <a:endCxn id="3" idx="1"/>
        </xdr:cNvCxnSpPr>
      </xdr:nvCxnSpPr>
      <xdr:spPr bwMode="auto">
        <a:xfrm>
          <a:off x="6164995" y="6055483"/>
          <a:ext cx="2825115" cy="780890"/>
        </a:xfrm>
        <a:prstGeom prst="straightConnector1">
          <a:avLst/>
        </a:prstGeom>
        <a:noFill/>
        <a:ln w="9525">
          <a:solidFill>
            <a:srgbClr val="000000"/>
          </a:solidFill>
          <a:round/>
          <a:headEnd/>
          <a:tailEnd type="arrow" w="med" len="med"/>
        </a:ln>
      </xdr:spPr>
    </xdr:cxnSp>
    <xdr:clientData/>
  </xdr:twoCellAnchor>
  <xdr:twoCellAnchor>
    <xdr:from>
      <xdr:col>14</xdr:col>
      <xdr:colOff>30146</xdr:colOff>
      <xdr:row>14</xdr:row>
      <xdr:rowOff>144407</xdr:rowOff>
    </xdr:from>
    <xdr:to>
      <xdr:col>20</xdr:col>
      <xdr:colOff>150910</xdr:colOff>
      <xdr:row>24</xdr:row>
      <xdr:rowOff>86323</xdr:rowOff>
    </xdr:to>
    <xdr:cxnSp macro="">
      <xdr:nvCxnSpPr>
        <xdr:cNvPr id="32" name="AutoShape 18">
          <a:extLst>
            <a:ext uri="{FF2B5EF4-FFF2-40B4-BE49-F238E27FC236}">
              <a16:creationId xmlns:a16="http://schemas.microsoft.com/office/drawing/2014/main" id="{00000000-0008-0000-0500-000020000000}"/>
            </a:ext>
          </a:extLst>
        </xdr:cNvPr>
        <xdr:cNvCxnSpPr>
          <a:cxnSpLocks noChangeShapeType="1"/>
          <a:stCxn id="4" idx="3"/>
          <a:endCxn id="3" idx="1"/>
        </xdr:cNvCxnSpPr>
      </xdr:nvCxnSpPr>
      <xdr:spPr bwMode="auto">
        <a:xfrm>
          <a:off x="6151546" y="5243457"/>
          <a:ext cx="2838564" cy="1592916"/>
        </a:xfrm>
        <a:prstGeom prst="straightConnector1">
          <a:avLst/>
        </a:prstGeom>
        <a:noFill/>
        <a:ln w="9525">
          <a:solidFill>
            <a:srgbClr val="000000"/>
          </a:solidFill>
          <a:round/>
          <a:headEnd/>
          <a:tailEnd type="arrow" w="med" len="med"/>
        </a:ln>
      </xdr:spPr>
    </xdr:cxnSp>
    <xdr:clientData/>
  </xdr:twoCellAnchor>
  <xdr:twoCellAnchor editAs="oneCell">
    <xdr:from>
      <xdr:col>28</xdr:col>
      <xdr:colOff>86179</xdr:colOff>
      <xdr:row>15</xdr:row>
      <xdr:rowOff>90715</xdr:rowOff>
    </xdr:from>
    <xdr:to>
      <xdr:col>29</xdr:col>
      <xdr:colOff>92529</xdr:colOff>
      <xdr:row>16</xdr:row>
      <xdr:rowOff>97064</xdr:rowOff>
    </xdr:to>
    <xdr:pic>
      <xdr:nvPicPr>
        <xdr:cNvPr id="33" name="Picture 32">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67079" y="5354865"/>
          <a:ext cx="641350" cy="171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29</xdr:col>
      <xdr:colOff>0</xdr:colOff>
      <xdr:row>7</xdr:row>
      <xdr:rowOff>0</xdr:rowOff>
    </xdr:from>
    <xdr:ext cx="649597" cy="171285"/>
    <xdr:pic>
      <xdr:nvPicPr>
        <xdr:cNvPr id="34" name="Picture 33">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15900" y="3943350"/>
          <a:ext cx="649597" cy="1712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427369</xdr:colOff>
      <xdr:row>3</xdr:row>
      <xdr:rowOff>97647</xdr:rowOff>
    </xdr:from>
    <xdr:to>
      <xdr:col>6</xdr:col>
      <xdr:colOff>434260</xdr:colOff>
      <xdr:row>8</xdr:row>
      <xdr:rowOff>69701</xdr:rowOff>
    </xdr:to>
    <xdr:cxnSp macro="">
      <xdr:nvCxnSpPr>
        <xdr:cNvPr id="35" name="AutoShape 14">
          <a:extLst>
            <a:ext uri="{FF2B5EF4-FFF2-40B4-BE49-F238E27FC236}">
              <a16:creationId xmlns:a16="http://schemas.microsoft.com/office/drawing/2014/main" id="{00000000-0008-0000-0500-000023000000}"/>
            </a:ext>
          </a:extLst>
        </xdr:cNvPr>
        <xdr:cNvCxnSpPr>
          <a:cxnSpLocks noChangeShapeType="1"/>
          <a:stCxn id="7" idx="3"/>
          <a:endCxn id="16" idx="1"/>
        </xdr:cNvCxnSpPr>
      </xdr:nvCxnSpPr>
      <xdr:spPr bwMode="auto">
        <a:xfrm flipV="1">
          <a:off x="1278269" y="3247247"/>
          <a:ext cx="1365791" cy="930904"/>
        </a:xfrm>
        <a:prstGeom prst="straightConnector1">
          <a:avLst/>
        </a:prstGeom>
        <a:noFill/>
        <a:ln w="9525">
          <a:solidFill>
            <a:srgbClr val="000000"/>
          </a:solidFill>
          <a:prstDash val="lgDashDotDot"/>
          <a:round/>
          <a:headEnd/>
          <a:tailEnd type="arrow" w="med" len="med"/>
        </a:ln>
      </xdr:spPr>
    </xdr:cxnSp>
    <xdr:clientData/>
  </xdr:twoCellAnchor>
  <xdr:twoCellAnchor>
    <xdr:from>
      <xdr:col>3</xdr:col>
      <xdr:colOff>435559</xdr:colOff>
      <xdr:row>3</xdr:row>
      <xdr:rowOff>97647</xdr:rowOff>
    </xdr:from>
    <xdr:to>
      <xdr:col>6</xdr:col>
      <xdr:colOff>434260</xdr:colOff>
      <xdr:row>11</xdr:row>
      <xdr:rowOff>145129</xdr:rowOff>
    </xdr:to>
    <xdr:cxnSp macro="">
      <xdr:nvCxnSpPr>
        <xdr:cNvPr id="36" name="AutoShape 14">
          <a:extLst>
            <a:ext uri="{FF2B5EF4-FFF2-40B4-BE49-F238E27FC236}">
              <a16:creationId xmlns:a16="http://schemas.microsoft.com/office/drawing/2014/main" id="{00000000-0008-0000-0500-000024000000}"/>
            </a:ext>
          </a:extLst>
        </xdr:cNvPr>
        <xdr:cNvCxnSpPr>
          <a:cxnSpLocks noChangeShapeType="1"/>
          <a:stCxn id="17" idx="3"/>
          <a:endCxn id="16" idx="1"/>
        </xdr:cNvCxnSpPr>
      </xdr:nvCxnSpPr>
      <xdr:spPr bwMode="auto">
        <a:xfrm flipV="1">
          <a:off x="1286459" y="3247247"/>
          <a:ext cx="1357601" cy="1501632"/>
        </a:xfrm>
        <a:prstGeom prst="straightConnector1">
          <a:avLst/>
        </a:prstGeom>
        <a:noFill/>
        <a:ln w="9525">
          <a:solidFill>
            <a:srgbClr val="000000"/>
          </a:solidFill>
          <a:prstDash val="lgDashDotDot"/>
          <a:round/>
          <a:headEnd/>
          <a:tailEnd type="arrow" w="med" len="med"/>
        </a:ln>
      </xdr:spPr>
    </xdr:cxnSp>
    <xdr:clientData/>
  </xdr:twoCellAnchor>
  <xdr:twoCellAnchor>
    <xdr:from>
      <xdr:col>3</xdr:col>
      <xdr:colOff>427369</xdr:colOff>
      <xdr:row>8</xdr:row>
      <xdr:rowOff>69701</xdr:rowOff>
    </xdr:from>
    <xdr:to>
      <xdr:col>25</xdr:col>
      <xdr:colOff>299432</xdr:colOff>
      <xdr:row>16</xdr:row>
      <xdr:rowOff>102072</xdr:rowOff>
    </xdr:to>
    <xdr:cxnSp macro="">
      <xdr:nvCxnSpPr>
        <xdr:cNvPr id="37" name="AutoShape 22">
          <a:extLst>
            <a:ext uri="{FF2B5EF4-FFF2-40B4-BE49-F238E27FC236}">
              <a16:creationId xmlns:a16="http://schemas.microsoft.com/office/drawing/2014/main" id="{00000000-0008-0000-0500-000025000000}"/>
            </a:ext>
          </a:extLst>
        </xdr:cNvPr>
        <xdr:cNvCxnSpPr>
          <a:cxnSpLocks noChangeShapeType="1"/>
          <a:stCxn id="7" idx="3"/>
          <a:endCxn id="2" idx="1"/>
        </xdr:cNvCxnSpPr>
      </xdr:nvCxnSpPr>
      <xdr:spPr bwMode="auto">
        <a:xfrm>
          <a:off x="1278269" y="4178151"/>
          <a:ext cx="9397063" cy="1353171"/>
        </a:xfrm>
        <a:prstGeom prst="straightConnector1">
          <a:avLst/>
        </a:prstGeom>
        <a:noFill/>
        <a:ln w="9525">
          <a:solidFill>
            <a:srgbClr val="000000"/>
          </a:solidFill>
          <a:prstDash val="dash"/>
          <a:round/>
          <a:headEnd/>
          <a:tailEnd type="arrow" w="med" len="med"/>
        </a:ln>
      </xdr:spPr>
    </xdr:cxnSp>
    <xdr:clientData/>
  </xdr:twoCellAnchor>
  <xdr:twoCellAnchor>
    <xdr:from>
      <xdr:col>3</xdr:col>
      <xdr:colOff>466649</xdr:colOff>
      <xdr:row>18</xdr:row>
      <xdr:rowOff>135002</xdr:rowOff>
    </xdr:from>
    <xdr:to>
      <xdr:col>20</xdr:col>
      <xdr:colOff>150910</xdr:colOff>
      <xdr:row>24</xdr:row>
      <xdr:rowOff>86323</xdr:rowOff>
    </xdr:to>
    <xdr:cxnSp macro="">
      <xdr:nvCxnSpPr>
        <xdr:cNvPr id="38" name="AutoShape 18">
          <a:extLst>
            <a:ext uri="{FF2B5EF4-FFF2-40B4-BE49-F238E27FC236}">
              <a16:creationId xmlns:a16="http://schemas.microsoft.com/office/drawing/2014/main" id="{00000000-0008-0000-0500-000026000000}"/>
            </a:ext>
          </a:extLst>
        </xdr:cNvPr>
        <xdr:cNvCxnSpPr>
          <a:cxnSpLocks noChangeShapeType="1"/>
          <a:stCxn id="14" idx="3"/>
          <a:endCxn id="3" idx="1"/>
        </xdr:cNvCxnSpPr>
      </xdr:nvCxnSpPr>
      <xdr:spPr bwMode="auto">
        <a:xfrm>
          <a:off x="1317549" y="5894452"/>
          <a:ext cx="7672561" cy="941921"/>
        </a:xfrm>
        <a:prstGeom prst="straightConnector1">
          <a:avLst/>
        </a:prstGeom>
        <a:noFill/>
        <a:ln w="9525">
          <a:solidFill>
            <a:srgbClr val="000000"/>
          </a:solidFill>
          <a:round/>
          <a:headEnd/>
          <a:tailEnd type="arrow" w="med" len="med"/>
        </a:ln>
      </xdr:spPr>
    </xdr:cxnSp>
    <xdr:clientData/>
  </xdr:twoCellAnchor>
  <xdr:twoCellAnchor>
    <xdr:from>
      <xdr:col>16</xdr:col>
      <xdr:colOff>359292</xdr:colOff>
      <xdr:row>26</xdr:row>
      <xdr:rowOff>56170</xdr:rowOff>
    </xdr:from>
    <xdr:to>
      <xdr:col>19</xdr:col>
      <xdr:colOff>22806</xdr:colOff>
      <xdr:row>29</xdr:row>
      <xdr:rowOff>77216</xdr:rowOff>
    </xdr:to>
    <xdr:sp macro="" textlink="">
      <xdr:nvSpPr>
        <xdr:cNvPr id="40" name="AutoShape 17">
          <a:extLst>
            <a:ext uri="{FF2B5EF4-FFF2-40B4-BE49-F238E27FC236}">
              <a16:creationId xmlns:a16="http://schemas.microsoft.com/office/drawing/2014/main" id="{00000000-0008-0000-0500-000028000000}"/>
            </a:ext>
          </a:extLst>
        </xdr:cNvPr>
        <xdr:cNvSpPr>
          <a:spLocks noChangeAspect="1" noChangeArrowheads="1"/>
        </xdr:cNvSpPr>
      </xdr:nvSpPr>
      <xdr:spPr bwMode="auto">
        <a:xfrm>
          <a:off x="7284386" y="4609000"/>
          <a:ext cx="1017382" cy="524254"/>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bg1"/>
              </a:solidFill>
              <a:latin typeface="Calibri"/>
              <a:cs typeface="Calibri"/>
            </a:rPr>
            <a:t>Total Variable Costs</a:t>
          </a:r>
        </a:p>
      </xdr:txBody>
    </xdr:sp>
    <xdr:clientData/>
  </xdr:twoCellAnchor>
  <xdr:twoCellAnchor>
    <xdr:from>
      <xdr:col>14</xdr:col>
      <xdr:colOff>43595</xdr:colOff>
      <xdr:row>19</xdr:row>
      <xdr:rowOff>135426</xdr:rowOff>
    </xdr:from>
    <xdr:to>
      <xdr:col>16</xdr:col>
      <xdr:colOff>359292</xdr:colOff>
      <xdr:row>27</xdr:row>
      <xdr:rowOff>150561</xdr:rowOff>
    </xdr:to>
    <xdr:cxnSp macro="">
      <xdr:nvCxnSpPr>
        <xdr:cNvPr id="43" name="AutoShape 23">
          <a:extLst>
            <a:ext uri="{FF2B5EF4-FFF2-40B4-BE49-F238E27FC236}">
              <a16:creationId xmlns:a16="http://schemas.microsoft.com/office/drawing/2014/main" id="{00000000-0008-0000-0500-00002B000000}"/>
            </a:ext>
          </a:extLst>
        </xdr:cNvPr>
        <xdr:cNvCxnSpPr>
          <a:cxnSpLocks noChangeShapeType="1"/>
          <a:stCxn id="18" idx="3"/>
          <a:endCxn id="40" idx="1"/>
        </xdr:cNvCxnSpPr>
      </xdr:nvCxnSpPr>
      <xdr:spPr bwMode="auto">
        <a:xfrm>
          <a:off x="6130010" y="3514105"/>
          <a:ext cx="1154376" cy="1357022"/>
        </a:xfrm>
        <a:prstGeom prst="straightConnector1">
          <a:avLst/>
        </a:prstGeom>
        <a:noFill/>
        <a:ln w="9525">
          <a:solidFill>
            <a:srgbClr val="000000"/>
          </a:solidFill>
          <a:round/>
          <a:headEnd/>
          <a:tailEnd type="arrow" w="med" len="med"/>
        </a:ln>
      </xdr:spPr>
    </xdr:cxnSp>
    <xdr:clientData/>
  </xdr:twoCellAnchor>
  <xdr:twoCellAnchor>
    <xdr:from>
      <xdr:col>14</xdr:col>
      <xdr:colOff>30146</xdr:colOff>
      <xdr:row>14</xdr:row>
      <xdr:rowOff>148900</xdr:rowOff>
    </xdr:from>
    <xdr:to>
      <xdr:col>16</xdr:col>
      <xdr:colOff>359292</xdr:colOff>
      <xdr:row>27</xdr:row>
      <xdr:rowOff>150561</xdr:rowOff>
    </xdr:to>
    <xdr:cxnSp macro="">
      <xdr:nvCxnSpPr>
        <xdr:cNvPr id="46" name="AutoShape 23">
          <a:extLst>
            <a:ext uri="{FF2B5EF4-FFF2-40B4-BE49-F238E27FC236}">
              <a16:creationId xmlns:a16="http://schemas.microsoft.com/office/drawing/2014/main" id="{00000000-0008-0000-0500-00002E000000}"/>
            </a:ext>
          </a:extLst>
        </xdr:cNvPr>
        <xdr:cNvCxnSpPr>
          <a:cxnSpLocks noChangeShapeType="1"/>
          <a:stCxn id="4" idx="3"/>
          <a:endCxn id="40" idx="1"/>
        </xdr:cNvCxnSpPr>
      </xdr:nvCxnSpPr>
      <xdr:spPr bwMode="auto">
        <a:xfrm>
          <a:off x="6116561" y="2688900"/>
          <a:ext cx="1167825" cy="2182227"/>
        </a:xfrm>
        <a:prstGeom prst="straightConnector1">
          <a:avLst/>
        </a:prstGeom>
        <a:noFill/>
        <a:ln w="9525">
          <a:solidFill>
            <a:srgbClr val="000000"/>
          </a:solidFill>
          <a:round/>
          <a:headEnd/>
          <a:tailEnd type="arrow" w="med" len="med"/>
        </a:ln>
      </xdr:spPr>
    </xdr:cxnSp>
    <xdr:clientData/>
  </xdr:twoCellAnchor>
  <xdr:twoCellAnchor>
    <xdr:from>
      <xdr:col>19</xdr:col>
      <xdr:colOff>22806</xdr:colOff>
      <xdr:row>24</xdr:row>
      <xdr:rowOff>90817</xdr:rowOff>
    </xdr:from>
    <xdr:to>
      <xdr:col>20</xdr:col>
      <xdr:colOff>150910</xdr:colOff>
      <xdr:row>27</xdr:row>
      <xdr:rowOff>150561</xdr:rowOff>
    </xdr:to>
    <xdr:cxnSp macro="">
      <xdr:nvCxnSpPr>
        <xdr:cNvPr id="49" name="AutoShape 23">
          <a:extLst>
            <a:ext uri="{FF2B5EF4-FFF2-40B4-BE49-F238E27FC236}">
              <a16:creationId xmlns:a16="http://schemas.microsoft.com/office/drawing/2014/main" id="{00000000-0008-0000-0500-000031000000}"/>
            </a:ext>
          </a:extLst>
        </xdr:cNvPr>
        <xdr:cNvCxnSpPr>
          <a:cxnSpLocks noChangeShapeType="1"/>
          <a:stCxn id="40" idx="3"/>
          <a:endCxn id="3" idx="1"/>
        </xdr:cNvCxnSpPr>
      </xdr:nvCxnSpPr>
      <xdr:spPr bwMode="auto">
        <a:xfrm flipV="1">
          <a:off x="8301768" y="4308175"/>
          <a:ext cx="643293" cy="562952"/>
        </a:xfrm>
        <a:prstGeom prst="straightConnector1">
          <a:avLst/>
        </a:prstGeom>
        <a:noFill/>
        <a:ln w="9525">
          <a:solidFill>
            <a:srgbClr val="000000"/>
          </a:solidFill>
          <a:round/>
          <a:headEnd/>
          <a:tailEnd type="arrow" w="med" len="med"/>
        </a:ln>
      </xdr:spPr>
    </xdr:cxn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933596</xdr:colOff>
      <xdr:row>1</xdr:row>
      <xdr:rowOff>141336</xdr:rowOff>
    </xdr:from>
    <xdr:to>
      <xdr:col>6</xdr:col>
      <xdr:colOff>2636787</xdr:colOff>
      <xdr:row>16</xdr:row>
      <xdr:rowOff>82995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682925</xdr:colOff>
      <xdr:row>21</xdr:row>
      <xdr:rowOff>81995</xdr:rowOff>
    </xdr:from>
    <xdr:to>
      <xdr:col>10</xdr:col>
      <xdr:colOff>255598</xdr:colOff>
      <xdr:row>35</xdr:row>
      <xdr:rowOff>80545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659903</xdr:colOff>
      <xdr:row>59</xdr:row>
      <xdr:rowOff>111126</xdr:rowOff>
    </xdr:from>
    <xdr:to>
      <xdr:col>8</xdr:col>
      <xdr:colOff>732014</xdr:colOff>
      <xdr:row>73</xdr:row>
      <xdr:rowOff>122772</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1174750</xdr:colOff>
          <xdr:row>16</xdr:row>
          <xdr:rowOff>95250</xdr:rowOff>
        </xdr:from>
        <xdr:to>
          <xdr:col>7</xdr:col>
          <xdr:colOff>381000</xdr:colOff>
          <xdr:row>18</xdr:row>
          <xdr:rowOff>127000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200" b="0" i="0" u="none" strike="noStrike" baseline="0">
                  <a:solidFill>
                    <a:srgbClr val="000000"/>
                  </a:solidFill>
                  <a:latin typeface="Calibri"/>
                  <a:cs typeface="Calibri"/>
                </a:rPr>
                <a:t>Goal-seek Marketing Effects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244837</xdr:colOff>
      <xdr:row>64</xdr:row>
      <xdr:rowOff>9092</xdr:rowOff>
    </xdr:from>
    <xdr:to>
      <xdr:col>13</xdr:col>
      <xdr:colOff>303069</xdr:colOff>
      <xdr:row>77</xdr:row>
      <xdr:rowOff>167369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356410</xdr:colOff>
      <xdr:row>18</xdr:row>
      <xdr:rowOff>143030</xdr:rowOff>
    </xdr:from>
    <xdr:to>
      <xdr:col>23</xdr:col>
      <xdr:colOff>527518</xdr:colOff>
      <xdr:row>35</xdr:row>
      <xdr:rowOff>37592</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945160" y="3794280"/>
              <a:ext cx="6457608" cy="2713962"/>
            </a:xfrm>
            <a:prstGeom prst="rect">
              <a:avLst/>
            </a:prstGeom>
            <a:solidFill>
              <a:prstClr val="white"/>
            </a:solidFill>
            <a:ln w="1">
              <a:solidFill>
                <a:prstClr val="green"/>
              </a:solidFill>
            </a:ln>
          </xdr:spPr>
          <xdr:txBody>
            <a:bodyPr vertOverflow="clip" horzOverflow="clip"/>
            <a:lstStyle/>
            <a:p>
              <a:r>
                <a:rPr lang="en-SG"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3</xdr:col>
      <xdr:colOff>782495</xdr:colOff>
      <xdr:row>35</xdr:row>
      <xdr:rowOff>164065</xdr:rowOff>
    </xdr:from>
    <xdr:to>
      <xdr:col>10</xdr:col>
      <xdr:colOff>565619</xdr:colOff>
      <xdr:row>55</xdr:row>
      <xdr:rowOff>26396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783282</xdr:colOff>
      <xdr:row>34</xdr:row>
      <xdr:rowOff>86702</xdr:rowOff>
    </xdr:from>
    <xdr:to>
      <xdr:col>27</xdr:col>
      <xdr:colOff>452641</xdr:colOff>
      <xdr:row>54</xdr:row>
      <xdr:rowOff>138410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220057</xdr:colOff>
      <xdr:row>16</xdr:row>
      <xdr:rowOff>86197</xdr:rowOff>
    </xdr:from>
    <xdr:to>
      <xdr:col>3</xdr:col>
      <xdr:colOff>403490</xdr:colOff>
      <xdr:row>19</xdr:row>
      <xdr:rowOff>86196</xdr:rowOff>
    </xdr:to>
    <xdr:sp macro="" textlink="">
      <xdr:nvSpPr>
        <xdr:cNvPr id="2" name="AutoShape 1">
          <a:extLst>
            <a:ext uri="{FF2B5EF4-FFF2-40B4-BE49-F238E27FC236}">
              <a16:creationId xmlns:a16="http://schemas.microsoft.com/office/drawing/2014/main" id="{00000000-0008-0000-0D00-000002000000}"/>
            </a:ext>
          </a:extLst>
        </xdr:cNvPr>
        <xdr:cNvSpPr>
          <a:spLocks noChangeAspect="1" noChangeArrowheads="1"/>
        </xdr:cNvSpPr>
      </xdr:nvSpPr>
      <xdr:spPr bwMode="auto">
        <a:xfrm>
          <a:off x="220057" y="5515447"/>
          <a:ext cx="1034333" cy="495299"/>
        </a:xfrm>
        <a:prstGeom prst="roundRect">
          <a:avLst>
            <a:gd name="adj" fmla="val 16667"/>
          </a:avLst>
        </a:prstGeom>
        <a:solidFill>
          <a:srgbClr val="FF9999"/>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tx1"/>
              </a:solidFill>
              <a:latin typeface="Calibri"/>
              <a:ea typeface="+mn-ea"/>
              <a:cs typeface="Calibri"/>
            </a:rPr>
            <a:t>Profits</a:t>
          </a:r>
        </a:p>
      </xdr:txBody>
    </xdr:sp>
    <xdr:clientData/>
  </xdr:twoCellAnchor>
  <xdr:twoCellAnchor>
    <xdr:from>
      <xdr:col>0</xdr:col>
      <xdr:colOff>230048</xdr:colOff>
      <xdr:row>5</xdr:row>
      <xdr:rowOff>102870</xdr:rowOff>
    </xdr:from>
    <xdr:to>
      <xdr:col>3</xdr:col>
      <xdr:colOff>442896</xdr:colOff>
      <xdr:row>8</xdr:row>
      <xdr:rowOff>11318</xdr:rowOff>
    </xdr:to>
    <xdr:sp macro="" textlink="">
      <xdr:nvSpPr>
        <xdr:cNvPr id="3" name="AutoShape 4">
          <a:extLst>
            <a:ext uri="{FF2B5EF4-FFF2-40B4-BE49-F238E27FC236}">
              <a16:creationId xmlns:a16="http://schemas.microsoft.com/office/drawing/2014/main" id="{00000000-0008-0000-0D00-000003000000}"/>
            </a:ext>
          </a:extLst>
        </xdr:cNvPr>
        <xdr:cNvSpPr>
          <a:spLocks noChangeAspect="1" noChangeArrowheads="1"/>
        </xdr:cNvSpPr>
      </xdr:nvSpPr>
      <xdr:spPr bwMode="auto">
        <a:xfrm>
          <a:off x="230048" y="3646170"/>
          <a:ext cx="1063748" cy="473598"/>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Perfume</a:t>
          </a:r>
        </a:p>
        <a:p>
          <a:pPr algn="ctr" rtl="0">
            <a:defRPr sz="1000"/>
          </a:pPr>
          <a:r>
            <a:rPr lang="en-US" sz="1000" b="0" i="0" strike="noStrike">
              <a:solidFill>
                <a:sysClr val="windowText" lastClr="000000"/>
              </a:solidFill>
              <a:latin typeface="Calibri"/>
              <a:cs typeface="Calibri"/>
            </a:rPr>
            <a:t>Demand</a:t>
          </a:r>
        </a:p>
      </xdr:txBody>
    </xdr:sp>
    <xdr:clientData/>
  </xdr:twoCellAnchor>
  <xdr:twoCellAnchor>
    <xdr:from>
      <xdr:col>10</xdr:col>
      <xdr:colOff>351744</xdr:colOff>
      <xdr:row>6</xdr:row>
      <xdr:rowOff>136625</xdr:rowOff>
    </xdr:from>
    <xdr:to>
      <xdr:col>13</xdr:col>
      <xdr:colOff>3576</xdr:colOff>
      <xdr:row>9</xdr:row>
      <xdr:rowOff>78297</xdr:rowOff>
    </xdr:to>
    <xdr:sp macro="" textlink="">
      <xdr:nvSpPr>
        <xdr:cNvPr id="4" name="AutoShape 17">
          <a:extLst>
            <a:ext uri="{FF2B5EF4-FFF2-40B4-BE49-F238E27FC236}">
              <a16:creationId xmlns:a16="http://schemas.microsoft.com/office/drawing/2014/main" id="{00000000-0008-0000-0D00-000004000000}"/>
            </a:ext>
          </a:extLst>
        </xdr:cNvPr>
        <xdr:cNvSpPr>
          <a:spLocks noChangeAspect="1" noChangeArrowheads="1"/>
        </xdr:cNvSpPr>
      </xdr:nvSpPr>
      <xdr:spPr bwMode="auto">
        <a:xfrm>
          <a:off x="4593544" y="3845025"/>
          <a:ext cx="1010732" cy="506822"/>
        </a:xfrm>
        <a:prstGeom prst="roundRect">
          <a:avLst>
            <a:gd name="adj" fmla="val 16667"/>
          </a:avLst>
        </a:prstGeom>
        <a:solidFill>
          <a:schemeClr val="accent5">
            <a:lumMod val="20000"/>
            <a:lumOff val="8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tx1"/>
              </a:solidFill>
              <a:latin typeface="Calibri"/>
              <a:cs typeface="Calibri"/>
            </a:rPr>
            <a:t>Total </a:t>
          </a:r>
        </a:p>
        <a:p>
          <a:pPr algn="ctr" rtl="0">
            <a:defRPr sz="1000"/>
          </a:pPr>
          <a:r>
            <a:rPr lang="en-US" sz="1000" b="0" i="0" strike="noStrike">
              <a:solidFill>
                <a:schemeClr val="tx1"/>
              </a:solidFill>
              <a:latin typeface="Calibri"/>
              <a:cs typeface="Calibri"/>
            </a:rPr>
            <a:t>Revenue</a:t>
          </a:r>
        </a:p>
      </xdr:txBody>
    </xdr:sp>
    <xdr:clientData/>
  </xdr:twoCellAnchor>
  <xdr:twoCellAnchor>
    <xdr:from>
      <xdr:col>11</xdr:col>
      <xdr:colOff>284660</xdr:colOff>
      <xdr:row>18</xdr:row>
      <xdr:rowOff>29695</xdr:rowOff>
    </xdr:from>
    <xdr:to>
      <xdr:col>21</xdr:col>
      <xdr:colOff>23910</xdr:colOff>
      <xdr:row>23</xdr:row>
      <xdr:rowOff>29696</xdr:rowOff>
    </xdr:to>
    <xdr:cxnSp macro="">
      <xdr:nvCxnSpPr>
        <xdr:cNvPr id="5" name="AutoShape 21">
          <a:extLst>
            <a:ext uri="{FF2B5EF4-FFF2-40B4-BE49-F238E27FC236}">
              <a16:creationId xmlns:a16="http://schemas.microsoft.com/office/drawing/2014/main" id="{00000000-0008-0000-0D00-000005000000}"/>
            </a:ext>
          </a:extLst>
        </xdr:cNvPr>
        <xdr:cNvCxnSpPr>
          <a:cxnSpLocks noChangeShapeType="1"/>
        </xdr:cNvCxnSpPr>
      </xdr:nvCxnSpPr>
      <xdr:spPr bwMode="auto">
        <a:xfrm>
          <a:off x="5047160" y="5789145"/>
          <a:ext cx="3981050" cy="825501"/>
        </a:xfrm>
        <a:prstGeom prst="straightConnector1">
          <a:avLst/>
        </a:prstGeom>
        <a:noFill/>
        <a:ln w="9525">
          <a:solidFill>
            <a:srgbClr val="FFFFFF"/>
          </a:solidFill>
          <a:round/>
          <a:headEnd/>
          <a:tailEnd type="triangle" w="med" len="med"/>
        </a:ln>
      </xdr:spPr>
    </xdr:cxnSp>
    <xdr:clientData/>
  </xdr:twoCellAnchor>
  <xdr:twoCellAnchor>
    <xdr:from>
      <xdr:col>0</xdr:col>
      <xdr:colOff>227885</xdr:colOff>
      <xdr:row>2</xdr:row>
      <xdr:rowOff>95791</xdr:rowOff>
    </xdr:from>
    <xdr:to>
      <xdr:col>3</xdr:col>
      <xdr:colOff>493149</xdr:colOff>
      <xdr:row>5</xdr:row>
      <xdr:rowOff>4252</xdr:rowOff>
    </xdr:to>
    <xdr:sp macro="" textlink="">
      <xdr:nvSpPr>
        <xdr:cNvPr id="6" name="AutoShape 7">
          <a:extLst>
            <a:ext uri="{FF2B5EF4-FFF2-40B4-BE49-F238E27FC236}">
              <a16:creationId xmlns:a16="http://schemas.microsoft.com/office/drawing/2014/main" id="{00000000-0008-0000-0D00-000006000000}"/>
            </a:ext>
          </a:extLst>
        </xdr:cNvPr>
        <xdr:cNvSpPr>
          <a:spLocks noChangeAspect="1" noChangeArrowheads="1"/>
        </xdr:cNvSpPr>
      </xdr:nvSpPr>
      <xdr:spPr bwMode="auto">
        <a:xfrm>
          <a:off x="227885" y="3048541"/>
          <a:ext cx="1116164" cy="499011"/>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a:solidFill>
                <a:sysClr val="windowText" lastClr="000000"/>
              </a:solidFill>
              <a:effectLst/>
              <a:latin typeface="+mn-lt"/>
              <a:ea typeface="+mn-ea"/>
              <a:cs typeface="+mn-cs"/>
            </a:rPr>
            <a:t>Price Elasticity</a:t>
          </a:r>
          <a:endParaRPr lang="en-US" sz="1000" b="0" i="0" strike="noStrike" baseline="0">
            <a:solidFill>
              <a:sysClr val="windowText" lastClr="000000"/>
            </a:solidFill>
            <a:latin typeface="Calibri"/>
            <a:cs typeface="Calibri"/>
          </a:endParaRPr>
        </a:p>
      </xdr:txBody>
    </xdr:sp>
    <xdr:clientData/>
  </xdr:twoCellAnchor>
  <xdr:twoCellAnchor>
    <xdr:from>
      <xdr:col>0</xdr:col>
      <xdr:colOff>234423</xdr:colOff>
      <xdr:row>8</xdr:row>
      <xdr:rowOff>83307</xdr:rowOff>
    </xdr:from>
    <xdr:to>
      <xdr:col>3</xdr:col>
      <xdr:colOff>440470</xdr:colOff>
      <xdr:row>11</xdr:row>
      <xdr:rowOff>83308</xdr:rowOff>
    </xdr:to>
    <xdr:sp macro="" textlink="">
      <xdr:nvSpPr>
        <xdr:cNvPr id="7" name="AutoShape 4">
          <a:extLst>
            <a:ext uri="{FF2B5EF4-FFF2-40B4-BE49-F238E27FC236}">
              <a16:creationId xmlns:a16="http://schemas.microsoft.com/office/drawing/2014/main" id="{00000000-0008-0000-0D00-000007000000}"/>
            </a:ext>
          </a:extLst>
        </xdr:cNvPr>
        <xdr:cNvSpPr>
          <a:spLocks noChangeAspect="1" noChangeArrowheads="1"/>
        </xdr:cNvSpPr>
      </xdr:nvSpPr>
      <xdr:spPr bwMode="auto">
        <a:xfrm>
          <a:off x="234423" y="4191757"/>
          <a:ext cx="1056947" cy="495301"/>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Body</a:t>
          </a:r>
          <a:r>
            <a:rPr lang="en-US" sz="1000" b="0" i="0" strike="noStrike" baseline="0">
              <a:solidFill>
                <a:sysClr val="windowText" lastClr="000000"/>
              </a:solidFill>
              <a:latin typeface="Calibri"/>
              <a:cs typeface="Calibri"/>
            </a:rPr>
            <a:t>mist</a:t>
          </a:r>
          <a:endParaRPr lang="en-US" sz="1000" b="0" i="0" strike="noStrike">
            <a:solidFill>
              <a:sysClr val="windowText" lastClr="000000"/>
            </a:solidFill>
            <a:latin typeface="Calibri"/>
            <a:cs typeface="Calibri"/>
          </a:endParaRPr>
        </a:p>
        <a:p>
          <a:pPr algn="ctr" rtl="0">
            <a:defRPr sz="1000"/>
          </a:pPr>
          <a:r>
            <a:rPr lang="en-US" sz="1000" b="0" i="0" strike="noStrike">
              <a:solidFill>
                <a:sysClr val="windowText" lastClr="000000"/>
              </a:solidFill>
              <a:latin typeface="Calibri"/>
              <a:cs typeface="Calibri"/>
            </a:rPr>
            <a:t>Demand</a:t>
          </a:r>
        </a:p>
      </xdr:txBody>
    </xdr:sp>
    <xdr:clientData/>
  </xdr:twoCellAnchor>
  <xdr:twoCellAnchor>
    <xdr:from>
      <xdr:col>14</xdr:col>
      <xdr:colOff>35513</xdr:colOff>
      <xdr:row>2</xdr:row>
      <xdr:rowOff>60325</xdr:rowOff>
    </xdr:from>
    <xdr:to>
      <xdr:col>17</xdr:col>
      <xdr:colOff>25871</xdr:colOff>
      <xdr:row>4</xdr:row>
      <xdr:rowOff>183229</xdr:rowOff>
    </xdr:to>
    <xdr:sp macro="" textlink="">
      <xdr:nvSpPr>
        <xdr:cNvPr id="8" name="AutoShape 1">
          <a:extLst>
            <a:ext uri="{FF2B5EF4-FFF2-40B4-BE49-F238E27FC236}">
              <a16:creationId xmlns:a16="http://schemas.microsoft.com/office/drawing/2014/main" id="{00000000-0008-0000-0D00-000008000000}"/>
            </a:ext>
          </a:extLst>
        </xdr:cNvPr>
        <xdr:cNvSpPr>
          <a:spLocks noChangeAspect="1" noChangeArrowheads="1"/>
        </xdr:cNvSpPr>
      </xdr:nvSpPr>
      <xdr:spPr bwMode="auto">
        <a:xfrm>
          <a:off x="6156913" y="3013075"/>
          <a:ext cx="1349258" cy="516604"/>
        </a:xfrm>
        <a:prstGeom prst="roundRect">
          <a:avLst>
            <a:gd name="adj" fmla="val 16667"/>
          </a:avLst>
        </a:prstGeom>
        <a:solidFill>
          <a:schemeClr val="accent5">
            <a:lumMod val="20000"/>
            <a:lumOff val="8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Forecasted Demand</a:t>
          </a:r>
        </a:p>
      </xdr:txBody>
    </xdr:sp>
    <xdr:clientData/>
  </xdr:twoCellAnchor>
  <xdr:twoCellAnchor>
    <xdr:from>
      <xdr:col>17</xdr:col>
      <xdr:colOff>120241</xdr:colOff>
      <xdr:row>27</xdr:row>
      <xdr:rowOff>128633</xdr:rowOff>
    </xdr:from>
    <xdr:to>
      <xdr:col>19</xdr:col>
      <xdr:colOff>304048</xdr:colOff>
      <xdr:row>30</xdr:row>
      <xdr:rowOff>128633</xdr:rowOff>
    </xdr:to>
    <xdr:sp macro="" textlink="">
      <xdr:nvSpPr>
        <xdr:cNvPr id="9" name="AutoShape 1">
          <a:extLst>
            <a:ext uri="{FF2B5EF4-FFF2-40B4-BE49-F238E27FC236}">
              <a16:creationId xmlns:a16="http://schemas.microsoft.com/office/drawing/2014/main" id="{00000000-0008-0000-0D00-000009000000}"/>
            </a:ext>
          </a:extLst>
        </xdr:cNvPr>
        <xdr:cNvSpPr>
          <a:spLocks noChangeAspect="1" noChangeArrowheads="1"/>
        </xdr:cNvSpPr>
      </xdr:nvSpPr>
      <xdr:spPr bwMode="auto">
        <a:xfrm>
          <a:off x="7600541" y="7373983"/>
          <a:ext cx="1022007" cy="495300"/>
        </a:xfrm>
        <a:prstGeom prst="roundRect">
          <a:avLst>
            <a:gd name="adj" fmla="val 16667"/>
          </a:avLst>
        </a:prstGeom>
        <a:solidFill>
          <a:schemeClr val="accent5">
            <a:lumMod val="60000"/>
            <a:lumOff val="4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Profits</a:t>
          </a:r>
          <a:endParaRPr lang="en-US" sz="1000" b="0" i="0" strike="noStrike">
            <a:solidFill>
              <a:sysClr val="windowText" lastClr="000000"/>
            </a:solidFill>
            <a:latin typeface="Calibri"/>
            <a:cs typeface="Calibri"/>
          </a:endParaRPr>
        </a:p>
      </xdr:txBody>
    </xdr:sp>
    <xdr:clientData/>
  </xdr:twoCellAnchor>
  <xdr:twoCellAnchor>
    <xdr:from>
      <xdr:col>3</xdr:col>
      <xdr:colOff>442896</xdr:colOff>
      <xdr:row>6</xdr:row>
      <xdr:rowOff>176157</xdr:rowOff>
    </xdr:from>
    <xdr:to>
      <xdr:col>10</xdr:col>
      <xdr:colOff>351744</xdr:colOff>
      <xdr:row>7</xdr:row>
      <xdr:rowOff>147149</xdr:rowOff>
    </xdr:to>
    <xdr:cxnSp macro="">
      <xdr:nvCxnSpPr>
        <xdr:cNvPr id="10" name="AutoShape 18">
          <a:extLst>
            <a:ext uri="{FF2B5EF4-FFF2-40B4-BE49-F238E27FC236}">
              <a16:creationId xmlns:a16="http://schemas.microsoft.com/office/drawing/2014/main" id="{00000000-0008-0000-0D00-00000A000000}"/>
            </a:ext>
          </a:extLst>
        </xdr:cNvPr>
        <xdr:cNvCxnSpPr>
          <a:cxnSpLocks noChangeShapeType="1"/>
          <a:stCxn id="3" idx="3"/>
          <a:endCxn id="4" idx="1"/>
        </xdr:cNvCxnSpPr>
      </xdr:nvCxnSpPr>
      <xdr:spPr bwMode="auto">
        <a:xfrm>
          <a:off x="1293796" y="3884557"/>
          <a:ext cx="3299748" cy="205942"/>
        </a:xfrm>
        <a:prstGeom prst="straightConnector1">
          <a:avLst/>
        </a:prstGeom>
        <a:noFill/>
        <a:ln w="9525">
          <a:solidFill>
            <a:srgbClr val="000000"/>
          </a:solidFill>
          <a:round/>
          <a:headEnd/>
          <a:tailEnd type="arrow" w="med" len="med"/>
        </a:ln>
      </xdr:spPr>
    </xdr:cxnSp>
    <xdr:clientData/>
  </xdr:twoCellAnchor>
  <xdr:twoCellAnchor>
    <xdr:from>
      <xdr:col>3</xdr:col>
      <xdr:colOff>440470</xdr:colOff>
      <xdr:row>7</xdr:row>
      <xdr:rowOff>147149</xdr:rowOff>
    </xdr:from>
    <xdr:to>
      <xdr:col>10</xdr:col>
      <xdr:colOff>351744</xdr:colOff>
      <xdr:row>10</xdr:row>
      <xdr:rowOff>3933</xdr:rowOff>
    </xdr:to>
    <xdr:cxnSp macro="">
      <xdr:nvCxnSpPr>
        <xdr:cNvPr id="11" name="AutoShape 18">
          <a:extLst>
            <a:ext uri="{FF2B5EF4-FFF2-40B4-BE49-F238E27FC236}">
              <a16:creationId xmlns:a16="http://schemas.microsoft.com/office/drawing/2014/main" id="{00000000-0008-0000-0D00-00000B000000}"/>
            </a:ext>
          </a:extLst>
        </xdr:cNvPr>
        <xdr:cNvCxnSpPr>
          <a:cxnSpLocks noChangeShapeType="1"/>
          <a:stCxn id="7" idx="3"/>
          <a:endCxn id="4" idx="1"/>
        </xdr:cNvCxnSpPr>
      </xdr:nvCxnSpPr>
      <xdr:spPr bwMode="auto">
        <a:xfrm flipV="1">
          <a:off x="1291370" y="4090499"/>
          <a:ext cx="3302174" cy="352084"/>
        </a:xfrm>
        <a:prstGeom prst="straightConnector1">
          <a:avLst/>
        </a:prstGeom>
        <a:noFill/>
        <a:ln w="9525">
          <a:solidFill>
            <a:srgbClr val="000000"/>
          </a:solidFill>
          <a:round/>
          <a:headEnd/>
          <a:tailEnd type="arrow" w="med" len="med"/>
        </a:ln>
      </xdr:spPr>
    </xdr:cxnSp>
    <xdr:clientData/>
  </xdr:twoCellAnchor>
  <xdr:twoCellAnchor editAs="oneCell">
    <xdr:from>
      <xdr:col>28</xdr:col>
      <xdr:colOff>86179</xdr:colOff>
      <xdr:row>15</xdr:row>
      <xdr:rowOff>90715</xdr:rowOff>
    </xdr:from>
    <xdr:to>
      <xdr:col>29</xdr:col>
      <xdr:colOff>92529</xdr:colOff>
      <xdr:row>16</xdr:row>
      <xdr:rowOff>97064</xdr:rowOff>
    </xdr:to>
    <xdr:pic>
      <xdr:nvPicPr>
        <xdr:cNvPr id="12" name="Picture 11">
          <a:extLst>
            <a:ext uri="{FF2B5EF4-FFF2-40B4-BE49-F238E27FC236}">
              <a16:creationId xmlns:a16="http://schemas.microsoft.com/office/drawing/2014/main" id="{00000000-0008-0000-0D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67079" y="5354865"/>
          <a:ext cx="641350" cy="171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493149</xdr:colOff>
      <xdr:row>3</xdr:row>
      <xdr:rowOff>121777</xdr:rowOff>
    </xdr:from>
    <xdr:to>
      <xdr:col>14</xdr:col>
      <xdr:colOff>35513</xdr:colOff>
      <xdr:row>3</xdr:row>
      <xdr:rowOff>145272</xdr:rowOff>
    </xdr:to>
    <xdr:cxnSp macro="">
      <xdr:nvCxnSpPr>
        <xdr:cNvPr id="13" name="AutoShape 18">
          <a:extLst>
            <a:ext uri="{FF2B5EF4-FFF2-40B4-BE49-F238E27FC236}">
              <a16:creationId xmlns:a16="http://schemas.microsoft.com/office/drawing/2014/main" id="{00000000-0008-0000-0D00-00000D000000}"/>
            </a:ext>
          </a:extLst>
        </xdr:cNvPr>
        <xdr:cNvCxnSpPr>
          <a:cxnSpLocks noChangeShapeType="1"/>
          <a:stCxn id="6" idx="3"/>
          <a:endCxn id="8" idx="1"/>
        </xdr:cNvCxnSpPr>
      </xdr:nvCxnSpPr>
      <xdr:spPr bwMode="auto">
        <a:xfrm flipV="1">
          <a:off x="1344049" y="3271377"/>
          <a:ext cx="4812864" cy="23495"/>
        </a:xfrm>
        <a:prstGeom prst="straightConnector1">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442896</xdr:colOff>
      <xdr:row>3</xdr:row>
      <xdr:rowOff>121777</xdr:rowOff>
    </xdr:from>
    <xdr:to>
      <xdr:col>14</xdr:col>
      <xdr:colOff>35513</xdr:colOff>
      <xdr:row>6</xdr:row>
      <xdr:rowOff>176157</xdr:rowOff>
    </xdr:to>
    <xdr:cxnSp macro="">
      <xdr:nvCxnSpPr>
        <xdr:cNvPr id="14" name="AutoShape 14">
          <a:extLst>
            <a:ext uri="{FF2B5EF4-FFF2-40B4-BE49-F238E27FC236}">
              <a16:creationId xmlns:a16="http://schemas.microsoft.com/office/drawing/2014/main" id="{00000000-0008-0000-0D00-00000E000000}"/>
            </a:ext>
          </a:extLst>
        </xdr:cNvPr>
        <xdr:cNvCxnSpPr>
          <a:cxnSpLocks noChangeShapeType="1"/>
          <a:stCxn id="3" idx="3"/>
          <a:endCxn id="8" idx="1"/>
        </xdr:cNvCxnSpPr>
      </xdr:nvCxnSpPr>
      <xdr:spPr bwMode="auto">
        <a:xfrm flipV="1">
          <a:off x="1293796" y="3271377"/>
          <a:ext cx="4863117" cy="613180"/>
        </a:xfrm>
        <a:prstGeom prst="straightConnector1">
          <a:avLst/>
        </a:prstGeom>
        <a:noFill/>
        <a:ln w="9525">
          <a:solidFill>
            <a:srgbClr val="000000"/>
          </a:solidFill>
          <a:round/>
          <a:headEnd/>
          <a:tailEnd type="arrow" w="med" len="med"/>
        </a:ln>
      </xdr:spPr>
    </xdr:cxnSp>
    <xdr:clientData/>
  </xdr:twoCellAnchor>
  <xdr:twoCellAnchor>
    <xdr:from>
      <xdr:col>3</xdr:col>
      <xdr:colOff>440470</xdr:colOff>
      <xdr:row>3</xdr:row>
      <xdr:rowOff>121777</xdr:rowOff>
    </xdr:from>
    <xdr:to>
      <xdr:col>14</xdr:col>
      <xdr:colOff>35513</xdr:colOff>
      <xdr:row>10</xdr:row>
      <xdr:rowOff>3933</xdr:rowOff>
    </xdr:to>
    <xdr:cxnSp macro="">
      <xdr:nvCxnSpPr>
        <xdr:cNvPr id="15" name="AutoShape 14">
          <a:extLst>
            <a:ext uri="{FF2B5EF4-FFF2-40B4-BE49-F238E27FC236}">
              <a16:creationId xmlns:a16="http://schemas.microsoft.com/office/drawing/2014/main" id="{00000000-0008-0000-0D00-00000F000000}"/>
            </a:ext>
          </a:extLst>
        </xdr:cNvPr>
        <xdr:cNvCxnSpPr>
          <a:cxnSpLocks noChangeShapeType="1"/>
          <a:stCxn id="7" idx="3"/>
          <a:endCxn id="8" idx="1"/>
        </xdr:cNvCxnSpPr>
      </xdr:nvCxnSpPr>
      <xdr:spPr bwMode="auto">
        <a:xfrm flipV="1">
          <a:off x="1291370" y="3271377"/>
          <a:ext cx="4865543" cy="1171206"/>
        </a:xfrm>
        <a:prstGeom prst="straightConnector1">
          <a:avLst/>
        </a:prstGeom>
        <a:noFill/>
        <a:ln w="9525">
          <a:solidFill>
            <a:srgbClr val="000000"/>
          </a:solidFill>
          <a:round/>
          <a:headEnd/>
          <a:tailEnd type="arrow" w="med" len="med"/>
        </a:ln>
      </xdr:spPr>
    </xdr:cxnSp>
    <xdr:clientData/>
  </xdr:twoCellAnchor>
  <xdr:twoCellAnchor>
    <xdr:from>
      <xdr:col>26</xdr:col>
      <xdr:colOff>19050</xdr:colOff>
      <xdr:row>18</xdr:row>
      <xdr:rowOff>149225</xdr:rowOff>
    </xdr:from>
    <xdr:to>
      <xdr:col>27</xdr:col>
      <xdr:colOff>409232</xdr:colOff>
      <xdr:row>21</xdr:row>
      <xdr:rowOff>149224</xdr:rowOff>
    </xdr:to>
    <xdr:sp macro="" textlink="">
      <xdr:nvSpPr>
        <xdr:cNvPr id="16" name="AutoShape 1">
          <a:extLst>
            <a:ext uri="{FF2B5EF4-FFF2-40B4-BE49-F238E27FC236}">
              <a16:creationId xmlns:a16="http://schemas.microsoft.com/office/drawing/2014/main" id="{00000000-0008-0000-0D00-000010000000}"/>
            </a:ext>
          </a:extLst>
        </xdr:cNvPr>
        <xdr:cNvSpPr>
          <a:spLocks noChangeAspect="1" noChangeArrowheads="1"/>
        </xdr:cNvSpPr>
      </xdr:nvSpPr>
      <xdr:spPr bwMode="auto">
        <a:xfrm>
          <a:off x="11029950" y="5908675"/>
          <a:ext cx="1025182" cy="495299"/>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chemeClr val="bg1"/>
              </a:solidFill>
              <a:latin typeface="Calibri"/>
              <a:cs typeface="Calibri"/>
            </a:rPr>
            <a:t>Average Forecasted CAGR</a:t>
          </a:r>
          <a:endParaRPr lang="en-US" sz="1000" b="0" i="0" strike="noStrike">
            <a:solidFill>
              <a:schemeClr val="bg1"/>
            </a:solidFill>
            <a:latin typeface="Calibri"/>
            <a:cs typeface="Calibri"/>
          </a:endParaRPr>
        </a:p>
      </xdr:txBody>
    </xdr:sp>
    <xdr:clientData/>
  </xdr:twoCellAnchor>
  <xdr:twoCellAnchor>
    <xdr:from>
      <xdr:col>23</xdr:col>
      <xdr:colOff>79375</xdr:colOff>
      <xdr:row>8</xdr:row>
      <xdr:rowOff>120650</xdr:rowOff>
    </xdr:from>
    <xdr:to>
      <xdr:col>24</xdr:col>
      <xdr:colOff>482257</xdr:colOff>
      <xdr:row>11</xdr:row>
      <xdr:rowOff>120649</xdr:rowOff>
    </xdr:to>
    <xdr:sp macro="" textlink="">
      <xdr:nvSpPr>
        <xdr:cNvPr id="17" name="AutoShape 1">
          <a:extLst>
            <a:ext uri="{FF2B5EF4-FFF2-40B4-BE49-F238E27FC236}">
              <a16:creationId xmlns:a16="http://schemas.microsoft.com/office/drawing/2014/main" id="{00000000-0008-0000-0D00-000011000000}"/>
            </a:ext>
          </a:extLst>
        </xdr:cNvPr>
        <xdr:cNvSpPr>
          <a:spLocks noChangeAspect="1" noChangeArrowheads="1"/>
        </xdr:cNvSpPr>
      </xdr:nvSpPr>
      <xdr:spPr bwMode="auto">
        <a:xfrm>
          <a:off x="9185275" y="4229100"/>
          <a:ext cx="1037882" cy="495299"/>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chemeClr val="bg1"/>
              </a:solidFill>
              <a:latin typeface="Calibri"/>
              <a:cs typeface="Calibri"/>
            </a:rPr>
            <a:t>Forecasted CAGR</a:t>
          </a:r>
          <a:endParaRPr lang="en-US" sz="1000" b="0" i="0" strike="noStrike">
            <a:solidFill>
              <a:schemeClr val="bg1"/>
            </a:solidFill>
            <a:latin typeface="Calibri"/>
            <a:cs typeface="Calibri"/>
          </a:endParaRPr>
        </a:p>
      </xdr:txBody>
    </xdr:sp>
    <xdr:clientData/>
  </xdr:twoCellAnchor>
  <xdr:twoCellAnchor>
    <xdr:from>
      <xdr:col>14</xdr:col>
      <xdr:colOff>207584</xdr:colOff>
      <xdr:row>22</xdr:row>
      <xdr:rowOff>83105</xdr:rowOff>
    </xdr:from>
    <xdr:to>
      <xdr:col>16</xdr:col>
      <xdr:colOff>404091</xdr:colOff>
      <xdr:row>25</xdr:row>
      <xdr:rowOff>83104</xdr:rowOff>
    </xdr:to>
    <xdr:sp macro="" textlink="">
      <xdr:nvSpPr>
        <xdr:cNvPr id="18" name="AutoShape 1">
          <a:extLst>
            <a:ext uri="{FF2B5EF4-FFF2-40B4-BE49-F238E27FC236}">
              <a16:creationId xmlns:a16="http://schemas.microsoft.com/office/drawing/2014/main" id="{00000000-0008-0000-0D00-000012000000}"/>
            </a:ext>
          </a:extLst>
        </xdr:cNvPr>
        <xdr:cNvSpPr>
          <a:spLocks noChangeAspect="1" noChangeArrowheads="1"/>
        </xdr:cNvSpPr>
      </xdr:nvSpPr>
      <xdr:spPr bwMode="auto">
        <a:xfrm>
          <a:off x="6328984" y="6502955"/>
          <a:ext cx="1034707" cy="495299"/>
        </a:xfrm>
        <a:prstGeom prst="roundRect">
          <a:avLst>
            <a:gd name="adj" fmla="val 16667"/>
          </a:avLst>
        </a:prstGeom>
        <a:solidFill>
          <a:schemeClr val="accent5">
            <a:lumMod val="60000"/>
            <a:lumOff val="4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Costs</a:t>
          </a:r>
          <a:endParaRPr lang="en-US" sz="1000" b="0" i="0" strike="noStrike">
            <a:solidFill>
              <a:sysClr val="windowText" lastClr="000000"/>
            </a:solidFill>
            <a:latin typeface="Calibri"/>
            <a:cs typeface="Calibri"/>
          </a:endParaRPr>
        </a:p>
      </xdr:txBody>
    </xdr:sp>
    <xdr:clientData/>
  </xdr:twoCellAnchor>
  <xdr:twoCellAnchor>
    <xdr:from>
      <xdr:col>15</xdr:col>
      <xdr:colOff>395817</xdr:colOff>
      <xdr:row>4</xdr:row>
      <xdr:rowOff>183229</xdr:rowOff>
    </xdr:from>
    <xdr:to>
      <xdr:col>15</xdr:col>
      <xdr:colOff>409025</xdr:colOff>
      <xdr:row>22</xdr:row>
      <xdr:rowOff>83105</xdr:rowOff>
    </xdr:to>
    <xdr:cxnSp macro="">
      <xdr:nvCxnSpPr>
        <xdr:cNvPr id="19" name="AutoShape 18">
          <a:extLst>
            <a:ext uri="{FF2B5EF4-FFF2-40B4-BE49-F238E27FC236}">
              <a16:creationId xmlns:a16="http://schemas.microsoft.com/office/drawing/2014/main" id="{00000000-0008-0000-0D00-000013000000}"/>
            </a:ext>
          </a:extLst>
        </xdr:cNvPr>
        <xdr:cNvCxnSpPr>
          <a:cxnSpLocks noChangeShapeType="1"/>
          <a:stCxn id="8" idx="2"/>
          <a:endCxn id="18" idx="0"/>
        </xdr:cNvCxnSpPr>
      </xdr:nvCxnSpPr>
      <xdr:spPr bwMode="auto">
        <a:xfrm>
          <a:off x="6834717" y="3529679"/>
          <a:ext cx="13208" cy="2973276"/>
        </a:xfrm>
        <a:prstGeom prst="straightConnector1">
          <a:avLst/>
        </a:prstGeom>
        <a:noFill/>
        <a:ln w="9525">
          <a:solidFill>
            <a:srgbClr val="000000"/>
          </a:solidFill>
          <a:round/>
          <a:headEnd/>
          <a:tailEnd type="arrow" w="med" len="med"/>
        </a:ln>
      </xdr:spPr>
    </xdr:cxnSp>
    <xdr:clientData/>
  </xdr:twoCellAnchor>
  <xdr:twoCellAnchor>
    <xdr:from>
      <xdr:col>3</xdr:col>
      <xdr:colOff>413832</xdr:colOff>
      <xdr:row>13</xdr:row>
      <xdr:rowOff>153399</xdr:rowOff>
    </xdr:from>
    <xdr:to>
      <xdr:col>14</xdr:col>
      <xdr:colOff>207584</xdr:colOff>
      <xdr:row>24</xdr:row>
      <xdr:rowOff>3730</xdr:rowOff>
    </xdr:to>
    <xdr:cxnSp macro="">
      <xdr:nvCxnSpPr>
        <xdr:cNvPr id="20" name="AutoShape 18">
          <a:extLst>
            <a:ext uri="{FF2B5EF4-FFF2-40B4-BE49-F238E27FC236}">
              <a16:creationId xmlns:a16="http://schemas.microsoft.com/office/drawing/2014/main" id="{00000000-0008-0000-0D00-000014000000}"/>
            </a:ext>
          </a:extLst>
        </xdr:cNvPr>
        <xdr:cNvCxnSpPr>
          <a:cxnSpLocks noChangeShapeType="1"/>
          <a:stCxn id="49" idx="3"/>
          <a:endCxn id="18" idx="1"/>
        </xdr:cNvCxnSpPr>
      </xdr:nvCxnSpPr>
      <xdr:spPr bwMode="auto">
        <a:xfrm>
          <a:off x="1264732" y="5087349"/>
          <a:ext cx="5064252" cy="1666431"/>
        </a:xfrm>
        <a:prstGeom prst="straightConnector1">
          <a:avLst/>
        </a:prstGeom>
        <a:noFill/>
        <a:ln w="9525">
          <a:solidFill>
            <a:srgbClr val="000000"/>
          </a:solidFill>
          <a:round/>
          <a:headEnd/>
          <a:tailEnd type="arrow" w="med" len="med"/>
        </a:ln>
      </xdr:spPr>
    </xdr:cxnSp>
    <xdr:clientData/>
  </xdr:twoCellAnchor>
  <xdr:twoCellAnchor>
    <xdr:from>
      <xdr:col>17</xdr:col>
      <xdr:colOff>127101</xdr:colOff>
      <xdr:row>6</xdr:row>
      <xdr:rowOff>162077</xdr:rowOff>
    </xdr:from>
    <xdr:to>
      <xdr:col>19</xdr:col>
      <xdr:colOff>313528</xdr:colOff>
      <xdr:row>9</xdr:row>
      <xdr:rowOff>82700</xdr:rowOff>
    </xdr:to>
    <xdr:sp macro="" textlink="">
      <xdr:nvSpPr>
        <xdr:cNvPr id="21" name="AutoShape 1">
          <a:extLst>
            <a:ext uri="{FF2B5EF4-FFF2-40B4-BE49-F238E27FC236}">
              <a16:creationId xmlns:a16="http://schemas.microsoft.com/office/drawing/2014/main" id="{00000000-0008-0000-0D00-000015000000}"/>
            </a:ext>
          </a:extLst>
        </xdr:cNvPr>
        <xdr:cNvSpPr>
          <a:spLocks noChangeAspect="1" noChangeArrowheads="1"/>
        </xdr:cNvSpPr>
      </xdr:nvSpPr>
      <xdr:spPr bwMode="auto">
        <a:xfrm>
          <a:off x="7607401" y="3870477"/>
          <a:ext cx="1024627" cy="485773"/>
        </a:xfrm>
        <a:prstGeom prst="roundRect">
          <a:avLst>
            <a:gd name="adj" fmla="val 16667"/>
          </a:avLst>
        </a:prstGeom>
        <a:solidFill>
          <a:schemeClr val="accent5">
            <a:lumMod val="60000"/>
            <a:lumOff val="4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Forecasted Revenue</a:t>
          </a:r>
          <a:endParaRPr lang="en-US" sz="1000" b="0" i="0" strike="noStrike">
            <a:solidFill>
              <a:sysClr val="windowText" lastClr="000000"/>
            </a:solidFill>
            <a:latin typeface="Calibri"/>
            <a:cs typeface="Calibri"/>
          </a:endParaRPr>
        </a:p>
      </xdr:txBody>
    </xdr:sp>
    <xdr:clientData/>
  </xdr:twoCellAnchor>
  <xdr:twoCellAnchor>
    <xdr:from>
      <xdr:col>15</xdr:col>
      <xdr:colOff>395817</xdr:colOff>
      <xdr:row>4</xdr:row>
      <xdr:rowOff>183229</xdr:rowOff>
    </xdr:from>
    <xdr:to>
      <xdr:col>17</xdr:col>
      <xdr:colOff>127101</xdr:colOff>
      <xdr:row>8</xdr:row>
      <xdr:rowOff>3326</xdr:rowOff>
    </xdr:to>
    <xdr:cxnSp macro="">
      <xdr:nvCxnSpPr>
        <xdr:cNvPr id="22" name="AutoShape 14">
          <a:extLst>
            <a:ext uri="{FF2B5EF4-FFF2-40B4-BE49-F238E27FC236}">
              <a16:creationId xmlns:a16="http://schemas.microsoft.com/office/drawing/2014/main" id="{00000000-0008-0000-0D00-000016000000}"/>
            </a:ext>
          </a:extLst>
        </xdr:cNvPr>
        <xdr:cNvCxnSpPr>
          <a:cxnSpLocks noChangeShapeType="1"/>
          <a:stCxn id="8" idx="2"/>
          <a:endCxn id="21" idx="1"/>
        </xdr:cNvCxnSpPr>
      </xdr:nvCxnSpPr>
      <xdr:spPr bwMode="auto">
        <a:xfrm>
          <a:off x="6834717" y="3529679"/>
          <a:ext cx="772684" cy="582097"/>
        </a:xfrm>
        <a:prstGeom prst="straightConnector1">
          <a:avLst/>
        </a:prstGeom>
        <a:noFill/>
        <a:ln w="9525">
          <a:solidFill>
            <a:srgbClr val="000000"/>
          </a:solidFill>
          <a:round/>
          <a:headEnd/>
          <a:tailEnd type="arrow" w="med" len="med"/>
        </a:ln>
      </xdr:spPr>
    </xdr:cxnSp>
    <xdr:clientData/>
  </xdr:twoCellAnchor>
  <xdr:twoCellAnchor>
    <xdr:from>
      <xdr:col>18</xdr:col>
      <xdr:colOff>315332</xdr:colOff>
      <xdr:row>9</xdr:row>
      <xdr:rowOff>82700</xdr:rowOff>
    </xdr:from>
    <xdr:to>
      <xdr:col>18</xdr:col>
      <xdr:colOff>323502</xdr:colOff>
      <xdr:row>27</xdr:row>
      <xdr:rowOff>128633</xdr:rowOff>
    </xdr:to>
    <xdr:cxnSp macro="">
      <xdr:nvCxnSpPr>
        <xdr:cNvPr id="23" name="AutoShape 14">
          <a:extLst>
            <a:ext uri="{FF2B5EF4-FFF2-40B4-BE49-F238E27FC236}">
              <a16:creationId xmlns:a16="http://schemas.microsoft.com/office/drawing/2014/main" id="{00000000-0008-0000-0D00-000017000000}"/>
            </a:ext>
          </a:extLst>
        </xdr:cNvPr>
        <xdr:cNvCxnSpPr>
          <a:cxnSpLocks noChangeShapeType="1"/>
          <a:stCxn id="21" idx="2"/>
          <a:endCxn id="9" idx="0"/>
        </xdr:cNvCxnSpPr>
      </xdr:nvCxnSpPr>
      <xdr:spPr bwMode="auto">
        <a:xfrm flipH="1">
          <a:off x="8113132" y="4356250"/>
          <a:ext cx="8170" cy="3017733"/>
        </a:xfrm>
        <a:prstGeom prst="straightConnector1">
          <a:avLst/>
        </a:prstGeom>
        <a:noFill/>
        <a:ln w="9525">
          <a:solidFill>
            <a:srgbClr val="000000"/>
          </a:solidFill>
          <a:round/>
          <a:headEnd/>
          <a:tailEnd type="arrow" w="med" len="med"/>
        </a:ln>
      </xdr:spPr>
    </xdr:cxnSp>
    <xdr:clientData/>
  </xdr:twoCellAnchor>
  <xdr:twoCellAnchor>
    <xdr:from>
      <xdr:col>16</xdr:col>
      <xdr:colOff>404091</xdr:colOff>
      <xdr:row>24</xdr:row>
      <xdr:rowOff>3730</xdr:rowOff>
    </xdr:from>
    <xdr:to>
      <xdr:col>18</xdr:col>
      <xdr:colOff>315332</xdr:colOff>
      <xdr:row>27</xdr:row>
      <xdr:rowOff>128633</xdr:rowOff>
    </xdr:to>
    <xdr:cxnSp macro="">
      <xdr:nvCxnSpPr>
        <xdr:cNvPr id="24" name="AutoShape 14">
          <a:extLst>
            <a:ext uri="{FF2B5EF4-FFF2-40B4-BE49-F238E27FC236}">
              <a16:creationId xmlns:a16="http://schemas.microsoft.com/office/drawing/2014/main" id="{00000000-0008-0000-0D00-000018000000}"/>
            </a:ext>
          </a:extLst>
        </xdr:cNvPr>
        <xdr:cNvCxnSpPr>
          <a:cxnSpLocks noChangeShapeType="1"/>
          <a:stCxn id="18" idx="3"/>
          <a:endCxn id="9" idx="0"/>
        </xdr:cNvCxnSpPr>
      </xdr:nvCxnSpPr>
      <xdr:spPr bwMode="auto">
        <a:xfrm>
          <a:off x="7363691" y="6753780"/>
          <a:ext cx="749441" cy="620203"/>
        </a:xfrm>
        <a:prstGeom prst="straightConnector1">
          <a:avLst/>
        </a:prstGeom>
        <a:noFill/>
        <a:ln w="9525">
          <a:solidFill>
            <a:srgbClr val="000000"/>
          </a:solidFill>
          <a:round/>
          <a:headEnd/>
          <a:tailEnd type="arrow" w="med" len="med"/>
        </a:ln>
      </xdr:spPr>
    </xdr:cxnSp>
    <xdr:clientData/>
  </xdr:twoCellAnchor>
  <xdr:twoCellAnchor>
    <xdr:from>
      <xdr:col>0</xdr:col>
      <xdr:colOff>215900</xdr:colOff>
      <xdr:row>27</xdr:row>
      <xdr:rowOff>111125</xdr:rowOff>
    </xdr:from>
    <xdr:to>
      <xdr:col>3</xdr:col>
      <xdr:colOff>396547</xdr:colOff>
      <xdr:row>31</xdr:row>
      <xdr:rowOff>79375</xdr:rowOff>
    </xdr:to>
    <xdr:sp macro="" textlink="">
      <xdr:nvSpPr>
        <xdr:cNvPr id="25" name="AutoShape 4">
          <a:extLst>
            <a:ext uri="{FF2B5EF4-FFF2-40B4-BE49-F238E27FC236}">
              <a16:creationId xmlns:a16="http://schemas.microsoft.com/office/drawing/2014/main" id="{00000000-0008-0000-0D00-000019000000}"/>
            </a:ext>
          </a:extLst>
        </xdr:cNvPr>
        <xdr:cNvSpPr>
          <a:spLocks noChangeAspect="1" noChangeArrowheads="1"/>
        </xdr:cNvSpPr>
      </xdr:nvSpPr>
      <xdr:spPr bwMode="auto">
        <a:xfrm>
          <a:off x="215900" y="7356475"/>
          <a:ext cx="1031547" cy="628650"/>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rgbClr val="993366"/>
              </a:solidFill>
              <a:latin typeface="Calibri"/>
              <a:ea typeface="+mn-ea"/>
              <a:cs typeface="Calibri"/>
            </a:rPr>
            <a:t>Current Company</a:t>
          </a:r>
          <a:r>
            <a:rPr lang="en-US" sz="1000" b="0" i="0" strike="noStrike" baseline="0">
              <a:solidFill>
                <a:sysClr val="windowText" lastClr="000000"/>
              </a:solidFill>
              <a:latin typeface="Calibri"/>
              <a:cs typeface="Calibri"/>
            </a:rPr>
            <a:t> </a:t>
          </a:r>
          <a:r>
            <a:rPr lang="en-US" sz="1000" b="0" i="0" strike="noStrike" baseline="0">
              <a:solidFill>
                <a:srgbClr val="993366"/>
              </a:solidFill>
              <a:latin typeface="Calibri"/>
              <a:ea typeface="+mn-ea"/>
              <a:cs typeface="Calibri"/>
            </a:rPr>
            <a:t>Valuation</a:t>
          </a:r>
        </a:p>
      </xdr:txBody>
    </xdr:sp>
    <xdr:clientData/>
  </xdr:twoCellAnchor>
  <xdr:twoCellAnchor>
    <xdr:from>
      <xdr:col>22</xdr:col>
      <xdr:colOff>42938</xdr:colOff>
      <xdr:row>30</xdr:row>
      <xdr:rowOff>102961</xdr:rowOff>
    </xdr:from>
    <xdr:to>
      <xdr:col>24</xdr:col>
      <xdr:colOff>617613</xdr:colOff>
      <xdr:row>34</xdr:row>
      <xdr:rowOff>49812</xdr:rowOff>
    </xdr:to>
    <xdr:sp macro="" textlink="">
      <xdr:nvSpPr>
        <xdr:cNvPr id="26" name="AutoShape 1">
          <a:extLst>
            <a:ext uri="{FF2B5EF4-FFF2-40B4-BE49-F238E27FC236}">
              <a16:creationId xmlns:a16="http://schemas.microsoft.com/office/drawing/2014/main" id="{00000000-0008-0000-0D00-00001A000000}"/>
            </a:ext>
          </a:extLst>
        </xdr:cNvPr>
        <xdr:cNvSpPr>
          <a:spLocks noChangeAspect="1" noChangeArrowheads="1"/>
        </xdr:cNvSpPr>
      </xdr:nvSpPr>
      <xdr:spPr bwMode="auto">
        <a:xfrm>
          <a:off x="9098038" y="7843611"/>
          <a:ext cx="1260475" cy="607251"/>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chemeClr val="bg1"/>
              </a:solidFill>
              <a:latin typeface="Calibri"/>
              <a:cs typeface="Calibri"/>
            </a:rPr>
            <a:t>Forecasted Company Valuation in 2028</a:t>
          </a:r>
          <a:endParaRPr lang="en-US" sz="1000" b="0" i="0" strike="noStrike">
            <a:solidFill>
              <a:schemeClr val="bg1"/>
            </a:solidFill>
            <a:latin typeface="Calibri"/>
            <a:cs typeface="Calibri"/>
          </a:endParaRPr>
        </a:p>
      </xdr:txBody>
    </xdr:sp>
    <xdr:clientData/>
  </xdr:twoCellAnchor>
  <xdr:twoCellAnchor>
    <xdr:from>
      <xdr:col>19</xdr:col>
      <xdr:colOff>313528</xdr:colOff>
      <xdr:row>8</xdr:row>
      <xdr:rowOff>3326</xdr:rowOff>
    </xdr:from>
    <xdr:to>
      <xdr:col>23</xdr:col>
      <xdr:colOff>79375</xdr:colOff>
      <xdr:row>10</xdr:row>
      <xdr:rowOff>41275</xdr:rowOff>
    </xdr:to>
    <xdr:cxnSp macro="">
      <xdr:nvCxnSpPr>
        <xdr:cNvPr id="27" name="AutoShape 14">
          <a:extLst>
            <a:ext uri="{FF2B5EF4-FFF2-40B4-BE49-F238E27FC236}">
              <a16:creationId xmlns:a16="http://schemas.microsoft.com/office/drawing/2014/main" id="{00000000-0008-0000-0D00-00001B000000}"/>
            </a:ext>
          </a:extLst>
        </xdr:cNvPr>
        <xdr:cNvCxnSpPr>
          <a:cxnSpLocks noChangeShapeType="1"/>
          <a:stCxn id="21" idx="3"/>
          <a:endCxn id="17" idx="1"/>
        </xdr:cNvCxnSpPr>
      </xdr:nvCxnSpPr>
      <xdr:spPr bwMode="auto">
        <a:xfrm>
          <a:off x="8632028" y="4111776"/>
          <a:ext cx="553247" cy="368149"/>
        </a:xfrm>
        <a:prstGeom prst="straightConnector1">
          <a:avLst/>
        </a:prstGeom>
        <a:noFill/>
        <a:ln w="9525">
          <a:solidFill>
            <a:srgbClr val="000000"/>
          </a:solidFill>
          <a:round/>
          <a:headEnd/>
          <a:tailEnd type="arrow" w="med" len="med"/>
        </a:ln>
      </xdr:spPr>
    </xdr:cxnSp>
    <xdr:clientData/>
  </xdr:twoCellAnchor>
  <xdr:twoCellAnchor>
    <xdr:from>
      <xdr:col>3</xdr:col>
      <xdr:colOff>396547</xdr:colOff>
      <xdr:row>29</xdr:row>
      <xdr:rowOff>95250</xdr:rowOff>
    </xdr:from>
    <xdr:to>
      <xdr:col>22</xdr:col>
      <xdr:colOff>42938</xdr:colOff>
      <xdr:row>32</xdr:row>
      <xdr:rowOff>76387</xdr:rowOff>
    </xdr:to>
    <xdr:cxnSp macro="">
      <xdr:nvCxnSpPr>
        <xdr:cNvPr id="28" name="AutoShape 14">
          <a:extLst>
            <a:ext uri="{FF2B5EF4-FFF2-40B4-BE49-F238E27FC236}">
              <a16:creationId xmlns:a16="http://schemas.microsoft.com/office/drawing/2014/main" id="{00000000-0008-0000-0D00-00001C000000}"/>
            </a:ext>
          </a:extLst>
        </xdr:cNvPr>
        <xdr:cNvCxnSpPr>
          <a:cxnSpLocks noChangeShapeType="1"/>
          <a:stCxn id="25" idx="3"/>
          <a:endCxn id="26" idx="1"/>
        </xdr:cNvCxnSpPr>
      </xdr:nvCxnSpPr>
      <xdr:spPr bwMode="auto">
        <a:xfrm>
          <a:off x="1247447" y="7670800"/>
          <a:ext cx="7850591" cy="476437"/>
        </a:xfrm>
        <a:prstGeom prst="straightConnector1">
          <a:avLst/>
        </a:prstGeom>
        <a:noFill/>
        <a:ln w="9525">
          <a:solidFill>
            <a:srgbClr val="000000"/>
          </a:solidFill>
          <a:round/>
          <a:headEnd/>
          <a:tailEnd type="arrow" w="med" len="med"/>
        </a:ln>
      </xdr:spPr>
    </xdr:cxnSp>
    <xdr:clientData/>
  </xdr:twoCellAnchor>
  <xdr:twoCellAnchor>
    <xdr:from>
      <xdr:col>23</xdr:col>
      <xdr:colOff>598316</xdr:colOff>
      <xdr:row>11</xdr:row>
      <xdr:rowOff>120649</xdr:rowOff>
    </xdr:from>
    <xdr:to>
      <xdr:col>23</xdr:col>
      <xdr:colOff>623963</xdr:colOff>
      <xdr:row>30</xdr:row>
      <xdr:rowOff>102961</xdr:rowOff>
    </xdr:to>
    <xdr:cxnSp macro="">
      <xdr:nvCxnSpPr>
        <xdr:cNvPr id="29" name="AutoShape 14">
          <a:extLst>
            <a:ext uri="{FF2B5EF4-FFF2-40B4-BE49-F238E27FC236}">
              <a16:creationId xmlns:a16="http://schemas.microsoft.com/office/drawing/2014/main" id="{00000000-0008-0000-0D00-00001D000000}"/>
            </a:ext>
          </a:extLst>
        </xdr:cNvPr>
        <xdr:cNvCxnSpPr>
          <a:cxnSpLocks noChangeShapeType="1"/>
          <a:stCxn id="17" idx="2"/>
          <a:endCxn id="26" idx="0"/>
        </xdr:cNvCxnSpPr>
      </xdr:nvCxnSpPr>
      <xdr:spPr bwMode="auto">
        <a:xfrm>
          <a:off x="9704216" y="4724399"/>
          <a:ext cx="25647" cy="3119212"/>
        </a:xfrm>
        <a:prstGeom prst="straightConnector1">
          <a:avLst/>
        </a:prstGeom>
        <a:noFill/>
        <a:ln w="9525">
          <a:solidFill>
            <a:srgbClr val="000000"/>
          </a:solidFill>
          <a:round/>
          <a:headEnd/>
          <a:tailEnd type="arrow" w="med" len="med"/>
        </a:ln>
      </xdr:spPr>
    </xdr:cxnSp>
    <xdr:clientData/>
  </xdr:twoCellAnchor>
  <xdr:twoCellAnchor>
    <xdr:from>
      <xdr:col>26</xdr:col>
      <xdr:colOff>19050</xdr:colOff>
      <xdr:row>24</xdr:row>
      <xdr:rowOff>152400</xdr:rowOff>
    </xdr:from>
    <xdr:to>
      <xdr:col>27</xdr:col>
      <xdr:colOff>409232</xdr:colOff>
      <xdr:row>30</xdr:row>
      <xdr:rowOff>6349</xdr:rowOff>
    </xdr:to>
    <xdr:sp macro="" textlink="">
      <xdr:nvSpPr>
        <xdr:cNvPr id="30" name="AutoShape 1">
          <a:extLst>
            <a:ext uri="{FF2B5EF4-FFF2-40B4-BE49-F238E27FC236}">
              <a16:creationId xmlns:a16="http://schemas.microsoft.com/office/drawing/2014/main" id="{00000000-0008-0000-0D00-00001E000000}"/>
            </a:ext>
          </a:extLst>
        </xdr:cNvPr>
        <xdr:cNvSpPr>
          <a:spLocks noChangeAspect="1" noChangeArrowheads="1"/>
        </xdr:cNvSpPr>
      </xdr:nvSpPr>
      <xdr:spPr bwMode="auto">
        <a:xfrm>
          <a:off x="11029950" y="6902450"/>
          <a:ext cx="1025182" cy="844549"/>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chemeClr val="bg1"/>
              </a:solidFill>
              <a:latin typeface="Calibri"/>
              <a:cs typeface="Calibri"/>
            </a:rPr>
            <a:t> Standard Deviation of Forecasted  CAGR</a:t>
          </a:r>
          <a:endParaRPr lang="en-US" sz="1000" b="0" i="0" strike="noStrike">
            <a:solidFill>
              <a:schemeClr val="bg1"/>
            </a:solidFill>
            <a:latin typeface="Calibri"/>
            <a:cs typeface="Calibri"/>
          </a:endParaRPr>
        </a:p>
      </xdr:txBody>
    </xdr:sp>
    <xdr:clientData/>
  </xdr:twoCellAnchor>
  <xdr:twoCellAnchor>
    <xdr:from>
      <xdr:col>24</xdr:col>
      <xdr:colOff>482257</xdr:colOff>
      <xdr:row>10</xdr:row>
      <xdr:rowOff>41275</xdr:rowOff>
    </xdr:from>
    <xdr:to>
      <xdr:col>26</xdr:col>
      <xdr:colOff>19050</xdr:colOff>
      <xdr:row>20</xdr:row>
      <xdr:rowOff>69850</xdr:rowOff>
    </xdr:to>
    <xdr:cxnSp macro="">
      <xdr:nvCxnSpPr>
        <xdr:cNvPr id="31" name="AutoShape 14">
          <a:extLst>
            <a:ext uri="{FF2B5EF4-FFF2-40B4-BE49-F238E27FC236}">
              <a16:creationId xmlns:a16="http://schemas.microsoft.com/office/drawing/2014/main" id="{00000000-0008-0000-0D00-00001F000000}"/>
            </a:ext>
          </a:extLst>
        </xdr:cNvPr>
        <xdr:cNvCxnSpPr>
          <a:cxnSpLocks noChangeShapeType="1"/>
          <a:stCxn id="17" idx="3"/>
          <a:endCxn id="16" idx="1"/>
        </xdr:cNvCxnSpPr>
      </xdr:nvCxnSpPr>
      <xdr:spPr bwMode="auto">
        <a:xfrm>
          <a:off x="10223157" y="4479925"/>
          <a:ext cx="806793" cy="1679575"/>
        </a:xfrm>
        <a:prstGeom prst="straightConnector1">
          <a:avLst/>
        </a:prstGeom>
        <a:noFill/>
        <a:ln w="9525">
          <a:solidFill>
            <a:srgbClr val="000000"/>
          </a:solidFill>
          <a:round/>
          <a:headEnd/>
          <a:tailEnd type="arrow" w="med" len="med"/>
        </a:ln>
      </xdr:spPr>
    </xdr:cxnSp>
    <xdr:clientData/>
  </xdr:twoCellAnchor>
  <xdr:twoCellAnchor>
    <xdr:from>
      <xdr:col>24</xdr:col>
      <xdr:colOff>482257</xdr:colOff>
      <xdr:row>10</xdr:row>
      <xdr:rowOff>41275</xdr:rowOff>
    </xdr:from>
    <xdr:to>
      <xdr:col>26</xdr:col>
      <xdr:colOff>19050</xdr:colOff>
      <xdr:row>27</xdr:row>
      <xdr:rowOff>79375</xdr:rowOff>
    </xdr:to>
    <xdr:cxnSp macro="">
      <xdr:nvCxnSpPr>
        <xdr:cNvPr id="32" name="AutoShape 14">
          <a:extLst>
            <a:ext uri="{FF2B5EF4-FFF2-40B4-BE49-F238E27FC236}">
              <a16:creationId xmlns:a16="http://schemas.microsoft.com/office/drawing/2014/main" id="{00000000-0008-0000-0D00-000020000000}"/>
            </a:ext>
          </a:extLst>
        </xdr:cNvPr>
        <xdr:cNvCxnSpPr>
          <a:cxnSpLocks noChangeShapeType="1"/>
          <a:stCxn id="17" idx="3"/>
          <a:endCxn id="30" idx="1"/>
        </xdr:cNvCxnSpPr>
      </xdr:nvCxnSpPr>
      <xdr:spPr bwMode="auto">
        <a:xfrm>
          <a:off x="10223157" y="4479925"/>
          <a:ext cx="806793" cy="2844800"/>
        </a:xfrm>
        <a:prstGeom prst="straightConnector1">
          <a:avLst/>
        </a:prstGeom>
        <a:noFill/>
        <a:ln w="9525">
          <a:solidFill>
            <a:srgbClr val="000000"/>
          </a:solidFill>
          <a:round/>
          <a:headEnd/>
          <a:tailEnd type="arrow" w="med" len="med"/>
        </a:ln>
      </xdr:spPr>
    </xdr:cxnSp>
    <xdr:clientData/>
  </xdr:twoCellAnchor>
  <xdr:twoCellAnchor>
    <xdr:from>
      <xdr:col>0</xdr:col>
      <xdr:colOff>228600</xdr:colOff>
      <xdr:row>32</xdr:row>
      <xdr:rowOff>98425</xdr:rowOff>
    </xdr:from>
    <xdr:to>
      <xdr:col>3</xdr:col>
      <xdr:colOff>409247</xdr:colOff>
      <xdr:row>36</xdr:row>
      <xdr:rowOff>47625</xdr:rowOff>
    </xdr:to>
    <xdr:sp macro="" textlink="">
      <xdr:nvSpPr>
        <xdr:cNvPr id="33" name="AutoShape 4">
          <a:extLst>
            <a:ext uri="{FF2B5EF4-FFF2-40B4-BE49-F238E27FC236}">
              <a16:creationId xmlns:a16="http://schemas.microsoft.com/office/drawing/2014/main" id="{00000000-0008-0000-0D00-000021000000}"/>
            </a:ext>
          </a:extLst>
        </xdr:cNvPr>
        <xdr:cNvSpPr>
          <a:spLocks noChangeAspect="1" noChangeArrowheads="1"/>
        </xdr:cNvSpPr>
      </xdr:nvSpPr>
      <xdr:spPr bwMode="auto">
        <a:xfrm>
          <a:off x="228600" y="8169275"/>
          <a:ext cx="1031547" cy="609600"/>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rgbClr val="993366"/>
              </a:solidFill>
              <a:latin typeface="Calibri"/>
              <a:ea typeface="+mn-ea"/>
              <a:cs typeface="Calibri"/>
            </a:rPr>
            <a:t>Company Target</a:t>
          </a:r>
          <a:r>
            <a:rPr lang="en-US" sz="1000" b="0" i="0" strike="noStrike" baseline="0">
              <a:solidFill>
                <a:sysClr val="windowText" lastClr="000000"/>
              </a:solidFill>
              <a:latin typeface="Calibri"/>
              <a:cs typeface="Calibri"/>
            </a:rPr>
            <a:t> </a:t>
          </a:r>
          <a:r>
            <a:rPr lang="en-US" sz="1000" b="0" i="0" strike="noStrike" baseline="0">
              <a:solidFill>
                <a:srgbClr val="993366"/>
              </a:solidFill>
              <a:latin typeface="Calibri"/>
              <a:ea typeface="+mn-ea"/>
              <a:cs typeface="Calibri"/>
            </a:rPr>
            <a:t>Valuation in 2028</a:t>
          </a:r>
        </a:p>
      </xdr:txBody>
    </xdr:sp>
    <xdr:clientData/>
  </xdr:twoCellAnchor>
  <xdr:twoCellAnchor>
    <xdr:from>
      <xdr:col>27</xdr:col>
      <xdr:colOff>313921</xdr:colOff>
      <xdr:row>33</xdr:row>
      <xdr:rowOff>77863</xdr:rowOff>
    </xdr:from>
    <xdr:to>
      <xdr:col>29</xdr:col>
      <xdr:colOff>493764</xdr:colOff>
      <xdr:row>37</xdr:row>
      <xdr:rowOff>115963</xdr:rowOff>
    </xdr:to>
    <xdr:sp macro="" textlink="">
      <xdr:nvSpPr>
        <xdr:cNvPr id="34" name="AutoShape 1">
          <a:extLst>
            <a:ext uri="{FF2B5EF4-FFF2-40B4-BE49-F238E27FC236}">
              <a16:creationId xmlns:a16="http://schemas.microsoft.com/office/drawing/2014/main" id="{00000000-0008-0000-0D00-000022000000}"/>
            </a:ext>
          </a:extLst>
        </xdr:cNvPr>
        <xdr:cNvSpPr>
          <a:spLocks noChangeAspect="1" noChangeArrowheads="1"/>
        </xdr:cNvSpPr>
      </xdr:nvSpPr>
      <xdr:spPr bwMode="auto">
        <a:xfrm>
          <a:off x="11959821" y="8313813"/>
          <a:ext cx="1449843" cy="698500"/>
        </a:xfrm>
        <a:prstGeom prst="roundRect">
          <a:avLst>
            <a:gd name="adj" fmla="val 16667"/>
          </a:avLst>
        </a:prstGeom>
        <a:solidFill>
          <a:schemeClr val="accent5">
            <a:lumMod val="5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bg1"/>
              </a:solidFill>
              <a:latin typeface="Calibri"/>
              <a:ea typeface="+mn-ea"/>
              <a:cs typeface="Calibri"/>
            </a:rPr>
            <a:t>Probability of hitting Company Target Valuation in 2028</a:t>
          </a:r>
        </a:p>
      </xdr:txBody>
    </xdr:sp>
    <xdr:clientData/>
  </xdr:twoCellAnchor>
  <xdr:twoCellAnchor>
    <xdr:from>
      <xdr:col>14</xdr:col>
      <xdr:colOff>173060</xdr:colOff>
      <xdr:row>33</xdr:row>
      <xdr:rowOff>112517</xdr:rowOff>
    </xdr:from>
    <xdr:to>
      <xdr:col>16</xdr:col>
      <xdr:colOff>369567</xdr:colOff>
      <xdr:row>36</xdr:row>
      <xdr:rowOff>112516</xdr:rowOff>
    </xdr:to>
    <xdr:sp macro="" textlink="">
      <xdr:nvSpPr>
        <xdr:cNvPr id="35" name="AutoShape 1">
          <a:extLst>
            <a:ext uri="{FF2B5EF4-FFF2-40B4-BE49-F238E27FC236}">
              <a16:creationId xmlns:a16="http://schemas.microsoft.com/office/drawing/2014/main" id="{00000000-0008-0000-0D00-000023000000}"/>
            </a:ext>
          </a:extLst>
        </xdr:cNvPr>
        <xdr:cNvSpPr>
          <a:spLocks noChangeAspect="1" noChangeArrowheads="1"/>
        </xdr:cNvSpPr>
      </xdr:nvSpPr>
      <xdr:spPr bwMode="auto">
        <a:xfrm>
          <a:off x="6294460" y="8348467"/>
          <a:ext cx="1034707" cy="495299"/>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bg1"/>
              </a:solidFill>
              <a:latin typeface="Calibri"/>
              <a:ea typeface="+mn-ea"/>
              <a:cs typeface="Calibri"/>
            </a:rPr>
            <a:t>Target CAGR</a:t>
          </a:r>
        </a:p>
      </xdr:txBody>
    </xdr:sp>
    <xdr:clientData/>
  </xdr:twoCellAnchor>
  <xdr:twoCellAnchor>
    <xdr:from>
      <xdr:col>3</xdr:col>
      <xdr:colOff>409247</xdr:colOff>
      <xdr:row>34</xdr:row>
      <xdr:rowOff>73025</xdr:rowOff>
    </xdr:from>
    <xdr:to>
      <xdr:col>14</xdr:col>
      <xdr:colOff>173060</xdr:colOff>
      <xdr:row>35</xdr:row>
      <xdr:rowOff>33142</xdr:rowOff>
    </xdr:to>
    <xdr:cxnSp macro="">
      <xdr:nvCxnSpPr>
        <xdr:cNvPr id="36" name="AutoShape 14">
          <a:extLst>
            <a:ext uri="{FF2B5EF4-FFF2-40B4-BE49-F238E27FC236}">
              <a16:creationId xmlns:a16="http://schemas.microsoft.com/office/drawing/2014/main" id="{00000000-0008-0000-0D00-000024000000}"/>
            </a:ext>
          </a:extLst>
        </xdr:cNvPr>
        <xdr:cNvCxnSpPr>
          <a:cxnSpLocks noChangeShapeType="1"/>
          <a:stCxn id="33" idx="3"/>
          <a:endCxn id="35" idx="1"/>
        </xdr:cNvCxnSpPr>
      </xdr:nvCxnSpPr>
      <xdr:spPr bwMode="auto">
        <a:xfrm>
          <a:off x="1260147" y="8474075"/>
          <a:ext cx="5034313" cy="125217"/>
        </a:xfrm>
        <a:prstGeom prst="straightConnector1">
          <a:avLst/>
        </a:prstGeom>
        <a:noFill/>
        <a:ln w="9525">
          <a:solidFill>
            <a:srgbClr val="000000"/>
          </a:solidFill>
          <a:round/>
          <a:headEnd/>
          <a:tailEnd type="arrow" w="med" len="med"/>
        </a:ln>
      </xdr:spPr>
    </xdr:cxnSp>
    <xdr:clientData/>
  </xdr:twoCellAnchor>
  <xdr:twoCellAnchor>
    <xdr:from>
      <xdr:col>3</xdr:col>
      <xdr:colOff>396547</xdr:colOff>
      <xdr:row>29</xdr:row>
      <xdr:rowOff>95250</xdr:rowOff>
    </xdr:from>
    <xdr:to>
      <xdr:col>14</xdr:col>
      <xdr:colOff>173060</xdr:colOff>
      <xdr:row>35</xdr:row>
      <xdr:rowOff>33142</xdr:rowOff>
    </xdr:to>
    <xdr:cxnSp macro="">
      <xdr:nvCxnSpPr>
        <xdr:cNvPr id="37" name="AutoShape 14">
          <a:extLst>
            <a:ext uri="{FF2B5EF4-FFF2-40B4-BE49-F238E27FC236}">
              <a16:creationId xmlns:a16="http://schemas.microsoft.com/office/drawing/2014/main" id="{00000000-0008-0000-0D00-000025000000}"/>
            </a:ext>
          </a:extLst>
        </xdr:cNvPr>
        <xdr:cNvCxnSpPr>
          <a:cxnSpLocks noChangeShapeType="1"/>
          <a:stCxn id="25" idx="3"/>
          <a:endCxn id="35" idx="1"/>
        </xdr:cNvCxnSpPr>
      </xdr:nvCxnSpPr>
      <xdr:spPr bwMode="auto">
        <a:xfrm>
          <a:off x="1247447" y="7670800"/>
          <a:ext cx="5047013" cy="928492"/>
        </a:xfrm>
        <a:prstGeom prst="straightConnector1">
          <a:avLst/>
        </a:prstGeom>
        <a:noFill/>
        <a:ln w="9525">
          <a:solidFill>
            <a:srgbClr val="000000"/>
          </a:solidFill>
          <a:round/>
          <a:headEnd/>
          <a:tailEnd type="arrow" w="med" len="med"/>
        </a:ln>
      </xdr:spPr>
    </xdr:cxnSp>
    <xdr:clientData/>
  </xdr:twoCellAnchor>
  <xdr:twoCellAnchor>
    <xdr:from>
      <xdr:col>16</xdr:col>
      <xdr:colOff>369567</xdr:colOff>
      <xdr:row>35</xdr:row>
      <xdr:rowOff>33142</xdr:rowOff>
    </xdr:from>
    <xdr:to>
      <xdr:col>27</xdr:col>
      <xdr:colOff>313921</xdr:colOff>
      <xdr:row>35</xdr:row>
      <xdr:rowOff>96913</xdr:rowOff>
    </xdr:to>
    <xdr:cxnSp macro="">
      <xdr:nvCxnSpPr>
        <xdr:cNvPr id="38" name="AutoShape 14">
          <a:extLst>
            <a:ext uri="{FF2B5EF4-FFF2-40B4-BE49-F238E27FC236}">
              <a16:creationId xmlns:a16="http://schemas.microsoft.com/office/drawing/2014/main" id="{00000000-0008-0000-0D00-000026000000}"/>
            </a:ext>
          </a:extLst>
        </xdr:cNvPr>
        <xdr:cNvCxnSpPr>
          <a:cxnSpLocks noChangeShapeType="1"/>
          <a:stCxn id="35" idx="3"/>
          <a:endCxn id="34" idx="1"/>
        </xdr:cNvCxnSpPr>
      </xdr:nvCxnSpPr>
      <xdr:spPr bwMode="auto">
        <a:xfrm>
          <a:off x="7329167" y="8599292"/>
          <a:ext cx="4630654" cy="63771"/>
        </a:xfrm>
        <a:prstGeom prst="straightConnector1">
          <a:avLst/>
        </a:prstGeom>
        <a:noFill/>
        <a:ln w="9525">
          <a:solidFill>
            <a:srgbClr val="000000"/>
          </a:solidFill>
          <a:round/>
          <a:headEnd/>
          <a:tailEnd type="arrow" w="med" len="med"/>
        </a:ln>
      </xdr:spPr>
    </xdr:cxnSp>
    <xdr:clientData/>
  </xdr:twoCellAnchor>
  <xdr:twoCellAnchor>
    <xdr:from>
      <xdr:col>27</xdr:col>
      <xdr:colOff>409232</xdr:colOff>
      <xdr:row>27</xdr:row>
      <xdr:rowOff>79375</xdr:rowOff>
    </xdr:from>
    <xdr:to>
      <xdr:col>28</xdr:col>
      <xdr:colOff>403843</xdr:colOff>
      <xdr:row>33</xdr:row>
      <xdr:rowOff>77863</xdr:rowOff>
    </xdr:to>
    <xdr:cxnSp macro="">
      <xdr:nvCxnSpPr>
        <xdr:cNvPr id="39" name="AutoShape 14">
          <a:extLst>
            <a:ext uri="{FF2B5EF4-FFF2-40B4-BE49-F238E27FC236}">
              <a16:creationId xmlns:a16="http://schemas.microsoft.com/office/drawing/2014/main" id="{00000000-0008-0000-0D00-000027000000}"/>
            </a:ext>
          </a:extLst>
        </xdr:cNvPr>
        <xdr:cNvCxnSpPr>
          <a:cxnSpLocks noChangeShapeType="1"/>
          <a:stCxn id="30" idx="3"/>
          <a:endCxn id="34" idx="0"/>
        </xdr:cNvCxnSpPr>
      </xdr:nvCxnSpPr>
      <xdr:spPr bwMode="auto">
        <a:xfrm>
          <a:off x="12055132" y="7324725"/>
          <a:ext cx="629611" cy="989088"/>
        </a:xfrm>
        <a:prstGeom prst="straightConnector1">
          <a:avLst/>
        </a:prstGeom>
        <a:noFill/>
        <a:ln w="9525">
          <a:solidFill>
            <a:srgbClr val="000000"/>
          </a:solidFill>
          <a:round/>
          <a:headEnd/>
          <a:tailEnd type="arrow" w="med" len="med"/>
        </a:ln>
      </xdr:spPr>
    </xdr:cxnSp>
    <xdr:clientData/>
  </xdr:twoCellAnchor>
  <xdr:twoCellAnchor>
    <xdr:from>
      <xdr:col>27</xdr:col>
      <xdr:colOff>409232</xdr:colOff>
      <xdr:row>20</xdr:row>
      <xdr:rowOff>69850</xdr:rowOff>
    </xdr:from>
    <xdr:to>
      <xdr:col>28</xdr:col>
      <xdr:colOff>403843</xdr:colOff>
      <xdr:row>33</xdr:row>
      <xdr:rowOff>77863</xdr:rowOff>
    </xdr:to>
    <xdr:cxnSp macro="">
      <xdr:nvCxnSpPr>
        <xdr:cNvPr id="40" name="AutoShape 14">
          <a:extLst>
            <a:ext uri="{FF2B5EF4-FFF2-40B4-BE49-F238E27FC236}">
              <a16:creationId xmlns:a16="http://schemas.microsoft.com/office/drawing/2014/main" id="{00000000-0008-0000-0D00-000028000000}"/>
            </a:ext>
          </a:extLst>
        </xdr:cNvPr>
        <xdr:cNvCxnSpPr>
          <a:cxnSpLocks noChangeShapeType="1"/>
          <a:stCxn id="16" idx="3"/>
          <a:endCxn id="34" idx="0"/>
        </xdr:cNvCxnSpPr>
      </xdr:nvCxnSpPr>
      <xdr:spPr bwMode="auto">
        <a:xfrm>
          <a:off x="12055132" y="6159500"/>
          <a:ext cx="629611" cy="2154313"/>
        </a:xfrm>
        <a:prstGeom prst="straightConnector1">
          <a:avLst/>
        </a:prstGeom>
        <a:noFill/>
        <a:ln w="9525">
          <a:solidFill>
            <a:srgbClr val="000000"/>
          </a:solidFill>
          <a:round/>
          <a:headEnd/>
          <a:tailEnd type="arrow" w="med" len="med"/>
        </a:ln>
      </xdr:spPr>
    </xdr:cxnSp>
    <xdr:clientData/>
  </xdr:twoCellAnchor>
  <xdr:twoCellAnchor>
    <xdr:from>
      <xdr:col>0</xdr:col>
      <xdr:colOff>235453</xdr:colOff>
      <xdr:row>22</xdr:row>
      <xdr:rowOff>143983</xdr:rowOff>
    </xdr:from>
    <xdr:to>
      <xdr:col>3</xdr:col>
      <xdr:colOff>411866</xdr:colOff>
      <xdr:row>26</xdr:row>
      <xdr:rowOff>93183</xdr:rowOff>
    </xdr:to>
    <xdr:sp macro="" textlink="">
      <xdr:nvSpPr>
        <xdr:cNvPr id="41" name="AutoShape 4">
          <a:extLst>
            <a:ext uri="{FF2B5EF4-FFF2-40B4-BE49-F238E27FC236}">
              <a16:creationId xmlns:a16="http://schemas.microsoft.com/office/drawing/2014/main" id="{00000000-0008-0000-0D00-000029000000}"/>
            </a:ext>
          </a:extLst>
        </xdr:cNvPr>
        <xdr:cNvSpPr>
          <a:spLocks noChangeAspect="1" noChangeArrowheads="1"/>
        </xdr:cNvSpPr>
      </xdr:nvSpPr>
      <xdr:spPr bwMode="auto">
        <a:xfrm>
          <a:off x="235453" y="6563833"/>
          <a:ext cx="1027313" cy="609600"/>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rgbClr val="993366"/>
              </a:solidFill>
              <a:latin typeface="Calibri"/>
              <a:ea typeface="+mn-ea"/>
              <a:cs typeface="Calibri"/>
            </a:rPr>
            <a:t>Borrowing Interest Rate (SME)</a:t>
          </a:r>
        </a:p>
      </xdr:txBody>
    </xdr:sp>
    <xdr:clientData/>
  </xdr:twoCellAnchor>
  <xdr:twoCellAnchor>
    <xdr:from>
      <xdr:col>10</xdr:col>
      <xdr:colOff>256520</xdr:colOff>
      <xdr:row>16</xdr:row>
      <xdr:rowOff>16026</xdr:rowOff>
    </xdr:from>
    <xdr:to>
      <xdr:col>13</xdr:col>
      <xdr:colOff>85070</xdr:colOff>
      <xdr:row>19</xdr:row>
      <xdr:rowOff>127807</xdr:rowOff>
    </xdr:to>
    <xdr:sp macro="" textlink="">
      <xdr:nvSpPr>
        <xdr:cNvPr id="42" name="AutoShape 1">
          <a:extLst>
            <a:ext uri="{FF2B5EF4-FFF2-40B4-BE49-F238E27FC236}">
              <a16:creationId xmlns:a16="http://schemas.microsoft.com/office/drawing/2014/main" id="{00000000-0008-0000-0D00-00002A000000}"/>
            </a:ext>
          </a:extLst>
        </xdr:cNvPr>
        <xdr:cNvSpPr>
          <a:spLocks noChangeAspect="1" noChangeArrowheads="1"/>
        </xdr:cNvSpPr>
      </xdr:nvSpPr>
      <xdr:spPr bwMode="auto">
        <a:xfrm>
          <a:off x="4498320" y="5445276"/>
          <a:ext cx="1187450" cy="607081"/>
        </a:xfrm>
        <a:prstGeom prst="roundRect">
          <a:avLst>
            <a:gd name="adj" fmla="val 16667"/>
          </a:avLst>
        </a:prstGeom>
        <a:solidFill>
          <a:schemeClr val="accent5">
            <a:lumMod val="20000"/>
            <a:lumOff val="8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Initial Investments for Overseas Expansion</a:t>
          </a:r>
        </a:p>
      </xdr:txBody>
    </xdr:sp>
    <xdr:clientData/>
  </xdr:twoCellAnchor>
  <xdr:twoCellAnchor>
    <xdr:from>
      <xdr:col>3</xdr:col>
      <xdr:colOff>403490</xdr:colOff>
      <xdr:row>17</xdr:row>
      <xdr:rowOff>151292</xdr:rowOff>
    </xdr:from>
    <xdr:to>
      <xdr:col>10</xdr:col>
      <xdr:colOff>256520</xdr:colOff>
      <xdr:row>18</xdr:row>
      <xdr:rowOff>6822</xdr:rowOff>
    </xdr:to>
    <xdr:cxnSp macro="">
      <xdr:nvCxnSpPr>
        <xdr:cNvPr id="43" name="AutoShape 14">
          <a:extLst>
            <a:ext uri="{FF2B5EF4-FFF2-40B4-BE49-F238E27FC236}">
              <a16:creationId xmlns:a16="http://schemas.microsoft.com/office/drawing/2014/main" id="{00000000-0008-0000-0D00-00002B000000}"/>
            </a:ext>
          </a:extLst>
        </xdr:cNvPr>
        <xdr:cNvCxnSpPr>
          <a:cxnSpLocks noChangeShapeType="1"/>
          <a:stCxn id="2" idx="3"/>
          <a:endCxn id="42" idx="1"/>
        </xdr:cNvCxnSpPr>
      </xdr:nvCxnSpPr>
      <xdr:spPr bwMode="auto">
        <a:xfrm flipV="1">
          <a:off x="1254390" y="5745642"/>
          <a:ext cx="3243930" cy="20630"/>
        </a:xfrm>
        <a:prstGeom prst="straightConnector1">
          <a:avLst/>
        </a:prstGeom>
        <a:noFill/>
        <a:ln w="9525">
          <a:solidFill>
            <a:srgbClr val="000000"/>
          </a:solidFill>
          <a:prstDash val="dash"/>
          <a:round/>
          <a:headEnd/>
          <a:tailEnd type="arrow" w="med" len="med"/>
        </a:ln>
      </xdr:spPr>
    </xdr:cxnSp>
    <xdr:clientData/>
  </xdr:twoCellAnchor>
  <xdr:twoCellAnchor>
    <xdr:from>
      <xdr:col>3</xdr:col>
      <xdr:colOff>411866</xdr:colOff>
      <xdr:row>24</xdr:row>
      <xdr:rowOff>3730</xdr:rowOff>
    </xdr:from>
    <xdr:to>
      <xdr:col>14</xdr:col>
      <xdr:colOff>207584</xdr:colOff>
      <xdr:row>24</xdr:row>
      <xdr:rowOff>118583</xdr:rowOff>
    </xdr:to>
    <xdr:cxnSp macro="">
      <xdr:nvCxnSpPr>
        <xdr:cNvPr id="44" name="AutoShape 14">
          <a:extLst>
            <a:ext uri="{FF2B5EF4-FFF2-40B4-BE49-F238E27FC236}">
              <a16:creationId xmlns:a16="http://schemas.microsoft.com/office/drawing/2014/main" id="{00000000-0008-0000-0D00-00002C000000}"/>
            </a:ext>
          </a:extLst>
        </xdr:cNvPr>
        <xdr:cNvCxnSpPr>
          <a:cxnSpLocks noChangeShapeType="1"/>
          <a:stCxn id="41" idx="3"/>
          <a:endCxn id="18" idx="1"/>
        </xdr:cNvCxnSpPr>
      </xdr:nvCxnSpPr>
      <xdr:spPr bwMode="auto">
        <a:xfrm flipV="1">
          <a:off x="1262766" y="6753780"/>
          <a:ext cx="5066218" cy="114853"/>
        </a:xfrm>
        <a:prstGeom prst="straightConnector1">
          <a:avLst/>
        </a:prstGeom>
        <a:noFill/>
        <a:ln w="9525">
          <a:solidFill>
            <a:srgbClr val="000000"/>
          </a:solidFill>
          <a:round/>
          <a:headEnd/>
          <a:tailEnd type="arrow" w="med" len="med"/>
        </a:ln>
      </xdr:spPr>
    </xdr:cxnSp>
    <xdr:clientData/>
  </xdr:twoCellAnchor>
  <xdr:twoCellAnchor>
    <xdr:from>
      <xdr:col>13</xdr:col>
      <xdr:colOff>85070</xdr:colOff>
      <xdr:row>8</xdr:row>
      <xdr:rowOff>3326</xdr:rowOff>
    </xdr:from>
    <xdr:to>
      <xdr:col>17</xdr:col>
      <xdr:colOff>127101</xdr:colOff>
      <xdr:row>17</xdr:row>
      <xdr:rowOff>151292</xdr:rowOff>
    </xdr:to>
    <xdr:cxnSp macro="">
      <xdr:nvCxnSpPr>
        <xdr:cNvPr id="45" name="AutoShape 14">
          <a:extLst>
            <a:ext uri="{FF2B5EF4-FFF2-40B4-BE49-F238E27FC236}">
              <a16:creationId xmlns:a16="http://schemas.microsoft.com/office/drawing/2014/main" id="{00000000-0008-0000-0D00-00002D000000}"/>
            </a:ext>
          </a:extLst>
        </xdr:cNvPr>
        <xdr:cNvCxnSpPr>
          <a:cxnSpLocks noChangeShapeType="1"/>
          <a:stCxn id="42" idx="3"/>
          <a:endCxn id="21" idx="1"/>
        </xdr:cNvCxnSpPr>
      </xdr:nvCxnSpPr>
      <xdr:spPr bwMode="auto">
        <a:xfrm flipV="1">
          <a:off x="5685770" y="4111776"/>
          <a:ext cx="1921631" cy="1633866"/>
        </a:xfrm>
        <a:prstGeom prst="straightConnector1">
          <a:avLst/>
        </a:prstGeom>
        <a:noFill/>
        <a:ln w="9525">
          <a:solidFill>
            <a:srgbClr val="000000"/>
          </a:solidFill>
          <a:round/>
          <a:headEnd/>
          <a:tailEnd type="arrow" w="med" len="med"/>
        </a:ln>
      </xdr:spPr>
    </xdr:cxnSp>
    <xdr:clientData/>
  </xdr:twoCellAnchor>
  <xdr:twoCellAnchor>
    <xdr:from>
      <xdr:col>13</xdr:col>
      <xdr:colOff>3576</xdr:colOff>
      <xdr:row>7</xdr:row>
      <xdr:rowOff>147149</xdr:rowOff>
    </xdr:from>
    <xdr:to>
      <xdr:col>17</xdr:col>
      <xdr:colOff>127101</xdr:colOff>
      <xdr:row>8</xdr:row>
      <xdr:rowOff>3326</xdr:rowOff>
    </xdr:to>
    <xdr:cxnSp macro="">
      <xdr:nvCxnSpPr>
        <xdr:cNvPr id="46" name="AutoShape 18">
          <a:extLst>
            <a:ext uri="{FF2B5EF4-FFF2-40B4-BE49-F238E27FC236}">
              <a16:creationId xmlns:a16="http://schemas.microsoft.com/office/drawing/2014/main" id="{00000000-0008-0000-0D00-00002E000000}"/>
            </a:ext>
          </a:extLst>
        </xdr:cNvPr>
        <xdr:cNvCxnSpPr>
          <a:cxnSpLocks noChangeShapeType="1"/>
          <a:stCxn id="4" idx="3"/>
          <a:endCxn id="21" idx="1"/>
        </xdr:cNvCxnSpPr>
      </xdr:nvCxnSpPr>
      <xdr:spPr bwMode="auto">
        <a:xfrm>
          <a:off x="5604276" y="4090499"/>
          <a:ext cx="2003125" cy="21277"/>
        </a:xfrm>
        <a:prstGeom prst="straightConnector1">
          <a:avLst/>
        </a:prstGeom>
        <a:noFill/>
        <a:ln w="9525">
          <a:solidFill>
            <a:srgbClr val="000000"/>
          </a:solidFill>
          <a:round/>
          <a:headEnd/>
          <a:tailEnd type="arrow" w="med" len="med"/>
        </a:ln>
      </xdr:spPr>
    </xdr:cxnSp>
    <xdr:clientData/>
  </xdr:twoCellAnchor>
  <xdr:twoCellAnchor>
    <xdr:from>
      <xdr:col>24</xdr:col>
      <xdr:colOff>617613</xdr:colOff>
      <xdr:row>32</xdr:row>
      <xdr:rowOff>76387</xdr:rowOff>
    </xdr:from>
    <xdr:to>
      <xdr:col>27</xdr:col>
      <xdr:colOff>313921</xdr:colOff>
      <xdr:row>35</xdr:row>
      <xdr:rowOff>96913</xdr:rowOff>
    </xdr:to>
    <xdr:cxnSp macro="">
      <xdr:nvCxnSpPr>
        <xdr:cNvPr id="47" name="AutoShape 14">
          <a:extLst>
            <a:ext uri="{FF2B5EF4-FFF2-40B4-BE49-F238E27FC236}">
              <a16:creationId xmlns:a16="http://schemas.microsoft.com/office/drawing/2014/main" id="{00000000-0008-0000-0D00-00002F000000}"/>
            </a:ext>
          </a:extLst>
        </xdr:cNvPr>
        <xdr:cNvCxnSpPr>
          <a:cxnSpLocks noChangeShapeType="1"/>
          <a:stCxn id="26" idx="3"/>
          <a:endCxn id="34" idx="1"/>
        </xdr:cNvCxnSpPr>
      </xdr:nvCxnSpPr>
      <xdr:spPr bwMode="auto">
        <a:xfrm>
          <a:off x="10358513" y="8147237"/>
          <a:ext cx="1601308" cy="515826"/>
        </a:xfrm>
        <a:prstGeom prst="straightConnector1">
          <a:avLst/>
        </a:prstGeom>
        <a:noFill/>
        <a:ln w="9525">
          <a:solidFill>
            <a:srgbClr val="000000"/>
          </a:solidFill>
          <a:round/>
          <a:headEnd/>
          <a:tailEnd type="arrow" w="med" len="med"/>
        </a:ln>
      </xdr:spPr>
    </xdr:cxnSp>
    <xdr:clientData/>
  </xdr:twoCellAnchor>
  <xdr:twoCellAnchor>
    <xdr:from>
      <xdr:col>12</xdr:col>
      <xdr:colOff>12045</xdr:colOff>
      <xdr:row>19</xdr:row>
      <xdr:rowOff>127808</xdr:rowOff>
    </xdr:from>
    <xdr:to>
      <xdr:col>17</xdr:col>
      <xdr:colOff>120241</xdr:colOff>
      <xdr:row>29</xdr:row>
      <xdr:rowOff>49259</xdr:rowOff>
    </xdr:to>
    <xdr:cxnSp macro="">
      <xdr:nvCxnSpPr>
        <xdr:cNvPr id="48" name="AutoShape 14">
          <a:extLst>
            <a:ext uri="{FF2B5EF4-FFF2-40B4-BE49-F238E27FC236}">
              <a16:creationId xmlns:a16="http://schemas.microsoft.com/office/drawing/2014/main" id="{00000000-0008-0000-0D00-000030000000}"/>
            </a:ext>
          </a:extLst>
        </xdr:cNvPr>
        <xdr:cNvCxnSpPr>
          <a:cxnSpLocks noChangeShapeType="1"/>
          <a:stCxn id="9" idx="1"/>
          <a:endCxn id="42" idx="2"/>
        </xdr:cNvCxnSpPr>
      </xdr:nvCxnSpPr>
      <xdr:spPr bwMode="auto">
        <a:xfrm rot="10800000">
          <a:off x="5092045" y="6052358"/>
          <a:ext cx="2508496" cy="1572451"/>
        </a:xfrm>
        <a:prstGeom prst="curvedConnector2">
          <a:avLst/>
        </a:prstGeom>
        <a:noFill/>
        <a:ln w="9525">
          <a:solidFill>
            <a:srgbClr val="000000"/>
          </a:solidFill>
          <a:round/>
          <a:headEnd/>
          <a:tailEnd type="arrow" w="med" len="med"/>
        </a:ln>
      </xdr:spPr>
    </xdr:cxnSp>
    <xdr:clientData/>
  </xdr:twoCellAnchor>
  <xdr:twoCellAnchor>
    <xdr:from>
      <xdr:col>0</xdr:col>
      <xdr:colOff>238125</xdr:colOff>
      <xdr:row>12</xdr:row>
      <xdr:rowOff>63500</xdr:rowOff>
    </xdr:from>
    <xdr:to>
      <xdr:col>3</xdr:col>
      <xdr:colOff>413832</xdr:colOff>
      <xdr:row>15</xdr:row>
      <xdr:rowOff>84547</xdr:rowOff>
    </xdr:to>
    <xdr:sp macro="" textlink="">
      <xdr:nvSpPr>
        <xdr:cNvPr id="49" name="AutoShape 17">
          <a:extLst>
            <a:ext uri="{FF2B5EF4-FFF2-40B4-BE49-F238E27FC236}">
              <a16:creationId xmlns:a16="http://schemas.microsoft.com/office/drawing/2014/main" id="{00000000-0008-0000-0D00-000031000000}"/>
            </a:ext>
          </a:extLst>
        </xdr:cNvPr>
        <xdr:cNvSpPr>
          <a:spLocks noChangeAspect="1" noChangeArrowheads="1"/>
        </xdr:cNvSpPr>
      </xdr:nvSpPr>
      <xdr:spPr bwMode="auto">
        <a:xfrm>
          <a:off x="238125" y="4832350"/>
          <a:ext cx="1026607" cy="516347"/>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chemeClr val="tx1"/>
              </a:solidFill>
              <a:latin typeface="Calibri"/>
              <a:cs typeface="Calibri"/>
            </a:rPr>
            <a:t>Total </a:t>
          </a:r>
        </a:p>
        <a:p>
          <a:pPr algn="ctr" rtl="0">
            <a:defRPr sz="1000"/>
          </a:pPr>
          <a:r>
            <a:rPr lang="en-US" sz="1000" b="0" i="0" strike="noStrike">
              <a:solidFill>
                <a:schemeClr val="tx1"/>
              </a:solidFill>
              <a:latin typeface="Calibri"/>
              <a:cs typeface="Calibri"/>
            </a:rPr>
            <a:t>Cost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7</xdr:col>
      <xdr:colOff>569310</xdr:colOff>
      <xdr:row>41</xdr:row>
      <xdr:rowOff>41351</xdr:rowOff>
    </xdr:from>
    <xdr:to>
      <xdr:col>12</xdr:col>
      <xdr:colOff>444500</xdr:colOff>
      <xdr:row>55</xdr:row>
      <xdr:rowOff>52368</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259160" y="8112201"/>
              <a:ext cx="4644040" cy="2766917"/>
            </a:xfrm>
            <a:prstGeom prst="rect">
              <a:avLst/>
            </a:prstGeom>
            <a:solidFill>
              <a:prstClr val="white"/>
            </a:solidFill>
            <a:ln w="1">
              <a:solidFill>
                <a:prstClr val="green"/>
              </a:solidFill>
            </a:ln>
          </xdr:spPr>
          <xdr:txBody>
            <a:bodyPr vertOverflow="clip" horzOverflow="clip"/>
            <a:lstStyle/>
            <a:p>
              <a:r>
                <a:rPr lang="en-SG"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230048</xdr:colOff>
      <xdr:row>13</xdr:row>
      <xdr:rowOff>118745</xdr:rowOff>
    </xdr:from>
    <xdr:to>
      <xdr:col>3</xdr:col>
      <xdr:colOff>442896</xdr:colOff>
      <xdr:row>16</xdr:row>
      <xdr:rowOff>1251</xdr:rowOff>
    </xdr:to>
    <xdr:sp macro="" textlink="">
      <xdr:nvSpPr>
        <xdr:cNvPr id="2" name="AutoShape 4">
          <a:extLst>
            <a:ext uri="{FF2B5EF4-FFF2-40B4-BE49-F238E27FC236}">
              <a16:creationId xmlns:a16="http://schemas.microsoft.com/office/drawing/2014/main" id="{00000000-0008-0000-1100-000002000000}"/>
            </a:ext>
          </a:extLst>
        </xdr:cNvPr>
        <xdr:cNvSpPr>
          <a:spLocks noChangeAspect="1" noChangeArrowheads="1"/>
        </xdr:cNvSpPr>
      </xdr:nvSpPr>
      <xdr:spPr bwMode="auto">
        <a:xfrm>
          <a:off x="230048" y="3465195"/>
          <a:ext cx="1063748" cy="479406"/>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Perfume</a:t>
          </a:r>
        </a:p>
        <a:p>
          <a:pPr algn="ctr" rtl="0">
            <a:defRPr sz="1000"/>
          </a:pPr>
          <a:r>
            <a:rPr lang="en-US" sz="1000" b="0" i="0" strike="noStrike">
              <a:solidFill>
                <a:sysClr val="windowText" lastClr="000000"/>
              </a:solidFill>
              <a:latin typeface="Calibri"/>
              <a:cs typeface="Calibri"/>
            </a:rPr>
            <a:t>Demand</a:t>
          </a:r>
        </a:p>
      </xdr:txBody>
    </xdr:sp>
    <xdr:clientData/>
  </xdr:twoCellAnchor>
  <xdr:twoCellAnchor>
    <xdr:from>
      <xdr:col>0</xdr:col>
      <xdr:colOff>227885</xdr:colOff>
      <xdr:row>9</xdr:row>
      <xdr:rowOff>175166</xdr:rowOff>
    </xdr:from>
    <xdr:to>
      <xdr:col>3</xdr:col>
      <xdr:colOff>493149</xdr:colOff>
      <xdr:row>12</xdr:row>
      <xdr:rowOff>83627</xdr:rowOff>
    </xdr:to>
    <xdr:sp macro="" textlink="">
      <xdr:nvSpPr>
        <xdr:cNvPr id="3" name="AutoShape 7">
          <a:extLst>
            <a:ext uri="{FF2B5EF4-FFF2-40B4-BE49-F238E27FC236}">
              <a16:creationId xmlns:a16="http://schemas.microsoft.com/office/drawing/2014/main" id="{00000000-0008-0000-1100-000003000000}"/>
            </a:ext>
          </a:extLst>
        </xdr:cNvPr>
        <xdr:cNvSpPr>
          <a:spLocks noChangeAspect="1" noChangeArrowheads="1"/>
        </xdr:cNvSpPr>
      </xdr:nvSpPr>
      <xdr:spPr bwMode="auto">
        <a:xfrm>
          <a:off x="227885" y="2734216"/>
          <a:ext cx="1116164" cy="499011"/>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a:solidFill>
                <a:sysClr val="windowText" lastClr="000000"/>
              </a:solidFill>
              <a:effectLst/>
              <a:latin typeface="+mn-lt"/>
              <a:ea typeface="+mn-ea"/>
              <a:cs typeface="+mn-cs"/>
            </a:rPr>
            <a:t>Price Elasticity</a:t>
          </a:r>
          <a:endParaRPr lang="en-US" sz="1000" b="0" i="0" strike="noStrike" baseline="0">
            <a:solidFill>
              <a:sysClr val="windowText" lastClr="000000"/>
            </a:solidFill>
            <a:latin typeface="Calibri"/>
            <a:cs typeface="Calibri"/>
          </a:endParaRPr>
        </a:p>
      </xdr:txBody>
    </xdr:sp>
    <xdr:clientData/>
  </xdr:twoCellAnchor>
  <xdr:twoCellAnchor>
    <xdr:from>
      <xdr:col>0</xdr:col>
      <xdr:colOff>234423</xdr:colOff>
      <xdr:row>17</xdr:row>
      <xdr:rowOff>83307</xdr:rowOff>
    </xdr:from>
    <xdr:to>
      <xdr:col>3</xdr:col>
      <xdr:colOff>440470</xdr:colOff>
      <xdr:row>20</xdr:row>
      <xdr:rowOff>83308</xdr:rowOff>
    </xdr:to>
    <xdr:sp macro="" textlink="">
      <xdr:nvSpPr>
        <xdr:cNvPr id="4" name="AutoShape 4">
          <a:extLst>
            <a:ext uri="{FF2B5EF4-FFF2-40B4-BE49-F238E27FC236}">
              <a16:creationId xmlns:a16="http://schemas.microsoft.com/office/drawing/2014/main" id="{00000000-0008-0000-1100-000004000000}"/>
            </a:ext>
          </a:extLst>
        </xdr:cNvPr>
        <xdr:cNvSpPr>
          <a:spLocks noChangeAspect="1" noChangeArrowheads="1"/>
        </xdr:cNvSpPr>
      </xdr:nvSpPr>
      <xdr:spPr bwMode="auto">
        <a:xfrm>
          <a:off x="234423" y="4191757"/>
          <a:ext cx="1056947" cy="495301"/>
        </a:xfrm>
        <a:prstGeom prst="roundRect">
          <a:avLst>
            <a:gd name="adj" fmla="val 16667"/>
          </a:avLst>
        </a:prstGeom>
        <a:solidFill>
          <a:sysClr val="window" lastClr="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Body</a:t>
          </a:r>
          <a:r>
            <a:rPr lang="en-US" sz="1000" b="0" i="0" strike="noStrike" baseline="0">
              <a:solidFill>
                <a:sysClr val="windowText" lastClr="000000"/>
              </a:solidFill>
              <a:latin typeface="Calibri"/>
              <a:cs typeface="Calibri"/>
            </a:rPr>
            <a:t>mist</a:t>
          </a:r>
          <a:endParaRPr lang="en-US" sz="1000" b="0" i="0" strike="noStrike">
            <a:solidFill>
              <a:sysClr val="windowText" lastClr="000000"/>
            </a:solidFill>
            <a:latin typeface="Calibri"/>
            <a:cs typeface="Calibri"/>
          </a:endParaRPr>
        </a:p>
        <a:p>
          <a:pPr algn="ctr" rtl="0">
            <a:defRPr sz="1000"/>
          </a:pPr>
          <a:r>
            <a:rPr lang="en-US" sz="1000" b="0" i="0" strike="noStrike">
              <a:solidFill>
                <a:sysClr val="windowText" lastClr="000000"/>
              </a:solidFill>
              <a:latin typeface="Calibri"/>
              <a:cs typeface="Calibri"/>
            </a:rPr>
            <a:t>Demand</a:t>
          </a:r>
        </a:p>
      </xdr:txBody>
    </xdr:sp>
    <xdr:clientData/>
  </xdr:twoCellAnchor>
  <xdr:twoCellAnchor editAs="oneCell">
    <xdr:from>
      <xdr:col>28</xdr:col>
      <xdr:colOff>86179</xdr:colOff>
      <xdr:row>24</xdr:row>
      <xdr:rowOff>90715</xdr:rowOff>
    </xdr:from>
    <xdr:to>
      <xdr:col>29</xdr:col>
      <xdr:colOff>92529</xdr:colOff>
      <xdr:row>25</xdr:row>
      <xdr:rowOff>97063</xdr:rowOff>
    </xdr:to>
    <xdr:pic>
      <xdr:nvPicPr>
        <xdr:cNvPr id="5" name="Picture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67079" y="5354865"/>
          <a:ext cx="641350" cy="171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29</xdr:col>
      <xdr:colOff>0</xdr:colOff>
      <xdr:row>16</xdr:row>
      <xdr:rowOff>0</xdr:rowOff>
    </xdr:from>
    <xdr:ext cx="649597" cy="171285"/>
    <xdr:pic>
      <xdr:nvPicPr>
        <xdr:cNvPr id="6" name="Picture 5">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915900" y="3943350"/>
          <a:ext cx="649597" cy="17128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493149</xdr:colOff>
      <xdr:row>11</xdr:row>
      <xdr:rowOff>32598</xdr:rowOff>
    </xdr:from>
    <xdr:to>
      <xdr:col>9</xdr:col>
      <xdr:colOff>463550</xdr:colOff>
      <xdr:row>13</xdr:row>
      <xdr:rowOff>13629</xdr:rowOff>
    </xdr:to>
    <xdr:cxnSp macro="">
      <xdr:nvCxnSpPr>
        <xdr:cNvPr id="7" name="AutoShape 18">
          <a:extLst>
            <a:ext uri="{FF2B5EF4-FFF2-40B4-BE49-F238E27FC236}">
              <a16:creationId xmlns:a16="http://schemas.microsoft.com/office/drawing/2014/main" id="{00000000-0008-0000-1100-000007000000}"/>
            </a:ext>
          </a:extLst>
        </xdr:cNvPr>
        <xdr:cNvCxnSpPr>
          <a:cxnSpLocks noChangeShapeType="1"/>
          <a:stCxn id="3" idx="3"/>
          <a:endCxn id="22" idx="1"/>
        </xdr:cNvCxnSpPr>
      </xdr:nvCxnSpPr>
      <xdr:spPr bwMode="auto">
        <a:xfrm>
          <a:off x="1344049" y="2985348"/>
          <a:ext cx="2840601" cy="374731"/>
        </a:xfrm>
        <a:prstGeom prst="straightConnector1">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442896</xdr:colOff>
      <xdr:row>13</xdr:row>
      <xdr:rowOff>13629</xdr:rowOff>
    </xdr:from>
    <xdr:to>
      <xdr:col>9</xdr:col>
      <xdr:colOff>463550</xdr:colOff>
      <xdr:row>14</xdr:row>
      <xdr:rowOff>160669</xdr:rowOff>
    </xdr:to>
    <xdr:cxnSp macro="">
      <xdr:nvCxnSpPr>
        <xdr:cNvPr id="8" name="AutoShape 14">
          <a:extLst>
            <a:ext uri="{FF2B5EF4-FFF2-40B4-BE49-F238E27FC236}">
              <a16:creationId xmlns:a16="http://schemas.microsoft.com/office/drawing/2014/main" id="{00000000-0008-0000-1100-000008000000}"/>
            </a:ext>
          </a:extLst>
        </xdr:cNvPr>
        <xdr:cNvCxnSpPr>
          <a:cxnSpLocks noChangeShapeType="1"/>
          <a:stCxn id="2" idx="3"/>
          <a:endCxn id="22" idx="1"/>
        </xdr:cNvCxnSpPr>
      </xdr:nvCxnSpPr>
      <xdr:spPr bwMode="auto">
        <a:xfrm flipV="1">
          <a:off x="1293796" y="3360079"/>
          <a:ext cx="2890854" cy="343890"/>
        </a:xfrm>
        <a:prstGeom prst="straightConnector1">
          <a:avLst/>
        </a:prstGeom>
        <a:noFill/>
        <a:ln w="9525">
          <a:solidFill>
            <a:srgbClr val="000000"/>
          </a:solidFill>
          <a:round/>
          <a:headEnd/>
          <a:tailEnd type="arrow" w="med" len="med"/>
        </a:ln>
      </xdr:spPr>
    </xdr:cxnSp>
    <xdr:clientData/>
  </xdr:twoCellAnchor>
  <xdr:twoCellAnchor>
    <xdr:from>
      <xdr:col>3</xdr:col>
      <xdr:colOff>440470</xdr:colOff>
      <xdr:row>13</xdr:row>
      <xdr:rowOff>13629</xdr:rowOff>
    </xdr:from>
    <xdr:to>
      <xdr:col>9</xdr:col>
      <xdr:colOff>463550</xdr:colOff>
      <xdr:row>19</xdr:row>
      <xdr:rowOff>1997</xdr:rowOff>
    </xdr:to>
    <xdr:cxnSp macro="">
      <xdr:nvCxnSpPr>
        <xdr:cNvPr id="9" name="AutoShape 14">
          <a:extLst>
            <a:ext uri="{FF2B5EF4-FFF2-40B4-BE49-F238E27FC236}">
              <a16:creationId xmlns:a16="http://schemas.microsoft.com/office/drawing/2014/main" id="{00000000-0008-0000-1100-000009000000}"/>
            </a:ext>
          </a:extLst>
        </xdr:cNvPr>
        <xdr:cNvCxnSpPr>
          <a:cxnSpLocks noChangeShapeType="1"/>
          <a:stCxn id="4" idx="3"/>
          <a:endCxn id="22" idx="1"/>
        </xdr:cNvCxnSpPr>
      </xdr:nvCxnSpPr>
      <xdr:spPr bwMode="auto">
        <a:xfrm flipV="1">
          <a:off x="1291370" y="3360079"/>
          <a:ext cx="2893280" cy="1080568"/>
        </a:xfrm>
        <a:prstGeom prst="straightConnector1">
          <a:avLst/>
        </a:prstGeom>
        <a:noFill/>
        <a:ln w="9525">
          <a:solidFill>
            <a:srgbClr val="000000"/>
          </a:solidFill>
          <a:round/>
          <a:headEnd/>
          <a:tailEnd type="arrow" w="med" len="med"/>
        </a:ln>
      </xdr:spPr>
    </xdr:cxnSp>
    <xdr:clientData/>
  </xdr:twoCellAnchor>
  <xdr:twoCellAnchor>
    <xdr:from>
      <xdr:col>9</xdr:col>
      <xdr:colOff>508000</xdr:colOff>
      <xdr:row>15</xdr:row>
      <xdr:rowOff>182491</xdr:rowOff>
    </xdr:from>
    <xdr:to>
      <xdr:col>12</xdr:col>
      <xdr:colOff>210712</xdr:colOff>
      <xdr:row>18</xdr:row>
      <xdr:rowOff>157649</xdr:rowOff>
    </xdr:to>
    <xdr:sp macro="" textlink="">
      <xdr:nvSpPr>
        <xdr:cNvPr id="10" name="AutoShape 17">
          <a:extLst>
            <a:ext uri="{FF2B5EF4-FFF2-40B4-BE49-F238E27FC236}">
              <a16:creationId xmlns:a16="http://schemas.microsoft.com/office/drawing/2014/main" id="{00000000-0008-0000-1100-00000A000000}"/>
            </a:ext>
          </a:extLst>
        </xdr:cNvPr>
        <xdr:cNvSpPr>
          <a:spLocks noChangeAspect="1" noChangeArrowheads="1"/>
        </xdr:cNvSpPr>
      </xdr:nvSpPr>
      <xdr:spPr bwMode="auto">
        <a:xfrm>
          <a:off x="4229100" y="3890891"/>
          <a:ext cx="1061612" cy="540308"/>
        </a:xfrm>
        <a:prstGeom prst="roundRect">
          <a:avLst>
            <a:gd name="adj" fmla="val 16667"/>
          </a:avLst>
        </a:prstGeom>
        <a:solidFill>
          <a:schemeClr val="accent5">
            <a:lumMod val="20000"/>
            <a:lumOff val="8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ysClr val="windowText" lastClr="000000"/>
              </a:solidFill>
              <a:latin typeface="Calibri"/>
              <a:cs typeface="Calibri"/>
            </a:rPr>
            <a:t>Seasonality</a:t>
          </a:r>
          <a:r>
            <a:rPr lang="en-US" sz="1000" b="0" i="0" strike="noStrike" baseline="0">
              <a:solidFill>
                <a:sysClr val="windowText" lastClr="000000"/>
              </a:solidFill>
              <a:latin typeface="Calibri"/>
              <a:cs typeface="Calibri"/>
            </a:rPr>
            <a:t> Index</a:t>
          </a:r>
          <a:endParaRPr lang="en-US" sz="1000" b="0" i="0" strike="noStrike">
            <a:solidFill>
              <a:sysClr val="windowText" lastClr="000000"/>
            </a:solidFill>
            <a:latin typeface="Calibri"/>
            <a:cs typeface="Calibri"/>
          </a:endParaRPr>
        </a:p>
      </xdr:txBody>
    </xdr:sp>
    <xdr:clientData/>
  </xdr:twoCellAnchor>
  <xdr:twoCellAnchor>
    <xdr:from>
      <xdr:col>3</xdr:col>
      <xdr:colOff>442896</xdr:colOff>
      <xdr:row>14</xdr:row>
      <xdr:rowOff>160669</xdr:rowOff>
    </xdr:from>
    <xdr:to>
      <xdr:col>9</xdr:col>
      <xdr:colOff>508000</xdr:colOff>
      <xdr:row>17</xdr:row>
      <xdr:rowOff>53912</xdr:rowOff>
    </xdr:to>
    <xdr:cxnSp macro="">
      <xdr:nvCxnSpPr>
        <xdr:cNvPr id="11" name="AutoShape 18">
          <a:extLst>
            <a:ext uri="{FF2B5EF4-FFF2-40B4-BE49-F238E27FC236}">
              <a16:creationId xmlns:a16="http://schemas.microsoft.com/office/drawing/2014/main" id="{00000000-0008-0000-1100-00000B000000}"/>
            </a:ext>
          </a:extLst>
        </xdr:cNvPr>
        <xdr:cNvCxnSpPr>
          <a:cxnSpLocks noChangeShapeType="1"/>
          <a:stCxn id="2" idx="3"/>
          <a:endCxn id="10" idx="1"/>
        </xdr:cNvCxnSpPr>
      </xdr:nvCxnSpPr>
      <xdr:spPr bwMode="auto">
        <a:xfrm>
          <a:off x="1293796" y="3703969"/>
          <a:ext cx="2935304" cy="458393"/>
        </a:xfrm>
        <a:prstGeom prst="straightConnector1">
          <a:avLst/>
        </a:prstGeom>
        <a:noFill/>
        <a:ln w="9525">
          <a:solidFill>
            <a:srgbClr val="000000"/>
          </a:solidFill>
          <a:round/>
          <a:headEnd/>
          <a:tailEnd type="arrow" w="med" len="med"/>
        </a:ln>
      </xdr:spPr>
    </xdr:cxnSp>
    <xdr:clientData/>
  </xdr:twoCellAnchor>
  <xdr:twoCellAnchor>
    <xdr:from>
      <xdr:col>3</xdr:col>
      <xdr:colOff>440470</xdr:colOff>
      <xdr:row>17</xdr:row>
      <xdr:rowOff>53912</xdr:rowOff>
    </xdr:from>
    <xdr:to>
      <xdr:col>9</xdr:col>
      <xdr:colOff>508000</xdr:colOff>
      <xdr:row>19</xdr:row>
      <xdr:rowOff>1997</xdr:rowOff>
    </xdr:to>
    <xdr:cxnSp macro="">
      <xdr:nvCxnSpPr>
        <xdr:cNvPr id="12" name="AutoShape 18">
          <a:extLst>
            <a:ext uri="{FF2B5EF4-FFF2-40B4-BE49-F238E27FC236}">
              <a16:creationId xmlns:a16="http://schemas.microsoft.com/office/drawing/2014/main" id="{00000000-0008-0000-1100-00000C000000}"/>
            </a:ext>
          </a:extLst>
        </xdr:cNvPr>
        <xdr:cNvCxnSpPr>
          <a:cxnSpLocks noChangeShapeType="1"/>
          <a:stCxn id="4" idx="3"/>
          <a:endCxn id="10" idx="1"/>
        </xdr:cNvCxnSpPr>
      </xdr:nvCxnSpPr>
      <xdr:spPr bwMode="auto">
        <a:xfrm flipV="1">
          <a:off x="1291370" y="4162362"/>
          <a:ext cx="2937730" cy="278285"/>
        </a:xfrm>
        <a:prstGeom prst="straightConnector1">
          <a:avLst/>
        </a:prstGeom>
        <a:noFill/>
        <a:ln w="9525">
          <a:solidFill>
            <a:srgbClr val="000000"/>
          </a:solidFill>
          <a:round/>
          <a:headEnd/>
          <a:tailEnd type="arrow" w="med" len="med"/>
        </a:ln>
      </xdr:spPr>
    </xdr:cxnSp>
    <xdr:clientData/>
  </xdr:twoCellAnchor>
  <xdr:twoCellAnchor>
    <xdr:from>
      <xdr:col>12</xdr:col>
      <xdr:colOff>210712</xdr:colOff>
      <xdr:row>12</xdr:row>
      <xdr:rowOff>144424</xdr:rowOff>
    </xdr:from>
    <xdr:to>
      <xdr:col>17</xdr:col>
      <xdr:colOff>209550</xdr:colOff>
      <xdr:row>17</xdr:row>
      <xdr:rowOff>53912</xdr:rowOff>
    </xdr:to>
    <xdr:cxnSp macro="">
      <xdr:nvCxnSpPr>
        <xdr:cNvPr id="13" name="AutoShape 18">
          <a:extLst>
            <a:ext uri="{FF2B5EF4-FFF2-40B4-BE49-F238E27FC236}">
              <a16:creationId xmlns:a16="http://schemas.microsoft.com/office/drawing/2014/main" id="{00000000-0008-0000-1100-00000D000000}"/>
            </a:ext>
          </a:extLst>
        </xdr:cNvPr>
        <xdr:cNvCxnSpPr>
          <a:cxnSpLocks noChangeShapeType="1"/>
          <a:stCxn id="10" idx="3"/>
          <a:endCxn id="21" idx="1"/>
        </xdr:cNvCxnSpPr>
      </xdr:nvCxnSpPr>
      <xdr:spPr bwMode="auto">
        <a:xfrm flipV="1">
          <a:off x="5290712" y="3294024"/>
          <a:ext cx="2399138" cy="868338"/>
        </a:xfrm>
        <a:prstGeom prst="straightConnector1">
          <a:avLst/>
        </a:prstGeom>
        <a:noFill/>
        <a:ln w="9525">
          <a:solidFill>
            <a:srgbClr val="000000"/>
          </a:solidFill>
          <a:round/>
          <a:headEnd/>
          <a:tailEnd type="arrow" w="med" len="med"/>
        </a:ln>
      </xdr:spPr>
    </xdr:cxnSp>
    <xdr:clientData/>
  </xdr:twoCellAnchor>
  <xdr:twoCellAnchor>
    <xdr:from>
      <xdr:col>12</xdr:col>
      <xdr:colOff>225425</xdr:colOff>
      <xdr:row>2</xdr:row>
      <xdr:rowOff>148200</xdr:rowOff>
    </xdr:from>
    <xdr:to>
      <xdr:col>15</xdr:col>
      <xdr:colOff>28575</xdr:colOff>
      <xdr:row>5</xdr:row>
      <xdr:rowOff>135348</xdr:rowOff>
    </xdr:to>
    <xdr:sp macro="" textlink="">
      <xdr:nvSpPr>
        <xdr:cNvPr id="14" name="AutoShape 17">
          <a:extLst>
            <a:ext uri="{FF2B5EF4-FFF2-40B4-BE49-F238E27FC236}">
              <a16:creationId xmlns:a16="http://schemas.microsoft.com/office/drawing/2014/main" id="{00000000-0008-0000-1100-00000E000000}"/>
            </a:ext>
          </a:extLst>
        </xdr:cNvPr>
        <xdr:cNvSpPr>
          <a:spLocks noChangeAspect="1" noChangeArrowheads="1"/>
        </xdr:cNvSpPr>
      </xdr:nvSpPr>
      <xdr:spPr bwMode="auto">
        <a:xfrm>
          <a:off x="5305425" y="1329300"/>
          <a:ext cx="1162050" cy="577698"/>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bg1"/>
              </a:solidFill>
              <a:latin typeface="Calibri"/>
              <a:ea typeface="+mn-ea"/>
              <a:cs typeface="Calibri"/>
            </a:rPr>
            <a:t>Safety Stock Level</a:t>
          </a:r>
        </a:p>
      </xdr:txBody>
    </xdr:sp>
    <xdr:clientData/>
  </xdr:twoCellAnchor>
  <xdr:twoCellAnchor>
    <xdr:from>
      <xdr:col>0</xdr:col>
      <xdr:colOff>215900</xdr:colOff>
      <xdr:row>2</xdr:row>
      <xdr:rowOff>31750</xdr:rowOff>
    </xdr:from>
    <xdr:to>
      <xdr:col>3</xdr:col>
      <xdr:colOff>450043</xdr:colOff>
      <xdr:row>4</xdr:row>
      <xdr:rowOff>127928</xdr:rowOff>
    </xdr:to>
    <xdr:sp macro="" textlink="">
      <xdr:nvSpPr>
        <xdr:cNvPr id="15" name="AutoShape 5">
          <a:extLst>
            <a:ext uri="{FF2B5EF4-FFF2-40B4-BE49-F238E27FC236}">
              <a16:creationId xmlns:a16="http://schemas.microsoft.com/office/drawing/2014/main" id="{00000000-0008-0000-1100-00000F000000}"/>
            </a:ext>
          </a:extLst>
        </xdr:cNvPr>
        <xdr:cNvSpPr>
          <a:spLocks noChangeAspect="1" noChangeArrowheads="1"/>
        </xdr:cNvSpPr>
      </xdr:nvSpPr>
      <xdr:spPr bwMode="auto">
        <a:xfrm>
          <a:off x="215900" y="1212850"/>
          <a:ext cx="1085043" cy="489878"/>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Max.</a:t>
          </a:r>
          <a:r>
            <a:rPr lang="en-US" sz="1000" b="0" i="0" strike="noStrike" baseline="0">
              <a:solidFill>
                <a:srgbClr val="993366"/>
              </a:solidFill>
              <a:latin typeface="Calibri"/>
              <a:cs typeface="Calibri"/>
            </a:rPr>
            <a:t> Lead Time</a:t>
          </a:r>
          <a:endParaRPr lang="en-US" sz="1000" b="0" i="0" strike="noStrike">
            <a:solidFill>
              <a:srgbClr val="993366"/>
            </a:solidFill>
            <a:latin typeface="Calibri"/>
            <a:cs typeface="Calibri"/>
          </a:endParaRPr>
        </a:p>
      </xdr:txBody>
    </xdr:sp>
    <xdr:clientData/>
  </xdr:twoCellAnchor>
  <xdr:twoCellAnchor>
    <xdr:from>
      <xdr:col>0</xdr:col>
      <xdr:colOff>215900</xdr:colOff>
      <xdr:row>4</xdr:row>
      <xdr:rowOff>177800</xdr:rowOff>
    </xdr:from>
    <xdr:to>
      <xdr:col>3</xdr:col>
      <xdr:colOff>450043</xdr:colOff>
      <xdr:row>7</xdr:row>
      <xdr:rowOff>83478</xdr:rowOff>
    </xdr:to>
    <xdr:sp macro="" textlink="">
      <xdr:nvSpPr>
        <xdr:cNvPr id="16" name="AutoShape 5">
          <a:extLst>
            <a:ext uri="{FF2B5EF4-FFF2-40B4-BE49-F238E27FC236}">
              <a16:creationId xmlns:a16="http://schemas.microsoft.com/office/drawing/2014/main" id="{00000000-0008-0000-1100-000010000000}"/>
            </a:ext>
          </a:extLst>
        </xdr:cNvPr>
        <xdr:cNvSpPr>
          <a:spLocks noChangeAspect="1" noChangeArrowheads="1"/>
        </xdr:cNvSpPr>
      </xdr:nvSpPr>
      <xdr:spPr bwMode="auto">
        <a:xfrm>
          <a:off x="215900" y="1752600"/>
          <a:ext cx="1085043" cy="496228"/>
        </a:xfrm>
        <a:prstGeom prst="roundRect">
          <a:avLst>
            <a:gd name="adj" fmla="val 16667"/>
          </a:avLst>
        </a:prstGeom>
        <a:no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a:solidFill>
                <a:srgbClr val="993366"/>
              </a:solidFill>
              <a:latin typeface="Calibri"/>
              <a:cs typeface="Calibri"/>
            </a:rPr>
            <a:t>Average</a:t>
          </a:r>
          <a:r>
            <a:rPr lang="en-US" sz="1000" b="0" i="0" strike="noStrike" baseline="0">
              <a:solidFill>
                <a:srgbClr val="993366"/>
              </a:solidFill>
              <a:latin typeface="Calibri"/>
              <a:cs typeface="Calibri"/>
            </a:rPr>
            <a:t> Lead Time</a:t>
          </a:r>
          <a:endParaRPr lang="en-US" sz="1000" b="0" i="0" strike="noStrike">
            <a:solidFill>
              <a:srgbClr val="993366"/>
            </a:solidFill>
            <a:latin typeface="Calibri"/>
            <a:cs typeface="Calibri"/>
          </a:endParaRPr>
        </a:p>
      </xdr:txBody>
    </xdr:sp>
    <xdr:clientData/>
  </xdr:twoCellAnchor>
  <xdr:twoCellAnchor>
    <xdr:from>
      <xdr:col>12</xdr:col>
      <xdr:colOff>285750</xdr:colOff>
      <xdr:row>8</xdr:row>
      <xdr:rowOff>95250</xdr:rowOff>
    </xdr:from>
    <xdr:to>
      <xdr:col>15</xdr:col>
      <xdr:colOff>5543</xdr:colOff>
      <xdr:row>11</xdr:row>
      <xdr:rowOff>928</xdr:rowOff>
    </xdr:to>
    <xdr:sp macro="" textlink="">
      <xdr:nvSpPr>
        <xdr:cNvPr id="17" name="AutoShape 5">
          <a:extLst>
            <a:ext uri="{FF2B5EF4-FFF2-40B4-BE49-F238E27FC236}">
              <a16:creationId xmlns:a16="http://schemas.microsoft.com/office/drawing/2014/main" id="{00000000-0008-0000-1100-000011000000}"/>
            </a:ext>
          </a:extLst>
        </xdr:cNvPr>
        <xdr:cNvSpPr>
          <a:spLocks noChangeAspect="1" noChangeArrowheads="1"/>
        </xdr:cNvSpPr>
      </xdr:nvSpPr>
      <xdr:spPr bwMode="auto">
        <a:xfrm>
          <a:off x="5365750" y="2457450"/>
          <a:ext cx="1078693" cy="496228"/>
        </a:xfrm>
        <a:prstGeom prst="roundRect">
          <a:avLst>
            <a:gd name="adj" fmla="val 16667"/>
          </a:avLst>
        </a:prstGeom>
        <a:solidFill>
          <a:schemeClr val="accent5">
            <a:lumMod val="60000"/>
            <a:lumOff val="4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ysClr val="windowText" lastClr="000000"/>
              </a:solidFill>
              <a:latin typeface="Calibri"/>
              <a:ea typeface="+mn-ea"/>
              <a:cs typeface="Calibri"/>
            </a:rPr>
            <a:t>Max.Forecasted  Demand</a:t>
          </a:r>
        </a:p>
      </xdr:txBody>
    </xdr:sp>
    <xdr:clientData/>
  </xdr:twoCellAnchor>
  <xdr:twoCellAnchor>
    <xdr:from>
      <xdr:col>3</xdr:col>
      <xdr:colOff>450043</xdr:colOff>
      <xdr:row>4</xdr:row>
      <xdr:rowOff>46524</xdr:rowOff>
    </xdr:from>
    <xdr:to>
      <xdr:col>12</xdr:col>
      <xdr:colOff>225425</xdr:colOff>
      <xdr:row>6</xdr:row>
      <xdr:rowOff>35389</xdr:rowOff>
    </xdr:to>
    <xdr:cxnSp macro="">
      <xdr:nvCxnSpPr>
        <xdr:cNvPr id="18" name="AutoShape 14">
          <a:extLst>
            <a:ext uri="{FF2B5EF4-FFF2-40B4-BE49-F238E27FC236}">
              <a16:creationId xmlns:a16="http://schemas.microsoft.com/office/drawing/2014/main" id="{00000000-0008-0000-1100-000012000000}"/>
            </a:ext>
          </a:extLst>
        </xdr:cNvPr>
        <xdr:cNvCxnSpPr>
          <a:cxnSpLocks noChangeShapeType="1"/>
          <a:stCxn id="16" idx="3"/>
          <a:endCxn id="14" idx="1"/>
        </xdr:cNvCxnSpPr>
      </xdr:nvCxnSpPr>
      <xdr:spPr bwMode="auto">
        <a:xfrm flipV="1">
          <a:off x="1300943" y="1621324"/>
          <a:ext cx="4004482" cy="382565"/>
        </a:xfrm>
        <a:prstGeom prst="straightConnector1">
          <a:avLst/>
        </a:prstGeom>
        <a:noFill/>
        <a:ln w="9525">
          <a:solidFill>
            <a:srgbClr val="000000"/>
          </a:solidFill>
          <a:round/>
          <a:headEnd/>
          <a:tailEnd type="arrow" w="med" len="med"/>
        </a:ln>
      </xdr:spPr>
    </xdr:cxnSp>
    <xdr:clientData/>
  </xdr:twoCellAnchor>
  <xdr:twoCellAnchor>
    <xdr:from>
      <xdr:col>3</xdr:col>
      <xdr:colOff>450043</xdr:colOff>
      <xdr:row>3</xdr:row>
      <xdr:rowOff>79839</xdr:rowOff>
    </xdr:from>
    <xdr:to>
      <xdr:col>12</xdr:col>
      <xdr:colOff>225425</xdr:colOff>
      <xdr:row>4</xdr:row>
      <xdr:rowOff>46524</xdr:rowOff>
    </xdr:to>
    <xdr:cxnSp macro="">
      <xdr:nvCxnSpPr>
        <xdr:cNvPr id="19" name="AutoShape 14">
          <a:extLst>
            <a:ext uri="{FF2B5EF4-FFF2-40B4-BE49-F238E27FC236}">
              <a16:creationId xmlns:a16="http://schemas.microsoft.com/office/drawing/2014/main" id="{00000000-0008-0000-1100-000013000000}"/>
            </a:ext>
          </a:extLst>
        </xdr:cNvPr>
        <xdr:cNvCxnSpPr>
          <a:cxnSpLocks noChangeShapeType="1"/>
          <a:stCxn id="15" idx="3"/>
          <a:endCxn id="14" idx="1"/>
        </xdr:cNvCxnSpPr>
      </xdr:nvCxnSpPr>
      <xdr:spPr bwMode="auto">
        <a:xfrm>
          <a:off x="1300943" y="1457789"/>
          <a:ext cx="4004482" cy="163535"/>
        </a:xfrm>
        <a:prstGeom prst="straightConnector1">
          <a:avLst/>
        </a:prstGeom>
        <a:noFill/>
        <a:ln w="9525">
          <a:solidFill>
            <a:srgbClr val="000000"/>
          </a:solidFill>
          <a:round/>
          <a:headEnd/>
          <a:tailEnd type="arrow" w="med" len="med"/>
        </a:ln>
      </xdr:spPr>
    </xdr:cxnSp>
    <xdr:clientData/>
  </xdr:twoCellAnchor>
  <xdr:twoCellAnchor>
    <xdr:from>
      <xdr:col>13</xdr:col>
      <xdr:colOff>301625</xdr:colOff>
      <xdr:row>5</xdr:row>
      <xdr:rowOff>135349</xdr:rowOff>
    </xdr:from>
    <xdr:to>
      <xdr:col>13</xdr:col>
      <xdr:colOff>304397</xdr:colOff>
      <xdr:row>8</xdr:row>
      <xdr:rowOff>95250</xdr:rowOff>
    </xdr:to>
    <xdr:cxnSp macro="">
      <xdr:nvCxnSpPr>
        <xdr:cNvPr id="20" name="AutoShape 18">
          <a:extLst>
            <a:ext uri="{FF2B5EF4-FFF2-40B4-BE49-F238E27FC236}">
              <a16:creationId xmlns:a16="http://schemas.microsoft.com/office/drawing/2014/main" id="{00000000-0008-0000-1100-000014000000}"/>
            </a:ext>
          </a:extLst>
        </xdr:cNvPr>
        <xdr:cNvCxnSpPr>
          <a:cxnSpLocks noChangeShapeType="1"/>
          <a:stCxn id="17" idx="0"/>
        </xdr:cNvCxnSpPr>
      </xdr:nvCxnSpPr>
      <xdr:spPr bwMode="auto">
        <a:xfrm flipH="1" flipV="1">
          <a:off x="5902325" y="1906999"/>
          <a:ext cx="2772" cy="550451"/>
        </a:xfrm>
        <a:prstGeom prst="straightConnector1">
          <a:avLst/>
        </a:prstGeom>
        <a:noFill/>
        <a:ln w="9525">
          <a:solidFill>
            <a:srgbClr val="000000"/>
          </a:solidFill>
          <a:round/>
          <a:headEnd/>
          <a:tailEnd type="arrow" w="med" len="med"/>
        </a:ln>
      </xdr:spPr>
    </xdr:cxnSp>
    <xdr:clientData/>
  </xdr:twoCellAnchor>
  <xdr:twoCellAnchor>
    <xdr:from>
      <xdr:col>17</xdr:col>
      <xdr:colOff>209550</xdr:colOff>
      <xdr:row>11</xdr:row>
      <xdr:rowOff>9525</xdr:rowOff>
    </xdr:from>
    <xdr:to>
      <xdr:col>19</xdr:col>
      <xdr:colOff>494957</xdr:colOff>
      <xdr:row>14</xdr:row>
      <xdr:rowOff>85725</xdr:rowOff>
    </xdr:to>
    <xdr:sp macro="" textlink="">
      <xdr:nvSpPr>
        <xdr:cNvPr id="21" name="AutoShape 1">
          <a:extLst>
            <a:ext uri="{FF2B5EF4-FFF2-40B4-BE49-F238E27FC236}">
              <a16:creationId xmlns:a16="http://schemas.microsoft.com/office/drawing/2014/main" id="{00000000-0008-0000-1100-000015000000}"/>
            </a:ext>
          </a:extLst>
        </xdr:cNvPr>
        <xdr:cNvSpPr>
          <a:spLocks noChangeAspect="1" noChangeArrowheads="1"/>
        </xdr:cNvSpPr>
      </xdr:nvSpPr>
      <xdr:spPr bwMode="auto">
        <a:xfrm>
          <a:off x="7689850" y="2962275"/>
          <a:ext cx="1123607" cy="666750"/>
        </a:xfrm>
        <a:prstGeom prst="roundRect">
          <a:avLst>
            <a:gd name="adj" fmla="val 16667"/>
          </a:avLst>
        </a:prstGeom>
        <a:solidFill>
          <a:srgbClr val="0070C0"/>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chemeClr val="bg1"/>
              </a:solidFill>
              <a:latin typeface="Calibri"/>
              <a:cs typeface="Calibri"/>
            </a:rPr>
            <a:t>Seasonalised Forecasted Demand</a:t>
          </a:r>
          <a:endParaRPr lang="en-US" sz="1000" b="0" i="0" strike="noStrike">
            <a:solidFill>
              <a:schemeClr val="bg1"/>
            </a:solidFill>
            <a:latin typeface="Calibri"/>
            <a:cs typeface="Calibri"/>
          </a:endParaRPr>
        </a:p>
      </xdr:txBody>
    </xdr:sp>
    <xdr:clientData/>
  </xdr:twoCellAnchor>
  <xdr:twoCellAnchor>
    <xdr:from>
      <xdr:col>9</xdr:col>
      <xdr:colOff>463550</xdr:colOff>
      <xdr:row>11</xdr:row>
      <xdr:rowOff>77130</xdr:rowOff>
    </xdr:from>
    <xdr:to>
      <xdr:col>12</xdr:col>
      <xdr:colOff>226244</xdr:colOff>
      <xdr:row>14</xdr:row>
      <xdr:rowOff>143727</xdr:rowOff>
    </xdr:to>
    <xdr:sp macro="" textlink="">
      <xdr:nvSpPr>
        <xdr:cNvPr id="22" name="AutoShape 1">
          <a:extLst>
            <a:ext uri="{FF2B5EF4-FFF2-40B4-BE49-F238E27FC236}">
              <a16:creationId xmlns:a16="http://schemas.microsoft.com/office/drawing/2014/main" id="{00000000-0008-0000-1100-000016000000}"/>
            </a:ext>
          </a:extLst>
        </xdr:cNvPr>
        <xdr:cNvSpPr>
          <a:spLocks noChangeAspect="1" noChangeArrowheads="1"/>
        </xdr:cNvSpPr>
      </xdr:nvSpPr>
      <xdr:spPr bwMode="auto">
        <a:xfrm>
          <a:off x="4184650" y="3029880"/>
          <a:ext cx="1121594" cy="657147"/>
        </a:xfrm>
        <a:prstGeom prst="roundRect">
          <a:avLst>
            <a:gd name="adj" fmla="val 16667"/>
          </a:avLst>
        </a:prstGeom>
        <a:solidFill>
          <a:schemeClr val="accent5">
            <a:lumMod val="20000"/>
            <a:lumOff val="8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Deseasonalised Forecasted Demand</a:t>
          </a:r>
          <a:endParaRPr lang="en-US" sz="1000" b="0" i="0" strike="noStrike">
            <a:solidFill>
              <a:sysClr val="windowText" lastClr="000000"/>
            </a:solidFill>
            <a:latin typeface="Calibri"/>
            <a:cs typeface="Calibri"/>
          </a:endParaRPr>
        </a:p>
      </xdr:txBody>
    </xdr:sp>
    <xdr:clientData/>
  </xdr:twoCellAnchor>
  <xdr:twoCellAnchor>
    <xdr:from>
      <xdr:col>15</xdr:col>
      <xdr:colOff>28575</xdr:colOff>
      <xdr:row>4</xdr:row>
      <xdr:rowOff>46524</xdr:rowOff>
    </xdr:from>
    <xdr:to>
      <xdr:col>24</xdr:col>
      <xdr:colOff>117475</xdr:colOff>
      <xdr:row>6</xdr:row>
      <xdr:rowOff>184150</xdr:rowOff>
    </xdr:to>
    <xdr:cxnSp macro="">
      <xdr:nvCxnSpPr>
        <xdr:cNvPr id="23" name="AutoShape 18">
          <a:extLst>
            <a:ext uri="{FF2B5EF4-FFF2-40B4-BE49-F238E27FC236}">
              <a16:creationId xmlns:a16="http://schemas.microsoft.com/office/drawing/2014/main" id="{00000000-0008-0000-1100-000017000000}"/>
            </a:ext>
          </a:extLst>
        </xdr:cNvPr>
        <xdr:cNvCxnSpPr>
          <a:cxnSpLocks noChangeShapeType="1"/>
          <a:stCxn id="14" idx="3"/>
          <a:endCxn id="27" idx="1"/>
        </xdr:cNvCxnSpPr>
      </xdr:nvCxnSpPr>
      <xdr:spPr bwMode="auto">
        <a:xfrm>
          <a:off x="6467475" y="1621324"/>
          <a:ext cx="3390900" cy="531326"/>
        </a:xfrm>
        <a:prstGeom prst="straightConnector1">
          <a:avLst/>
        </a:prstGeom>
        <a:noFill/>
        <a:ln w="9525">
          <a:solidFill>
            <a:srgbClr val="000000"/>
          </a:solidFill>
          <a:round/>
          <a:headEnd/>
          <a:tailEnd type="arrow" w="med" len="med"/>
        </a:ln>
      </xdr:spPr>
    </xdr:cxnSp>
    <xdr:clientData/>
  </xdr:twoCellAnchor>
  <xdr:twoCellAnchor>
    <xdr:from>
      <xdr:col>19</xdr:col>
      <xdr:colOff>494957</xdr:colOff>
      <xdr:row>6</xdr:row>
      <xdr:rowOff>184150</xdr:rowOff>
    </xdr:from>
    <xdr:to>
      <xdr:col>24</xdr:col>
      <xdr:colOff>117475</xdr:colOff>
      <xdr:row>12</xdr:row>
      <xdr:rowOff>142875</xdr:rowOff>
    </xdr:to>
    <xdr:cxnSp macro="">
      <xdr:nvCxnSpPr>
        <xdr:cNvPr id="24" name="AutoShape 18">
          <a:extLst>
            <a:ext uri="{FF2B5EF4-FFF2-40B4-BE49-F238E27FC236}">
              <a16:creationId xmlns:a16="http://schemas.microsoft.com/office/drawing/2014/main" id="{00000000-0008-0000-1100-000018000000}"/>
            </a:ext>
          </a:extLst>
        </xdr:cNvPr>
        <xdr:cNvCxnSpPr>
          <a:cxnSpLocks noChangeShapeType="1"/>
          <a:stCxn id="21" idx="3"/>
          <a:endCxn id="27" idx="1"/>
        </xdr:cNvCxnSpPr>
      </xdr:nvCxnSpPr>
      <xdr:spPr bwMode="auto">
        <a:xfrm flipV="1">
          <a:off x="8813457" y="2152650"/>
          <a:ext cx="1044918" cy="1139825"/>
        </a:xfrm>
        <a:prstGeom prst="straightConnector1">
          <a:avLst/>
        </a:prstGeom>
        <a:noFill/>
        <a:ln w="9525">
          <a:solidFill>
            <a:srgbClr val="000000"/>
          </a:solidFill>
          <a:round/>
          <a:headEnd/>
          <a:tailEnd type="arrow" w="med" len="med"/>
        </a:ln>
      </xdr:spPr>
    </xdr:cxnSp>
    <xdr:clientData/>
  </xdr:twoCellAnchor>
  <xdr:twoCellAnchor>
    <xdr:from>
      <xdr:col>12</xdr:col>
      <xdr:colOff>226244</xdr:colOff>
      <xdr:row>12</xdr:row>
      <xdr:rowOff>144424</xdr:rowOff>
    </xdr:from>
    <xdr:to>
      <xdr:col>17</xdr:col>
      <xdr:colOff>209550</xdr:colOff>
      <xdr:row>13</xdr:row>
      <xdr:rowOff>13629</xdr:rowOff>
    </xdr:to>
    <xdr:cxnSp macro="">
      <xdr:nvCxnSpPr>
        <xdr:cNvPr id="25" name="AutoShape 18">
          <a:extLst>
            <a:ext uri="{FF2B5EF4-FFF2-40B4-BE49-F238E27FC236}">
              <a16:creationId xmlns:a16="http://schemas.microsoft.com/office/drawing/2014/main" id="{00000000-0008-0000-1100-000019000000}"/>
            </a:ext>
          </a:extLst>
        </xdr:cNvPr>
        <xdr:cNvCxnSpPr>
          <a:cxnSpLocks noChangeShapeType="1"/>
          <a:stCxn id="22" idx="3"/>
          <a:endCxn id="21" idx="1"/>
        </xdr:cNvCxnSpPr>
      </xdr:nvCxnSpPr>
      <xdr:spPr bwMode="auto">
        <a:xfrm flipV="1">
          <a:off x="5306244" y="3294024"/>
          <a:ext cx="2383606" cy="66055"/>
        </a:xfrm>
        <a:prstGeom prst="straightConnector1">
          <a:avLst/>
        </a:prstGeom>
        <a:noFill/>
        <a:ln w="9525">
          <a:solidFill>
            <a:srgbClr val="000000"/>
          </a:solidFill>
          <a:round/>
          <a:headEnd/>
          <a:tailEnd type="arrow" w="med" len="med"/>
        </a:ln>
      </xdr:spPr>
    </xdr:cxnSp>
    <xdr:clientData/>
  </xdr:twoCellAnchor>
  <xdr:twoCellAnchor>
    <xdr:from>
      <xdr:col>15</xdr:col>
      <xdr:colOff>5543</xdr:colOff>
      <xdr:row>9</xdr:row>
      <xdr:rowOff>143339</xdr:rowOff>
    </xdr:from>
    <xdr:to>
      <xdr:col>17</xdr:col>
      <xdr:colOff>209550</xdr:colOff>
      <xdr:row>12</xdr:row>
      <xdr:rowOff>142875</xdr:rowOff>
    </xdr:to>
    <xdr:cxnSp macro="">
      <xdr:nvCxnSpPr>
        <xdr:cNvPr id="26" name="AutoShape 18">
          <a:extLst>
            <a:ext uri="{FF2B5EF4-FFF2-40B4-BE49-F238E27FC236}">
              <a16:creationId xmlns:a16="http://schemas.microsoft.com/office/drawing/2014/main" id="{00000000-0008-0000-1100-00001A000000}"/>
            </a:ext>
          </a:extLst>
        </xdr:cNvPr>
        <xdr:cNvCxnSpPr>
          <a:cxnSpLocks noChangeShapeType="1"/>
          <a:stCxn id="21" idx="1"/>
          <a:endCxn id="17" idx="3"/>
        </xdr:cNvCxnSpPr>
      </xdr:nvCxnSpPr>
      <xdr:spPr bwMode="auto">
        <a:xfrm flipH="1" flipV="1">
          <a:off x="6444443" y="2702389"/>
          <a:ext cx="1245407" cy="590086"/>
        </a:xfrm>
        <a:prstGeom prst="straightConnector1">
          <a:avLst/>
        </a:prstGeom>
        <a:noFill/>
        <a:ln w="9525">
          <a:solidFill>
            <a:srgbClr val="000000"/>
          </a:solidFill>
          <a:round/>
          <a:headEnd/>
          <a:tailEnd type="arrow" w="med" len="med"/>
        </a:ln>
      </xdr:spPr>
    </xdr:cxnSp>
    <xdr:clientData/>
  </xdr:twoCellAnchor>
  <xdr:twoCellAnchor>
    <xdr:from>
      <xdr:col>24</xdr:col>
      <xdr:colOff>117475</xdr:colOff>
      <xdr:row>5</xdr:row>
      <xdr:rowOff>146050</xdr:rowOff>
    </xdr:from>
    <xdr:to>
      <xdr:col>25</xdr:col>
      <xdr:colOff>507283</xdr:colOff>
      <xdr:row>8</xdr:row>
      <xdr:rowOff>31749</xdr:rowOff>
    </xdr:to>
    <xdr:sp macro="" textlink="">
      <xdr:nvSpPr>
        <xdr:cNvPr id="27" name="AutoShape 1">
          <a:extLst>
            <a:ext uri="{FF2B5EF4-FFF2-40B4-BE49-F238E27FC236}">
              <a16:creationId xmlns:a16="http://schemas.microsoft.com/office/drawing/2014/main" id="{00000000-0008-0000-1100-00001B000000}"/>
            </a:ext>
          </a:extLst>
        </xdr:cNvPr>
        <xdr:cNvSpPr>
          <a:spLocks noChangeAspect="1" noChangeArrowheads="1"/>
        </xdr:cNvSpPr>
      </xdr:nvSpPr>
      <xdr:spPr bwMode="auto">
        <a:xfrm>
          <a:off x="9858375" y="1917700"/>
          <a:ext cx="1024808" cy="476249"/>
        </a:xfrm>
        <a:prstGeom prst="roundRect">
          <a:avLst>
            <a:gd name="adj" fmla="val 16667"/>
          </a:avLst>
        </a:prstGeom>
        <a:solidFill>
          <a:srgbClr val="002060"/>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000" b="0" i="0" strike="noStrike">
              <a:solidFill>
                <a:schemeClr val="bg1"/>
              </a:solidFill>
              <a:latin typeface="Calibri"/>
              <a:ea typeface="+mn-ea"/>
              <a:cs typeface="Calibri"/>
            </a:rPr>
            <a:t>Inventory</a:t>
          </a:r>
          <a:r>
            <a:rPr lang="en-US" sz="1000" b="0" i="0" strike="noStrike" baseline="0">
              <a:solidFill>
                <a:schemeClr val="bg1"/>
              </a:solidFill>
              <a:latin typeface="Calibri"/>
              <a:ea typeface="+mn-ea"/>
              <a:cs typeface="Calibri"/>
            </a:rPr>
            <a:t> Forecast</a:t>
          </a:r>
          <a:endParaRPr lang="en-US" sz="1000" b="0" i="0" strike="noStrike">
            <a:solidFill>
              <a:schemeClr val="bg1"/>
            </a:solidFill>
            <a:latin typeface="Calibri"/>
            <a:ea typeface="+mn-ea"/>
            <a:cs typeface="Calibri"/>
          </a:endParaRPr>
        </a:p>
      </xdr:txBody>
    </xdr:sp>
    <xdr:clientData/>
  </xdr:twoCellAnchor>
  <xdr:twoCellAnchor>
    <xdr:from>
      <xdr:col>13</xdr:col>
      <xdr:colOff>285750</xdr:colOff>
      <xdr:row>5</xdr:row>
      <xdr:rowOff>135348</xdr:rowOff>
    </xdr:from>
    <xdr:to>
      <xdr:col>18</xdr:col>
      <xdr:colOff>455441</xdr:colOff>
      <xdr:row>11</xdr:row>
      <xdr:rowOff>9525</xdr:rowOff>
    </xdr:to>
    <xdr:cxnSp macro="">
      <xdr:nvCxnSpPr>
        <xdr:cNvPr id="28" name="AutoShape 18">
          <a:extLst>
            <a:ext uri="{FF2B5EF4-FFF2-40B4-BE49-F238E27FC236}">
              <a16:creationId xmlns:a16="http://schemas.microsoft.com/office/drawing/2014/main" id="{00000000-0008-0000-1100-00001C000000}"/>
            </a:ext>
          </a:extLst>
        </xdr:cNvPr>
        <xdr:cNvCxnSpPr>
          <a:cxnSpLocks noChangeShapeType="1"/>
          <a:stCxn id="21" idx="0"/>
          <a:endCxn id="14" idx="2"/>
        </xdr:cNvCxnSpPr>
      </xdr:nvCxnSpPr>
      <xdr:spPr bwMode="auto">
        <a:xfrm flipH="1" flipV="1">
          <a:off x="5886450" y="1906998"/>
          <a:ext cx="2366791" cy="1055277"/>
        </a:xfrm>
        <a:prstGeom prst="straightConnector1">
          <a:avLst/>
        </a:prstGeom>
        <a:noFill/>
        <a:ln w="9525">
          <a:solidFill>
            <a:srgbClr val="000000"/>
          </a:solidFill>
          <a:round/>
          <a:headEnd/>
          <a:tailEnd type="arrow" w="med" len="med"/>
        </a:ln>
      </xdr:spPr>
    </xdr:cxnSp>
    <xdr:clientData/>
  </xdr:twoCellAnchor>
  <xdr:twoCellAnchor>
    <xdr:from>
      <xdr:col>12</xdr:col>
      <xdr:colOff>297676</xdr:colOff>
      <xdr:row>21</xdr:row>
      <xdr:rowOff>34151</xdr:rowOff>
    </xdr:from>
    <xdr:to>
      <xdr:col>15</xdr:col>
      <xdr:colOff>59208</xdr:colOff>
      <xdr:row>25</xdr:row>
      <xdr:rowOff>46851</xdr:rowOff>
    </xdr:to>
    <xdr:sp macro="" textlink="">
      <xdr:nvSpPr>
        <xdr:cNvPr id="29" name="AutoShape 1">
          <a:extLst>
            <a:ext uri="{FF2B5EF4-FFF2-40B4-BE49-F238E27FC236}">
              <a16:creationId xmlns:a16="http://schemas.microsoft.com/office/drawing/2014/main" id="{00000000-0008-0000-1100-00001D000000}"/>
            </a:ext>
          </a:extLst>
        </xdr:cNvPr>
        <xdr:cNvSpPr>
          <a:spLocks noChangeAspect="1" noChangeArrowheads="1"/>
        </xdr:cNvSpPr>
      </xdr:nvSpPr>
      <xdr:spPr bwMode="auto">
        <a:xfrm>
          <a:off x="5377676" y="4803001"/>
          <a:ext cx="1120432" cy="673100"/>
        </a:xfrm>
        <a:prstGeom prst="roundRect">
          <a:avLst>
            <a:gd name="adj" fmla="val 16667"/>
          </a:avLst>
        </a:prstGeom>
        <a:solidFill>
          <a:schemeClr val="accent5">
            <a:lumMod val="60000"/>
            <a:lumOff val="40000"/>
          </a:schemeClr>
        </a:solidFill>
        <a:ln w="9525">
          <a:solidFill>
            <a:srgbClr val="000000"/>
          </a:solidFill>
          <a:round/>
          <a:headEnd/>
          <a:tailEnd/>
        </a:ln>
      </xdr:spPr>
      <xdr:txBody>
        <a:bodyPr vertOverflow="clip" wrap="square" lIns="36576" tIns="27432" rIns="36576" bIns="27432" anchor="ctr" upright="1"/>
        <a:lstStyle/>
        <a:p>
          <a:pPr algn="ctr" rtl="0">
            <a:defRPr sz="1000"/>
          </a:pPr>
          <a:r>
            <a:rPr lang="en-US" sz="1000" b="0" i="0" strike="noStrike" baseline="0">
              <a:solidFill>
                <a:sysClr val="windowText" lastClr="000000"/>
              </a:solidFill>
              <a:latin typeface="Calibri"/>
              <a:cs typeface="Calibri"/>
            </a:rPr>
            <a:t>Seasonality Forecasting Error</a:t>
          </a:r>
        </a:p>
      </xdr:txBody>
    </xdr:sp>
    <xdr:clientData/>
  </xdr:twoCellAnchor>
  <xdr:twoCellAnchor>
    <xdr:from>
      <xdr:col>13</xdr:col>
      <xdr:colOff>304396</xdr:colOff>
      <xdr:row>11</xdr:row>
      <xdr:rowOff>928</xdr:rowOff>
    </xdr:from>
    <xdr:to>
      <xdr:col>13</xdr:col>
      <xdr:colOff>337192</xdr:colOff>
      <xdr:row>21</xdr:row>
      <xdr:rowOff>34151</xdr:rowOff>
    </xdr:to>
    <xdr:cxnSp macro="">
      <xdr:nvCxnSpPr>
        <xdr:cNvPr id="30" name="AutoShape 18">
          <a:extLst>
            <a:ext uri="{FF2B5EF4-FFF2-40B4-BE49-F238E27FC236}">
              <a16:creationId xmlns:a16="http://schemas.microsoft.com/office/drawing/2014/main" id="{00000000-0008-0000-1100-00001E000000}"/>
            </a:ext>
          </a:extLst>
        </xdr:cNvPr>
        <xdr:cNvCxnSpPr>
          <a:cxnSpLocks noChangeShapeType="1"/>
          <a:stCxn id="29" idx="0"/>
          <a:endCxn id="17" idx="2"/>
        </xdr:cNvCxnSpPr>
      </xdr:nvCxnSpPr>
      <xdr:spPr bwMode="auto">
        <a:xfrm flipH="1" flipV="1">
          <a:off x="5905096" y="2953678"/>
          <a:ext cx="32796" cy="1849323"/>
        </a:xfrm>
        <a:prstGeom prst="straightConnector1">
          <a:avLst/>
        </a:prstGeom>
        <a:noFill/>
        <a:ln w="9525">
          <a:solidFill>
            <a:srgbClr val="000000"/>
          </a:solidFill>
          <a:round/>
          <a:headEnd/>
          <a:tailEnd type="arrow" w="med" len="med"/>
        </a:ln>
      </xdr:spPr>
    </xdr:cxnSp>
    <xdr:clientData/>
  </xdr:twoCellAnchor>
  <xdr:twoCellAnchor>
    <xdr:from>
      <xdr:col>10</xdr:col>
      <xdr:colOff>518106</xdr:colOff>
      <xdr:row>18</xdr:row>
      <xdr:rowOff>157649</xdr:rowOff>
    </xdr:from>
    <xdr:to>
      <xdr:col>12</xdr:col>
      <xdr:colOff>297676</xdr:colOff>
      <xdr:row>23</xdr:row>
      <xdr:rowOff>40501</xdr:rowOff>
    </xdr:to>
    <xdr:cxnSp macro="">
      <xdr:nvCxnSpPr>
        <xdr:cNvPr id="31" name="AutoShape 18">
          <a:extLst>
            <a:ext uri="{FF2B5EF4-FFF2-40B4-BE49-F238E27FC236}">
              <a16:creationId xmlns:a16="http://schemas.microsoft.com/office/drawing/2014/main" id="{00000000-0008-0000-1100-00001F000000}"/>
            </a:ext>
          </a:extLst>
        </xdr:cNvPr>
        <xdr:cNvCxnSpPr>
          <a:cxnSpLocks noChangeShapeType="1"/>
          <a:stCxn id="10" idx="2"/>
          <a:endCxn id="29" idx="1"/>
        </xdr:cNvCxnSpPr>
      </xdr:nvCxnSpPr>
      <xdr:spPr bwMode="auto">
        <a:xfrm>
          <a:off x="4759906" y="4431199"/>
          <a:ext cx="617770" cy="708352"/>
        </a:xfrm>
        <a:prstGeom prst="straightConnector1">
          <a:avLst/>
        </a:prstGeom>
        <a:noFill/>
        <a:ln w="9525">
          <a:solidFill>
            <a:srgbClr val="000000"/>
          </a:solidFill>
          <a:round/>
          <a:headEnd/>
          <a:tailEnd type="arrow" w="med" len="med"/>
        </a:ln>
      </xdr:spPr>
    </xdr:cxnSp>
    <xdr:clientData/>
  </xdr:twoCellAnchor>
  <xdr:twoCellAnchor>
    <xdr:from>
      <xdr:col>3</xdr:col>
      <xdr:colOff>440470</xdr:colOff>
      <xdr:row>19</xdr:row>
      <xdr:rowOff>1997</xdr:rowOff>
    </xdr:from>
    <xdr:to>
      <xdr:col>12</xdr:col>
      <xdr:colOff>297676</xdr:colOff>
      <xdr:row>23</xdr:row>
      <xdr:rowOff>40501</xdr:rowOff>
    </xdr:to>
    <xdr:cxnSp macro="">
      <xdr:nvCxnSpPr>
        <xdr:cNvPr id="32" name="AutoShape 18">
          <a:extLst>
            <a:ext uri="{FF2B5EF4-FFF2-40B4-BE49-F238E27FC236}">
              <a16:creationId xmlns:a16="http://schemas.microsoft.com/office/drawing/2014/main" id="{00000000-0008-0000-1100-000020000000}"/>
            </a:ext>
          </a:extLst>
        </xdr:cNvPr>
        <xdr:cNvCxnSpPr>
          <a:cxnSpLocks noChangeShapeType="1"/>
          <a:stCxn id="4" idx="3"/>
          <a:endCxn id="29" idx="1"/>
        </xdr:cNvCxnSpPr>
      </xdr:nvCxnSpPr>
      <xdr:spPr bwMode="auto">
        <a:xfrm>
          <a:off x="1291370" y="4440647"/>
          <a:ext cx="4086306" cy="698904"/>
        </a:xfrm>
        <a:prstGeom prst="straightConnector1">
          <a:avLst/>
        </a:prstGeom>
        <a:noFill/>
        <a:ln w="9525">
          <a:solidFill>
            <a:srgbClr val="000000"/>
          </a:solidFill>
          <a:round/>
          <a:headEnd/>
          <a:tailEnd type="arrow" w="med" len="med"/>
        </a:ln>
      </xdr:spPr>
    </xdr:cxnSp>
    <xdr:clientData/>
  </xdr:twoCellAnchor>
  <xdr:twoCellAnchor>
    <xdr:from>
      <xdr:col>3</xdr:col>
      <xdr:colOff>442896</xdr:colOff>
      <xdr:row>14</xdr:row>
      <xdr:rowOff>160669</xdr:rowOff>
    </xdr:from>
    <xdr:to>
      <xdr:col>12</xdr:col>
      <xdr:colOff>297676</xdr:colOff>
      <xdr:row>23</xdr:row>
      <xdr:rowOff>40501</xdr:rowOff>
    </xdr:to>
    <xdr:cxnSp macro="">
      <xdr:nvCxnSpPr>
        <xdr:cNvPr id="33" name="AutoShape 18">
          <a:extLst>
            <a:ext uri="{FF2B5EF4-FFF2-40B4-BE49-F238E27FC236}">
              <a16:creationId xmlns:a16="http://schemas.microsoft.com/office/drawing/2014/main" id="{00000000-0008-0000-1100-000021000000}"/>
            </a:ext>
          </a:extLst>
        </xdr:cNvPr>
        <xdr:cNvCxnSpPr>
          <a:cxnSpLocks noChangeShapeType="1"/>
          <a:stCxn id="2" idx="3"/>
          <a:endCxn id="29" idx="1"/>
        </xdr:cNvCxnSpPr>
      </xdr:nvCxnSpPr>
      <xdr:spPr bwMode="auto">
        <a:xfrm>
          <a:off x="1293796" y="3703969"/>
          <a:ext cx="4083880" cy="1435582"/>
        </a:xfrm>
        <a:prstGeom prst="straightConnector1">
          <a:avLst/>
        </a:prstGeom>
        <a:noFill/>
        <a:ln w="9525">
          <a:solidFill>
            <a:srgbClr val="000000"/>
          </a:solidFill>
          <a:round/>
          <a:headEnd/>
          <a:tailEnd type="arrow" w="med" len="med"/>
        </a:ln>
      </xdr:spPr>
    </xdr:cxn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270389</xdr:colOff>
      <xdr:row>22</xdr:row>
      <xdr:rowOff>170365</xdr:rowOff>
    </xdr:from>
    <xdr:to>
      <xdr:col>3</xdr:col>
      <xdr:colOff>294268</xdr:colOff>
      <xdr:row>38</xdr:row>
      <xdr:rowOff>1597</xdr:rowOff>
    </xdr:to>
    <xdr:graphicFrame macro="">
      <xdr:nvGraphicFramePr>
        <xdr:cNvPr id="10" name="Chart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88060</xdr:colOff>
      <xdr:row>23</xdr:row>
      <xdr:rowOff>15487</xdr:rowOff>
    </xdr:from>
    <xdr:to>
      <xdr:col>11</xdr:col>
      <xdr:colOff>0</xdr:colOff>
      <xdr:row>38</xdr:row>
      <xdr:rowOff>75815</xdr:rowOff>
    </xdr:to>
    <xdr:graphicFrame macro="">
      <xdr:nvGraphicFramePr>
        <xdr:cNvPr id="11" name="Chart 10">
          <a:extLst>
            <a:ext uri="{FF2B5EF4-FFF2-40B4-BE49-F238E27FC236}">
              <a16:creationId xmlns:a16="http://schemas.microsoft.com/office/drawing/2014/main" id="{00000000-0008-0000-1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599597</xdr:colOff>
      <xdr:row>23</xdr:row>
      <xdr:rowOff>38099</xdr:rowOff>
    </xdr:from>
    <xdr:to>
      <xdr:col>17</xdr:col>
      <xdr:colOff>673100</xdr:colOff>
      <xdr:row>39</xdr:row>
      <xdr:rowOff>17502</xdr:rowOff>
    </xdr:to>
    <xdr:graphicFrame macro="">
      <xdr:nvGraphicFramePr>
        <xdr:cNvPr id="12" name="Chart 11">
          <a:extLst>
            <a:ext uri="{FF2B5EF4-FFF2-40B4-BE49-F238E27FC236}">
              <a16:creationId xmlns:a16="http://schemas.microsoft.com/office/drawing/2014/main" id="{00000000-0008-0000-1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476250</xdr:colOff>
      <xdr:row>116</xdr:row>
      <xdr:rowOff>184150</xdr:rowOff>
    </xdr:from>
    <xdr:to>
      <xdr:col>15</xdr:col>
      <xdr:colOff>49893</xdr:colOff>
      <xdr:row>130</xdr:row>
      <xdr:rowOff>133350</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305804</xdr:colOff>
      <xdr:row>9</xdr:row>
      <xdr:rowOff>143488</xdr:rowOff>
    </xdr:from>
    <xdr:to>
      <xdr:col>29</xdr:col>
      <xdr:colOff>382674</xdr:colOff>
      <xdr:row>36</xdr:row>
      <xdr:rowOff>148168</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634393</xdr:colOff>
      <xdr:row>19</xdr:row>
      <xdr:rowOff>62290</xdr:rowOff>
    </xdr:from>
    <xdr:to>
      <xdr:col>10</xdr:col>
      <xdr:colOff>727527</xdr:colOff>
      <xdr:row>38</xdr:row>
      <xdr:rowOff>151191</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rvin/Downloads/Telegram%20Desktop/CAT%20Project%20BLEET%20Lyn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Influence"/>
      <sheetName val="Black-Box"/>
      <sheetName val="Variables"/>
      <sheetName val="Past Inputs"/>
      <sheetName val="Trade-off Analysis"/>
      <sheetName val="Sensitivity Analysis"/>
      <sheetName val="Seasonality Forecasting"/>
      <sheetName val="Seasonality Forecasting online"/>
      <sheetName val="sb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4">
          <cell r="C14">
            <v>2.5688073394495414</v>
          </cell>
        </row>
      </sheetData>
      <sheetData sheetId="8">
        <row r="2">
          <cell r="D2" t="str">
            <v>Jan</v>
          </cell>
          <cell r="E2">
            <v>0</v>
          </cell>
        </row>
        <row r="3">
          <cell r="D3" t="str">
            <v>Feb</v>
          </cell>
          <cell r="E3">
            <v>2.5688073394495414</v>
          </cell>
        </row>
        <row r="4">
          <cell r="D4" t="str">
            <v>Mar</v>
          </cell>
          <cell r="E4">
            <v>-0.35989717223650386</v>
          </cell>
        </row>
        <row r="5">
          <cell r="D5" t="str">
            <v>Apr</v>
          </cell>
          <cell r="E5">
            <v>-0.14457831325301204</v>
          </cell>
        </row>
        <row r="6">
          <cell r="D6" t="str">
            <v>May</v>
          </cell>
          <cell r="E6">
            <v>1.187793427230047</v>
          </cell>
        </row>
        <row r="7">
          <cell r="D7" t="str">
            <v>Jun</v>
          </cell>
          <cell r="E7">
            <v>0.13733905579399142</v>
          </cell>
        </row>
        <row r="8">
          <cell r="D8" t="str">
            <v>Jul</v>
          </cell>
          <cell r="E8">
            <v>0.19622641509433963</v>
          </cell>
        </row>
        <row r="9">
          <cell r="D9" t="str">
            <v>Aug</v>
          </cell>
          <cell r="E9">
            <v>-0.32649842271293378</v>
          </cell>
        </row>
        <row r="10">
          <cell r="D10" t="str">
            <v>Sep</v>
          </cell>
          <cell r="E10">
            <v>-0.10772833723653395</v>
          </cell>
        </row>
        <row r="11">
          <cell r="D11" t="str">
            <v>Oct</v>
          </cell>
          <cell r="E11">
            <v>-8.3989501312335957E-2</v>
          </cell>
        </row>
        <row r="12">
          <cell r="D12" t="str">
            <v>Nov</v>
          </cell>
          <cell r="E12">
            <v>0.34383954154727792</v>
          </cell>
        </row>
        <row r="13">
          <cell r="D13" t="str">
            <v>Dec</v>
          </cell>
          <cell r="E13">
            <v>0.44776119402985076</v>
          </cell>
        </row>
        <row r="14">
          <cell r="D14" t="str">
            <v>Jan</v>
          </cell>
          <cell r="E14">
            <v>-0.18703976435935199</v>
          </cell>
        </row>
        <row r="15">
          <cell r="D15" t="str">
            <v>Feb</v>
          </cell>
          <cell r="E15">
            <v>0.32427536231884058</v>
          </cell>
        </row>
        <row r="16">
          <cell r="D16" t="str">
            <v>Mar</v>
          </cell>
          <cell r="E16">
            <v>-0.13269493844049249</v>
          </cell>
        </row>
        <row r="17">
          <cell r="D17" t="str">
            <v>Apr</v>
          </cell>
          <cell r="E17">
            <v>-9.7791798107255523E-2</v>
          </cell>
        </row>
        <row r="18">
          <cell r="D18" t="str">
            <v>May</v>
          </cell>
          <cell r="E18">
            <v>0.21503496503496503</v>
          </cell>
        </row>
        <row r="19">
          <cell r="D19" t="str">
            <v>Jun</v>
          </cell>
          <cell r="E19">
            <v>0.21582733812949639</v>
          </cell>
        </row>
        <row r="20">
          <cell r="D20" t="str">
            <v>Jul</v>
          </cell>
          <cell r="E20">
            <v>0.10295857988165681</v>
          </cell>
        </row>
        <row r="21">
          <cell r="D21" t="str">
            <v>Aug</v>
          </cell>
          <cell r="E21">
            <v>-7.6180257510729613E-2</v>
          </cell>
        </row>
        <row r="22">
          <cell r="D22" t="str">
            <v>Sep</v>
          </cell>
          <cell r="E22">
            <v>-8.0139372822299645E-2</v>
          </cell>
        </row>
        <row r="23">
          <cell r="D23" t="str">
            <v>Oct</v>
          </cell>
          <cell r="E23">
            <v>-9.8484848484848481E-2</v>
          </cell>
        </row>
        <row r="24">
          <cell r="D24" t="str">
            <v>Nov</v>
          </cell>
          <cell r="E24">
            <v>0.22408963585434175</v>
          </cell>
        </row>
        <row r="25">
          <cell r="D25" t="str">
            <v>Dec</v>
          </cell>
          <cell r="E25">
            <v>0.2391304347826087</v>
          </cell>
        </row>
        <row r="26">
          <cell r="D26" t="str">
            <v>Jan</v>
          </cell>
          <cell r="E26">
            <v>-0.19482917820867959</v>
          </cell>
        </row>
        <row r="27">
          <cell r="D27" t="str">
            <v>Feb</v>
          </cell>
          <cell r="E27">
            <v>0.68692660550458717</v>
          </cell>
        </row>
        <row r="28">
          <cell r="D28" t="str">
            <v>Mar</v>
          </cell>
          <cell r="E28">
            <v>-0.19782460910944935</v>
          </cell>
        </row>
        <row r="29">
          <cell r="D29" t="str">
            <v>Apr</v>
          </cell>
          <cell r="E29">
            <v>-0.11949152542372882</v>
          </cell>
        </row>
        <row r="30">
          <cell r="D30" t="str">
            <v>May</v>
          </cell>
          <cell r="E30">
            <v>0.54186717998075073</v>
          </cell>
        </row>
        <row r="31">
          <cell r="D31" t="str">
            <v>Jun</v>
          </cell>
          <cell r="E31">
            <v>9.5505617977528087E-2</v>
          </cell>
        </row>
        <row r="32">
          <cell r="D32" t="str">
            <v>Jul</v>
          </cell>
          <cell r="E32">
            <v>8.4900284900284895E-2</v>
          </cell>
        </row>
        <row r="33">
          <cell r="D33" t="str">
            <v>Aug</v>
          </cell>
          <cell r="E33">
            <v>-0.10661764705882353</v>
          </cell>
        </row>
        <row r="34">
          <cell r="D34" t="str">
            <v>Sep</v>
          </cell>
          <cell r="E34">
            <v>-9.7589653145208705E-2</v>
          </cell>
        </row>
        <row r="35">
          <cell r="D35" t="str">
            <v>Oct</v>
          </cell>
          <cell r="E35">
            <v>-2.9967426710097719E-2</v>
          </cell>
        </row>
        <row r="36">
          <cell r="D36" t="str">
            <v>Nov</v>
          </cell>
          <cell r="E36">
            <v>0.13700470114170585</v>
          </cell>
        </row>
        <row r="37">
          <cell r="D37" t="str">
            <v>Dec</v>
          </cell>
          <cell r="E37">
            <v>0.32604843473124628</v>
          </cell>
        </row>
        <row r="38">
          <cell r="D38" t="str">
            <v>Jan</v>
          </cell>
          <cell r="E38">
            <v>-0.53719376391982188</v>
          </cell>
        </row>
        <row r="39">
          <cell r="D39" t="str">
            <v>Feb</v>
          </cell>
          <cell r="E39">
            <v>2.8642925890279116</v>
          </cell>
        </row>
        <row r="40">
          <cell r="D40" t="str">
            <v>Mar</v>
          </cell>
          <cell r="E40">
            <v>-0.237359900373599</v>
          </cell>
        </row>
        <row r="41">
          <cell r="D41" t="str">
            <v>Apr</v>
          </cell>
          <cell r="E41">
            <v>-0.33278902677988242</v>
          </cell>
        </row>
        <row r="42">
          <cell r="D42" t="str">
            <v>May</v>
          </cell>
          <cell r="E42">
            <v>1.6436612824278023</v>
          </cell>
        </row>
        <row r="43">
          <cell r="D43" t="str">
            <v>Jun</v>
          </cell>
          <cell r="E43">
            <v>7.609701907054249E-2</v>
          </cell>
        </row>
        <row r="44">
          <cell r="D44" t="str">
            <v>Jul</v>
          </cell>
          <cell r="E44">
            <v>2.6668960770818994E-2</v>
          </cell>
        </row>
        <row r="45">
          <cell r="D45" t="str">
            <v>Aug</v>
          </cell>
          <cell r="E45">
            <v>-0.15082956259426847</v>
          </cell>
        </row>
        <row r="46">
          <cell r="D46" t="str">
            <v>Sep</v>
          </cell>
          <cell r="E46">
            <v>-6.5916716005525955E-2</v>
          </cell>
        </row>
        <row r="47">
          <cell r="D47" t="str">
            <v>Oct</v>
          </cell>
          <cell r="E47">
            <v>-0.26980773293893934</v>
          </cell>
        </row>
        <row r="48">
          <cell r="D48" t="str">
            <v>Nov</v>
          </cell>
          <cell r="E48">
            <v>0.4236111111111111</v>
          </cell>
        </row>
        <row r="49">
          <cell r="D49" t="str">
            <v>Dec</v>
          </cell>
          <cell r="E49">
            <v>0.22439024390243903</v>
          </cell>
        </row>
        <row r="50">
          <cell r="D50" t="str">
            <v>Jan</v>
          </cell>
          <cell r="E50">
            <v>-0.35225763612217798</v>
          </cell>
        </row>
        <row r="51">
          <cell r="D51" t="str">
            <v>Feb</v>
          </cell>
          <cell r="E51">
            <v>0.51230138390568936</v>
          </cell>
        </row>
        <row r="52">
          <cell r="D52" t="str">
            <v>Mar</v>
          </cell>
          <cell r="E52">
            <v>-0.18285036434502627</v>
          </cell>
        </row>
        <row r="53">
          <cell r="D53" t="str">
            <v>Apr</v>
          </cell>
          <cell r="E53">
            <v>-8.9589381999170464E-2</v>
          </cell>
        </row>
        <row r="54">
          <cell r="D54" t="str">
            <v>May</v>
          </cell>
          <cell r="E54">
            <v>0.38747152619589975</v>
          </cell>
        </row>
        <row r="55">
          <cell r="D55" t="str">
            <v>Jun</v>
          </cell>
          <cell r="E55">
            <v>0.11672960105073059</v>
          </cell>
        </row>
        <row r="56">
          <cell r="D56" t="str">
            <v>Jul</v>
          </cell>
          <cell r="E56">
            <v>3.1020288150543959E-2</v>
          </cell>
        </row>
        <row r="57">
          <cell r="D57" t="str">
            <v>Aug</v>
          </cell>
          <cell r="E57">
            <v>-6.2883216882931692E-2</v>
          </cell>
        </row>
        <row r="58">
          <cell r="D58" t="str">
            <v>Sep</v>
          </cell>
          <cell r="E58">
            <v>-0.12918441874619599</v>
          </cell>
        </row>
        <row r="59">
          <cell r="D59" t="str">
            <v>Oct</v>
          </cell>
          <cell r="E59">
            <v>-4.2809715184343879E-2</v>
          </cell>
        </row>
        <row r="60">
          <cell r="D60" t="str">
            <v>Nov</v>
          </cell>
          <cell r="E60">
            <v>0.16027747353048558</v>
          </cell>
        </row>
        <row r="61">
          <cell r="D61" t="str">
            <v>Dec</v>
          </cell>
          <cell r="E61">
            <v>9.2353681560730025E-2</v>
          </cell>
        </row>
      </sheetData>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owner/Downloads/Telegram%20Desktop/CAT%20Project%20Group%208%20(Final)%20-%20Pivot%20table.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owner/Downloads/Telegram%20Desktop/CAT%20Project%20Group%208%20(Final)%20-%20Pivot%20table.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owner/Downloads/Telegram%20Desktop/CAT%20Project%20Group%208%20(Final)%20-%20Pivot%20table.xlsx"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ry SEAH Yu Xuan" refreshedDate="43541.632682291667" createdVersion="6" refreshedVersion="6" minRefreshableVersion="3" recordCount="15" xr:uid="{1E97699C-9C86-D34B-9942-ABCA698E9893}">
  <cacheSource type="worksheet">
    <worksheetSource ref="A2:N17" sheet="Seasonality Analysis"/>
  </cacheSource>
  <cacheFields count="14">
    <cacheField name="Year" numFmtId="0">
      <sharedItems containsSemiMixedTypes="0" containsString="0" containsNumber="1" containsInteger="1" minValue="2014" maxValue="2018" count="5">
        <n v="2014"/>
        <n v="2015"/>
        <n v="2016"/>
        <n v="2017"/>
        <n v="2018"/>
      </sharedItems>
    </cacheField>
    <cacheField name="Perfume Type" numFmtId="0">
      <sharedItems count="3">
        <s v="Perfume (30ml)"/>
        <s v="Perfume (50ml)"/>
        <s v="Body Mist (100ml)"/>
      </sharedItems>
    </cacheField>
    <cacheField name="Jan" numFmtId="0">
      <sharedItems containsSemiMixedTypes="0" containsString="0" containsNumber="1" containsInteger="1" minValue="12" maxValue="71"/>
    </cacheField>
    <cacheField name="Feb" numFmtId="0">
      <sharedItems containsSemiMixedTypes="0" containsString="0" containsNumber="1" containsInteger="1" minValue="20" maxValue="76"/>
    </cacheField>
    <cacheField name="Mar" numFmtId="0">
      <sharedItems containsSemiMixedTypes="0" containsString="0" containsNumber="1" containsInteger="1" minValue="7" maxValue="63"/>
    </cacheField>
    <cacheField name="Apr" numFmtId="0">
      <sharedItems containsSemiMixedTypes="0" containsString="0" containsNumber="1" containsInteger="1" minValue="6" maxValue="65"/>
    </cacheField>
    <cacheField name="May" numFmtId="0">
      <sharedItems containsSemiMixedTypes="0" containsString="0" containsNumber="1" containsInteger="1" minValue="14" maxValue="72"/>
    </cacheField>
    <cacheField name="Jun" numFmtId="0">
      <sharedItems containsSemiMixedTypes="0" containsString="0" containsNumber="1" containsInteger="1" minValue="16" maxValue="78"/>
    </cacheField>
    <cacheField name="Jul" numFmtId="0">
      <sharedItems containsSemiMixedTypes="0" containsString="0" containsNumber="1" containsInteger="1" minValue="18" maxValue="72"/>
    </cacheField>
    <cacheField name="Aug" numFmtId="0">
      <sharedItems containsSemiMixedTypes="0" containsString="0" containsNumber="1" containsInteger="1" minValue="7" maxValue="66"/>
    </cacheField>
    <cacheField name="Sep" numFmtId="0">
      <sharedItems containsSemiMixedTypes="0" containsString="0" containsNumber="1" containsInteger="1" minValue="9" maxValue="70"/>
    </cacheField>
    <cacheField name="Oct" numFmtId="0">
      <sharedItems containsSemiMixedTypes="0" containsString="0" containsNumber="1" containsInteger="1" minValue="9" maxValue="63"/>
    </cacheField>
    <cacheField name="Nov" numFmtId="0">
      <sharedItems containsSemiMixedTypes="0" containsString="0" containsNumber="1" containsInteger="1" minValue="14" maxValue="70"/>
    </cacheField>
    <cacheField name="Dec" numFmtId="0">
      <sharedItems containsSemiMixedTypes="0" containsString="0" containsNumber="1" containsInteger="1" minValue="35" maxValue="1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nn Koh" refreshedDate="43551.833861574072" createdVersion="6" refreshedVersion="6" minRefreshableVersion="3" recordCount="145" xr:uid="{E90219A5-C0E7-4F2F-A46E-77FCEB7B95DA}">
  <cacheSource type="worksheet">
    <worksheetSource ref="A1:AE1048576" sheet="Order Quantity" r:id="rId2"/>
  </cacheSource>
  <cacheFields count="33">
    <cacheField name="Month" numFmtId="0">
      <sharedItems containsNonDate="0" containsDate="1" containsString="0" containsBlank="1" minDate="2019-01-01T00:00:00" maxDate="2028-12-02T00:00:00" count="121">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d v="2026-05-01T00:00:00"/>
        <d v="2026-06-01T00:00:00"/>
        <d v="2026-07-01T00:00:00"/>
        <d v="2026-08-01T00:00:00"/>
        <d v="2026-09-01T00:00:00"/>
        <d v="2026-10-01T00:00:00"/>
        <d v="2026-11-01T00:00:00"/>
        <d v="2026-12-01T00:00:00"/>
        <d v="2027-01-01T00:00:00"/>
        <d v="2027-02-01T00:00:00"/>
        <d v="2027-03-01T00:00:00"/>
        <d v="2027-04-01T00:00:00"/>
        <d v="2027-05-01T00:00:00"/>
        <d v="2027-06-01T00:00:00"/>
        <d v="2027-07-01T00:00:00"/>
        <d v="2027-08-01T00:00:00"/>
        <d v="2027-09-01T00:00:00"/>
        <d v="2027-10-01T00:00:00"/>
        <d v="2027-11-01T00:00:00"/>
        <d v="2027-12-01T00:00:00"/>
        <d v="2028-01-01T00:00:00"/>
        <d v="2028-02-01T00:00:00"/>
        <d v="2028-03-01T00:00:00"/>
        <d v="2028-04-01T00:00:00"/>
        <d v="2028-05-01T00:00:00"/>
        <d v="2028-06-01T00:00:00"/>
        <d v="2028-07-01T00:00:00"/>
        <d v="2028-08-01T00:00:00"/>
        <d v="2028-09-01T00:00:00"/>
        <d v="2028-10-01T00:00:00"/>
        <d v="2028-11-01T00:00:00"/>
        <d v="2028-12-01T00:00:00"/>
        <m/>
      </sharedItems>
      <fieldGroup par="32" base="0">
        <rangePr groupBy="months" startDate="2019-01-01T00:00:00" endDate="2028-12-02T00:00:00"/>
        <groupItems count="14">
          <s v="(blank)"/>
          <s v="Jan"/>
          <s v="Feb"/>
          <s v="Mar"/>
          <s v="Apr"/>
          <s v="May"/>
          <s v="Jun"/>
          <s v="Jul"/>
          <s v="Aug"/>
          <s v="Sep"/>
          <s v="Oct"/>
          <s v="Nov"/>
          <s v="Dec"/>
          <s v="&gt;2/12/2028"/>
        </groupItems>
      </fieldGroup>
    </cacheField>
    <cacheField name="30ml Blue" numFmtId="0">
      <sharedItems containsBlank="1" containsMixedTypes="1" containsNumber="1" containsInteger="1" minValue="1" maxValue="31"/>
    </cacheField>
    <cacheField name="30ml Black" numFmtId="0">
      <sharedItems containsBlank="1" containsMixedTypes="1" containsNumber="1" containsInteger="1" minValue="1" maxValue="31"/>
    </cacheField>
    <cacheField name="30ml Christmas" numFmtId="0">
      <sharedItems containsBlank="1" containsMixedTypes="1" containsNumber="1" containsInteger="1" minValue="1" maxValue="20"/>
    </cacheField>
    <cacheField name="30ml Diamond" numFmtId="0">
      <sharedItems containsBlank="1" containsMixedTypes="1" containsNumber="1" containsInteger="1" minValue="1" maxValue="50"/>
    </cacheField>
    <cacheField name="30ml Elegance" numFmtId="0">
      <sharedItems containsBlank="1" containsMixedTypes="1" containsNumber="1" containsInteger="1" minValue="1" maxValue="26"/>
    </cacheField>
    <cacheField name="30ml Fancy" numFmtId="0">
      <sharedItems containsBlank="1" containsMixedTypes="1" containsNumber="1" containsInteger="1" minValue="1" maxValue="23"/>
    </cacheField>
    <cacheField name="30ml Love" numFmtId="0">
      <sharedItems containsBlank="1" containsMixedTypes="1" containsNumber="1" containsInteger="1" minValue="1" maxValue="27"/>
    </cacheField>
    <cacheField name="30ml Romance" numFmtId="0">
      <sharedItems containsBlank="1" containsMixedTypes="1" containsNumber="1" containsInteger="1" minValue="1" maxValue="25"/>
    </cacheField>
    <cacheField name="30ml Sahara" numFmtId="0">
      <sharedItems containsBlank="1" containsMixedTypes="1" containsNumber="1" containsInteger="1" minValue="1" maxValue="18"/>
    </cacheField>
    <cacheField name="30ml Sensual" numFmtId="0">
      <sharedItems containsBlank="1" containsMixedTypes="1" containsNumber="1" containsInteger="1" minValue="1" maxValue="26"/>
    </cacheField>
    <cacheField name="30ml Sexy" numFmtId="0">
      <sharedItems containsBlank="1" containsMixedTypes="1" containsNumber="1" containsInteger="1" minValue="1" maxValue="63"/>
    </cacheField>
    <cacheField name="30ml Vogue" numFmtId="0">
      <sharedItems containsBlank="1" containsMixedTypes="1" containsNumber="1" containsInteger="1" minValue="1" maxValue="25"/>
    </cacheField>
    <cacheField name="30ml Warm" numFmtId="0">
      <sharedItems containsBlank="1" containsMixedTypes="1" containsNumber="1" containsInteger="1" minValue="1" maxValue="17"/>
    </cacheField>
    <cacheField name="50ml Blue" numFmtId="0">
      <sharedItems containsBlank="1" containsMixedTypes="1" containsNumber="1" containsInteger="1" minValue="0" maxValue="37"/>
    </cacheField>
    <cacheField name="50ml Black" numFmtId="0">
      <sharedItems containsBlank="1" containsMixedTypes="1" containsNumber="1" containsInteger="1" minValue="0" maxValue="38"/>
    </cacheField>
    <cacheField name="50ml Christmas" numFmtId="0">
      <sharedItems containsBlank="1" containsMixedTypes="1" containsNumber="1" containsInteger="1" minValue="0" maxValue="22"/>
    </cacheField>
    <cacheField name="50ml Diamond" numFmtId="0">
      <sharedItems containsBlank="1" containsMixedTypes="1" containsNumber="1" containsInteger="1" minValue="0" maxValue="56"/>
    </cacheField>
    <cacheField name="50ml Elegance" numFmtId="0">
      <sharedItems containsBlank="1" containsMixedTypes="1" containsNumber="1" containsInteger="1" minValue="0" maxValue="33"/>
    </cacheField>
    <cacheField name="50ml Fancy" numFmtId="0">
      <sharedItems containsBlank="1" containsMixedTypes="1" containsNumber="1" containsInteger="1" minValue="0" maxValue="30"/>
    </cacheField>
    <cacheField name="50ml Love" numFmtId="0">
      <sharedItems containsBlank="1" containsMixedTypes="1" containsNumber="1" containsInteger="1" minValue="0" maxValue="25"/>
    </cacheField>
    <cacheField name="50ml Romance" numFmtId="0">
      <sharedItems containsBlank="1" containsMixedTypes="1" containsNumber="1" containsInteger="1" minValue="0" maxValue="33"/>
    </cacheField>
    <cacheField name="50ml Sahara" numFmtId="0">
      <sharedItems containsBlank="1" containsMixedTypes="1" containsNumber="1" containsInteger="1" minValue="0" maxValue="20"/>
    </cacheField>
    <cacheField name="50ml Sensual" numFmtId="0">
      <sharedItems containsBlank="1" containsMixedTypes="1" containsNumber="1" containsInteger="1" minValue="0" maxValue="35"/>
    </cacheField>
    <cacheField name="50ml Sexy" numFmtId="0">
      <sharedItems containsBlank="1" containsMixedTypes="1" containsNumber="1" containsInteger="1" minValue="0" maxValue="68"/>
    </cacheField>
    <cacheField name="50ml Vogue" numFmtId="0">
      <sharedItems containsBlank="1" containsMixedTypes="1" containsNumber="1" containsInteger="1" minValue="0" maxValue="33"/>
    </cacheField>
    <cacheField name="50ml Warm" numFmtId="0">
      <sharedItems containsBlank="1" containsMixedTypes="1" containsNumber="1" containsInteger="1" minValue="0" maxValue="20"/>
    </cacheField>
    <cacheField name="100ml Diamond Body Mist" numFmtId="0">
      <sharedItems containsBlank="1" containsMixedTypes="1" containsNumber="1" containsInteger="1" minValue="0" maxValue="39"/>
    </cacheField>
    <cacheField name="100ml Elegance Body Mist" numFmtId="0">
      <sharedItems containsBlank="1" containsMixedTypes="1" containsNumber="1" containsInteger="1" minValue="0" maxValue="28"/>
    </cacheField>
    <cacheField name="100ml Fancy Body Mist" numFmtId="0">
      <sharedItems containsBlank="1" containsMixedTypes="1" containsNumber="1" containsInteger="1" minValue="0" maxValue="22"/>
    </cacheField>
    <cacheField name="100ml Romance Body Mist" numFmtId="0">
      <sharedItems containsBlank="1" containsMixedTypes="1" containsNumber="1" containsInteger="1" minValue="0" maxValue="44" count="35">
        <n v="0"/>
        <n v="2"/>
        <n v="12"/>
        <n v="15"/>
        <n v="4"/>
        <n v="8"/>
        <n v="27"/>
        <n v="5"/>
        <n v="17"/>
        <n v="9"/>
        <n v="16"/>
        <n v="29"/>
        <n v="1"/>
        <n v="20"/>
        <n v="11"/>
        <n v="7"/>
        <n v="31"/>
        <n v="19"/>
        <n v="10"/>
        <n v="18"/>
        <n v="32"/>
        <n v="34"/>
        <n v="24"/>
        <n v="36"/>
        <n v="6"/>
        <n v="22"/>
        <n v="38"/>
        <n v="26"/>
        <n v="40"/>
        <n v="28"/>
        <n v="13"/>
        <n v="42"/>
        <n v="44"/>
        <s v=""/>
        <m/>
      </sharedItems>
    </cacheField>
    <cacheField name="Quarters" numFmtId="0" databaseField="0">
      <fieldGroup base="0">
        <rangePr groupBy="quarters" startDate="2019-01-01T00:00:00" endDate="2028-12-02T00:00:00"/>
        <groupItems count="6">
          <s v="&lt;1/1/2019"/>
          <s v="Qtr1"/>
          <s v="Qtr2"/>
          <s v="Qtr3"/>
          <s v="Qtr4"/>
          <s v="&gt;2/12/2028"/>
        </groupItems>
      </fieldGroup>
    </cacheField>
    <cacheField name="Years" numFmtId="0" databaseField="0">
      <fieldGroup base="0">
        <rangePr groupBy="years" startDate="2019-01-01T00:00:00" endDate="2028-12-02T00:00:00"/>
        <groupItems count="12">
          <s v="&lt;1/1/2019"/>
          <s v="2019"/>
          <s v="2020"/>
          <s v="2021"/>
          <s v="2022"/>
          <s v="2023"/>
          <s v="2024"/>
          <s v="2025"/>
          <s v="2026"/>
          <s v="2027"/>
          <s v="2028"/>
          <s v="&gt;2/12/202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nn Koh" refreshedDate="43551.822430671295" createdVersion="6" refreshedVersion="6" minRefreshableVersion="3" recordCount="120" xr:uid="{3768B23E-AD4D-4870-86E8-6E6EECB145D5}">
  <cacheSource type="worksheet">
    <worksheetSource ref="A1:AA121" sheet="Order Quantity" r:id="rId2"/>
  </cacheSource>
  <cacheFields count="29">
    <cacheField name="Month" numFmtId="171">
      <sharedItems containsSemiMixedTypes="0" containsNonDate="0" containsDate="1" containsString="0" minDate="2019-01-01T00:00:00" maxDate="2028-12-02T00:00:00" count="120">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d v="2026-05-01T00:00:00"/>
        <d v="2026-06-01T00:00:00"/>
        <d v="2026-07-01T00:00:00"/>
        <d v="2026-08-01T00:00:00"/>
        <d v="2026-09-01T00:00:00"/>
        <d v="2026-10-01T00:00:00"/>
        <d v="2026-11-01T00:00:00"/>
        <d v="2026-12-01T00:00:00"/>
        <d v="2027-01-01T00:00:00"/>
        <d v="2027-02-01T00:00:00"/>
        <d v="2027-03-01T00:00:00"/>
        <d v="2027-04-01T00:00:00"/>
        <d v="2027-05-01T00:00:00"/>
        <d v="2027-06-01T00:00:00"/>
        <d v="2027-07-01T00:00:00"/>
        <d v="2027-08-01T00:00:00"/>
        <d v="2027-09-01T00:00:00"/>
        <d v="2027-10-01T00:00:00"/>
        <d v="2027-11-01T00:00:00"/>
        <d v="2027-12-01T00:00:00"/>
        <d v="2028-01-01T00:00:00"/>
        <d v="2028-02-01T00:00:00"/>
        <d v="2028-03-01T00:00:00"/>
        <d v="2028-04-01T00:00:00"/>
        <d v="2028-05-01T00:00:00"/>
        <d v="2028-06-01T00:00:00"/>
        <d v="2028-07-01T00:00:00"/>
        <d v="2028-08-01T00:00:00"/>
        <d v="2028-09-01T00:00:00"/>
        <d v="2028-10-01T00:00:00"/>
        <d v="2028-11-01T00:00:00"/>
        <d v="2028-12-01T00:00:00"/>
      </sharedItems>
      <fieldGroup par="28" base="0">
        <rangePr groupBy="months" startDate="2019-01-01T00:00:00" endDate="2028-12-02T00:00:00"/>
        <groupItems count="14">
          <s v="&lt;1/1/2019"/>
          <s v="Jan"/>
          <s v="Feb"/>
          <s v="Mar"/>
          <s v="Apr"/>
          <s v="May"/>
          <s v="Jun"/>
          <s v="Jul"/>
          <s v="Aug"/>
          <s v="Sep"/>
          <s v="Oct"/>
          <s v="Nov"/>
          <s v="Dec"/>
          <s v="&gt;2/12/2028"/>
        </groupItems>
      </fieldGroup>
    </cacheField>
    <cacheField name="30ml Blue" numFmtId="0">
      <sharedItems containsSemiMixedTypes="0" containsString="0" containsNumber="1" containsInteger="1" minValue="1" maxValue="31"/>
    </cacheField>
    <cacheField name="30ml Black" numFmtId="0">
      <sharedItems containsSemiMixedTypes="0" containsString="0" containsNumber="1" containsInteger="1" minValue="1" maxValue="31"/>
    </cacheField>
    <cacheField name="30ml Christmas" numFmtId="0">
      <sharedItems containsSemiMixedTypes="0" containsString="0" containsNumber="1" containsInteger="1" minValue="1" maxValue="20"/>
    </cacheField>
    <cacheField name="30ml Diamond" numFmtId="0">
      <sharedItems containsSemiMixedTypes="0" containsString="0" containsNumber="1" containsInteger="1" minValue="1" maxValue="50"/>
    </cacheField>
    <cacheField name="30ml Elegance" numFmtId="0">
      <sharedItems containsSemiMixedTypes="0" containsString="0" containsNumber="1" containsInteger="1" minValue="1" maxValue="26"/>
    </cacheField>
    <cacheField name="30ml Fancy" numFmtId="0">
      <sharedItems containsSemiMixedTypes="0" containsString="0" containsNumber="1" containsInteger="1" minValue="1" maxValue="23"/>
    </cacheField>
    <cacheField name="30ml Love" numFmtId="0">
      <sharedItems containsSemiMixedTypes="0" containsString="0" containsNumber="1" containsInteger="1" minValue="1" maxValue="27"/>
    </cacheField>
    <cacheField name="30ml Romance" numFmtId="0">
      <sharedItems containsSemiMixedTypes="0" containsString="0" containsNumber="1" containsInteger="1" minValue="1" maxValue="25"/>
    </cacheField>
    <cacheField name="30ml Sahara" numFmtId="0">
      <sharedItems containsSemiMixedTypes="0" containsString="0" containsNumber="1" containsInteger="1" minValue="1" maxValue="18"/>
    </cacheField>
    <cacheField name="30ml Sensual" numFmtId="0">
      <sharedItems containsSemiMixedTypes="0" containsString="0" containsNumber="1" containsInteger="1" minValue="1" maxValue="26"/>
    </cacheField>
    <cacheField name="30ml Sexy" numFmtId="0">
      <sharedItems containsSemiMixedTypes="0" containsString="0" containsNumber="1" containsInteger="1" minValue="1" maxValue="63"/>
    </cacheField>
    <cacheField name="30ml Vogue" numFmtId="0">
      <sharedItems containsSemiMixedTypes="0" containsString="0" containsNumber="1" containsInteger="1" minValue="1" maxValue="25"/>
    </cacheField>
    <cacheField name="30ml Warm" numFmtId="0">
      <sharedItems containsSemiMixedTypes="0" containsString="0" containsNumber="1" containsInteger="1" minValue="1" maxValue="17"/>
    </cacheField>
    <cacheField name="50ml Blue" numFmtId="0">
      <sharedItems containsSemiMixedTypes="0" containsString="0" containsNumber="1" containsInteger="1" minValue="0" maxValue="37"/>
    </cacheField>
    <cacheField name="50ml Black" numFmtId="0">
      <sharedItems containsSemiMixedTypes="0" containsString="0" containsNumber="1" containsInteger="1" minValue="0" maxValue="38"/>
    </cacheField>
    <cacheField name="50ml Christmas" numFmtId="0">
      <sharedItems containsSemiMixedTypes="0" containsString="0" containsNumber="1" containsInteger="1" minValue="0" maxValue="22"/>
    </cacheField>
    <cacheField name="50ml Diamond" numFmtId="0">
      <sharedItems containsSemiMixedTypes="0" containsString="0" containsNumber="1" containsInteger="1" minValue="0" maxValue="56"/>
    </cacheField>
    <cacheField name="50ml Elegance" numFmtId="0">
      <sharedItems containsSemiMixedTypes="0" containsString="0" containsNumber="1" containsInteger="1" minValue="0" maxValue="33"/>
    </cacheField>
    <cacheField name="50ml Fancy" numFmtId="0">
      <sharedItems containsSemiMixedTypes="0" containsString="0" containsNumber="1" containsInteger="1" minValue="0" maxValue="30"/>
    </cacheField>
    <cacheField name="50ml Love" numFmtId="0">
      <sharedItems containsSemiMixedTypes="0" containsString="0" containsNumber="1" containsInteger="1" minValue="0" maxValue="25"/>
    </cacheField>
    <cacheField name="50ml Romance" numFmtId="0">
      <sharedItems containsSemiMixedTypes="0" containsString="0" containsNumber="1" containsInteger="1" minValue="0" maxValue="33"/>
    </cacheField>
    <cacheField name="50ml Sahara" numFmtId="0">
      <sharedItems containsSemiMixedTypes="0" containsString="0" containsNumber="1" containsInteger="1" minValue="0" maxValue="20"/>
    </cacheField>
    <cacheField name="50ml Sensual" numFmtId="0">
      <sharedItems containsSemiMixedTypes="0" containsString="0" containsNumber="1" containsInteger="1" minValue="0" maxValue="35"/>
    </cacheField>
    <cacheField name="50ml Sexy" numFmtId="0">
      <sharedItems containsSemiMixedTypes="0" containsString="0" containsNumber="1" containsInteger="1" minValue="0" maxValue="68"/>
    </cacheField>
    <cacheField name="50ml Vogue" numFmtId="0">
      <sharedItems containsSemiMixedTypes="0" containsString="0" containsNumber="1" containsInteger="1" minValue="0" maxValue="33"/>
    </cacheField>
    <cacheField name="50ml Warm" numFmtId="0">
      <sharedItems containsSemiMixedTypes="0" containsString="0" containsNumber="1" containsInteger="1" minValue="0" maxValue="20"/>
    </cacheField>
    <cacheField name="Quarters" numFmtId="0" databaseField="0">
      <fieldGroup base="0">
        <rangePr groupBy="quarters" startDate="2019-01-01T00:00:00" endDate="2028-12-02T00:00:00"/>
        <groupItems count="6">
          <s v="&lt;1/1/2019"/>
          <s v="Qtr1"/>
          <s v="Qtr2"/>
          <s v="Qtr3"/>
          <s v="Qtr4"/>
          <s v="&gt;2/12/2028"/>
        </groupItems>
      </fieldGroup>
    </cacheField>
    <cacheField name="Years" numFmtId="0" databaseField="0">
      <fieldGroup base="0">
        <rangePr groupBy="years" startDate="2019-01-01T00:00:00" endDate="2028-12-02T00:00:00"/>
        <groupItems count="12">
          <s v="&lt;1/1/2019"/>
          <s v="2019"/>
          <s v="2020"/>
          <s v="2021"/>
          <s v="2022"/>
          <s v="2023"/>
          <s v="2024"/>
          <s v="2025"/>
          <s v="2026"/>
          <s v="2027"/>
          <s v="2028"/>
          <s v="&gt;2/12/2028"/>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nn Koh" refreshedDate="43551.779911574071" createdVersion="6" refreshedVersion="6" minRefreshableVersion="3" recordCount="120" xr:uid="{CD8E3907-7E7F-448C-AA0A-3CBA3DAD300E}">
  <cacheSource type="worksheet">
    <worksheetSource ref="A1:N121" sheet="Order Quantity" r:id="rId2"/>
  </cacheSource>
  <cacheFields count="16">
    <cacheField name="Month" numFmtId="171">
      <sharedItems containsSemiMixedTypes="0" containsNonDate="0" containsDate="1" containsString="0" minDate="2019-01-01T00:00:00" maxDate="2028-12-02T00:00:00" count="120">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d v="2026-05-01T00:00:00"/>
        <d v="2026-06-01T00:00:00"/>
        <d v="2026-07-01T00:00:00"/>
        <d v="2026-08-01T00:00:00"/>
        <d v="2026-09-01T00:00:00"/>
        <d v="2026-10-01T00:00:00"/>
        <d v="2026-11-01T00:00:00"/>
        <d v="2026-12-01T00:00:00"/>
        <d v="2027-01-01T00:00:00"/>
        <d v="2027-02-01T00:00:00"/>
        <d v="2027-03-01T00:00:00"/>
        <d v="2027-04-01T00:00:00"/>
        <d v="2027-05-01T00:00:00"/>
        <d v="2027-06-01T00:00:00"/>
        <d v="2027-07-01T00:00:00"/>
        <d v="2027-08-01T00:00:00"/>
        <d v="2027-09-01T00:00:00"/>
        <d v="2027-10-01T00:00:00"/>
        <d v="2027-11-01T00:00:00"/>
        <d v="2027-12-01T00:00:00"/>
        <d v="2028-01-01T00:00:00"/>
        <d v="2028-02-01T00:00:00"/>
        <d v="2028-03-01T00:00:00"/>
        <d v="2028-04-01T00:00:00"/>
        <d v="2028-05-01T00:00:00"/>
        <d v="2028-06-01T00:00:00"/>
        <d v="2028-07-01T00:00:00"/>
        <d v="2028-08-01T00:00:00"/>
        <d v="2028-09-01T00:00:00"/>
        <d v="2028-10-01T00:00:00"/>
        <d v="2028-11-01T00:00:00"/>
        <d v="2028-12-01T00:00:00"/>
      </sharedItems>
      <fieldGroup par="15" base="0">
        <rangePr groupBy="months" startDate="2019-01-01T00:00:00" endDate="2028-12-02T00:00:00"/>
        <groupItems count="14">
          <s v="&lt;1/1/2019"/>
          <s v="Jan"/>
          <s v="Feb"/>
          <s v="Mar"/>
          <s v="Apr"/>
          <s v="May"/>
          <s v="Jun"/>
          <s v="Jul"/>
          <s v="Aug"/>
          <s v="Sep"/>
          <s v="Oct"/>
          <s v="Nov"/>
          <s v="Dec"/>
          <s v="&gt;2/12/2028"/>
        </groupItems>
      </fieldGroup>
    </cacheField>
    <cacheField name="30ml Blue" numFmtId="0">
      <sharedItems containsSemiMixedTypes="0" containsString="0" containsNumber="1" containsInteger="1" minValue="1" maxValue="31"/>
    </cacheField>
    <cacheField name="30ml Black" numFmtId="0">
      <sharedItems containsSemiMixedTypes="0" containsString="0" containsNumber="1" containsInteger="1" minValue="1" maxValue="31"/>
    </cacheField>
    <cacheField name="30ml Christmas" numFmtId="0">
      <sharedItems containsSemiMixedTypes="0" containsString="0" containsNumber="1" containsInteger="1" minValue="1" maxValue="20"/>
    </cacheField>
    <cacheField name="30ml Diamond" numFmtId="0">
      <sharedItems containsSemiMixedTypes="0" containsString="0" containsNumber="1" containsInteger="1" minValue="1" maxValue="50"/>
    </cacheField>
    <cacheField name="30ml Elegance" numFmtId="0">
      <sharedItems containsSemiMixedTypes="0" containsString="0" containsNumber="1" containsInteger="1" minValue="1" maxValue="26"/>
    </cacheField>
    <cacheField name="30ml Fancy" numFmtId="0">
      <sharedItems containsSemiMixedTypes="0" containsString="0" containsNumber="1" containsInteger="1" minValue="1" maxValue="23"/>
    </cacheField>
    <cacheField name="30ml Love" numFmtId="0">
      <sharedItems containsSemiMixedTypes="0" containsString="0" containsNumber="1" containsInteger="1" minValue="1" maxValue="27"/>
    </cacheField>
    <cacheField name="30ml Romance" numFmtId="0">
      <sharedItems containsSemiMixedTypes="0" containsString="0" containsNumber="1" containsInteger="1" minValue="1" maxValue="25"/>
    </cacheField>
    <cacheField name="30ml Sahara" numFmtId="0">
      <sharedItems containsSemiMixedTypes="0" containsString="0" containsNumber="1" containsInteger="1" minValue="1" maxValue="18"/>
    </cacheField>
    <cacheField name="30ml Sensual" numFmtId="0">
      <sharedItems containsSemiMixedTypes="0" containsString="0" containsNumber="1" containsInteger="1" minValue="1" maxValue="26" count="23">
        <n v="1"/>
        <n v="14"/>
        <n v="4"/>
        <n v="7"/>
        <n v="8"/>
        <n v="6"/>
        <n v="11"/>
        <n v="5"/>
        <n v="10"/>
        <n v="15"/>
        <n v="16"/>
        <n v="9"/>
        <n v="12"/>
        <n v="18"/>
        <n v="19"/>
        <n v="21"/>
        <n v="13"/>
        <n v="17"/>
        <n v="22"/>
        <n v="24"/>
        <n v="23"/>
        <n v="25"/>
        <n v="26"/>
      </sharedItems>
    </cacheField>
    <cacheField name="30ml Sexy" numFmtId="0">
      <sharedItems containsSemiMixedTypes="0" containsString="0" containsNumber="1" containsInteger="1" minValue="1" maxValue="63"/>
    </cacheField>
    <cacheField name="30ml Vogue" numFmtId="0">
      <sharedItems containsSemiMixedTypes="0" containsString="0" containsNumber="1" containsInteger="1" minValue="1" maxValue="25"/>
    </cacheField>
    <cacheField name="30ml Warm" numFmtId="0">
      <sharedItems containsSemiMixedTypes="0" containsString="0" containsNumber="1" containsInteger="1" minValue="1" maxValue="17" count="16">
        <n v="1"/>
        <n v="9"/>
        <n v="3"/>
        <n v="4"/>
        <n v="6"/>
        <n v="5"/>
        <n v="7"/>
        <n v="10"/>
        <n v="11"/>
        <n v="8"/>
        <n v="12"/>
        <n v="13"/>
        <n v="14"/>
        <n v="15"/>
        <n v="16"/>
        <n v="17"/>
      </sharedItems>
    </cacheField>
    <cacheField name="Quarters" numFmtId="0" databaseField="0">
      <fieldGroup base="0">
        <rangePr groupBy="quarters" startDate="2019-01-01T00:00:00" endDate="2028-12-02T00:00:00"/>
        <groupItems count="6">
          <s v="&lt;1/1/2019"/>
          <s v="Qtr1"/>
          <s v="Qtr2"/>
          <s v="Qtr3"/>
          <s v="Qtr4"/>
          <s v="&gt;2/12/2028"/>
        </groupItems>
      </fieldGroup>
    </cacheField>
    <cacheField name="Years" numFmtId="0" databaseField="0">
      <fieldGroup base="0">
        <rangePr groupBy="years" startDate="2019-01-01T00:00:00" endDate="2028-12-02T00:00:00"/>
        <groupItems count="12">
          <s v="&lt;1/1/2019"/>
          <s v="2019"/>
          <s v="2020"/>
          <s v="2021"/>
          <s v="2022"/>
          <s v="2023"/>
          <s v="2024"/>
          <s v="2025"/>
          <s v="2026"/>
          <s v="2027"/>
          <s v="2028"/>
          <s v="&gt;2/12/202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n v="30"/>
    <n v="36"/>
    <n v="12"/>
    <n v="11"/>
    <n v="23"/>
    <n v="24"/>
    <n v="24"/>
    <n v="12"/>
    <n v="17"/>
    <n v="16"/>
    <n v="26"/>
    <n v="52"/>
  </r>
  <r>
    <x v="0"/>
    <x v="1"/>
    <n v="17"/>
    <n v="24"/>
    <n v="8"/>
    <n v="9"/>
    <n v="20"/>
    <n v="17"/>
    <n v="20"/>
    <n v="9"/>
    <n v="12"/>
    <n v="10"/>
    <n v="19"/>
    <n v="47"/>
  </r>
  <r>
    <x v="0"/>
    <x v="2"/>
    <n v="12"/>
    <n v="20"/>
    <n v="7"/>
    <n v="6"/>
    <n v="14"/>
    <n v="16"/>
    <n v="18"/>
    <n v="7"/>
    <n v="9"/>
    <n v="9"/>
    <n v="14"/>
    <n v="42"/>
  </r>
  <r>
    <x v="1"/>
    <x v="0"/>
    <n v="65"/>
    <n v="75"/>
    <n v="59"/>
    <n v="56"/>
    <n v="68"/>
    <n v="58"/>
    <n v="70"/>
    <n v="57"/>
    <n v="59"/>
    <n v="54"/>
    <n v="63"/>
    <n v="85"/>
  </r>
  <r>
    <x v="1"/>
    <x v="1"/>
    <n v="50"/>
    <n v="66"/>
    <n v="51"/>
    <n v="48"/>
    <n v="60"/>
    <n v="50"/>
    <n v="62"/>
    <n v="47"/>
    <n v="51"/>
    <n v="46"/>
    <n v="45"/>
    <n v="71"/>
  </r>
  <r>
    <x v="1"/>
    <x v="2"/>
    <n v="23"/>
    <n v="28"/>
    <n v="19"/>
    <n v="18"/>
    <n v="26"/>
    <n v="28"/>
    <n v="30"/>
    <n v="17"/>
    <n v="16"/>
    <n v="20"/>
    <n v="21"/>
    <n v="35"/>
  </r>
  <r>
    <x v="2"/>
    <x v="0"/>
    <n v="58"/>
    <n v="68"/>
    <n v="55"/>
    <n v="56"/>
    <n v="72"/>
    <n v="70"/>
    <n v="72"/>
    <n v="61"/>
    <n v="57"/>
    <n v="57"/>
    <n v="55"/>
    <n v="77"/>
  </r>
  <r>
    <x v="2"/>
    <x v="1"/>
    <n v="56"/>
    <n v="57"/>
    <n v="48"/>
    <n v="50"/>
    <n v="61"/>
    <n v="60"/>
    <n v="59"/>
    <n v="48"/>
    <n v="47"/>
    <n v="50"/>
    <n v="49"/>
    <n v="67"/>
  </r>
  <r>
    <x v="2"/>
    <x v="2"/>
    <n v="22"/>
    <n v="31"/>
    <n v="19"/>
    <n v="18"/>
    <n v="26"/>
    <n v="25"/>
    <n v="27"/>
    <n v="18"/>
    <n v="19"/>
    <n v="22"/>
    <n v="17"/>
    <n v="42"/>
  </r>
  <r>
    <x v="3"/>
    <x v="0"/>
    <n v="67"/>
    <n v="70"/>
    <n v="60"/>
    <n v="59"/>
    <n v="66"/>
    <n v="69"/>
    <n v="64"/>
    <n v="57"/>
    <n v="58"/>
    <n v="59"/>
    <n v="58"/>
    <n v="73"/>
  </r>
  <r>
    <x v="3"/>
    <x v="1"/>
    <n v="71"/>
    <n v="76"/>
    <n v="63"/>
    <n v="65"/>
    <n v="71"/>
    <n v="73"/>
    <n v="70"/>
    <n v="63"/>
    <n v="62"/>
    <n v="63"/>
    <n v="70"/>
    <n v="92"/>
  </r>
  <r>
    <x v="3"/>
    <x v="2"/>
    <n v="29"/>
    <n v="32"/>
    <n v="22"/>
    <n v="20"/>
    <n v="22"/>
    <n v="25"/>
    <n v="19"/>
    <n v="15"/>
    <n v="21"/>
    <n v="22"/>
    <n v="16"/>
    <n v="39"/>
  </r>
  <r>
    <x v="4"/>
    <x v="0"/>
    <n v="62"/>
    <n v="74"/>
    <n v="61"/>
    <n v="60"/>
    <n v="66"/>
    <n v="71"/>
    <n v="60"/>
    <n v="54"/>
    <n v="57"/>
    <n v="61"/>
    <n v="53"/>
    <n v="83"/>
  </r>
  <r>
    <x v="4"/>
    <x v="1"/>
    <n v="65"/>
    <n v="72"/>
    <n v="60"/>
    <n v="58"/>
    <n v="70"/>
    <n v="78"/>
    <n v="68"/>
    <n v="66"/>
    <n v="70"/>
    <n v="53"/>
    <n v="65"/>
    <n v="102"/>
  </r>
  <r>
    <x v="4"/>
    <x v="2"/>
    <n v="23"/>
    <n v="34"/>
    <n v="17"/>
    <n v="13"/>
    <n v="26"/>
    <n v="28"/>
    <n v="24"/>
    <n v="22"/>
    <n v="20"/>
    <n v="21"/>
    <n v="20"/>
    <n v="4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n v="1"/>
    <n v="1"/>
    <n v="1"/>
    <n v="1"/>
    <n v="1"/>
    <n v="1"/>
    <n v="1"/>
    <n v="1"/>
    <n v="1"/>
    <n v="1"/>
    <n v="1"/>
    <n v="1"/>
    <n v="1"/>
    <n v="0"/>
    <n v="0"/>
    <n v="0"/>
    <n v="0"/>
    <n v="0"/>
    <n v="0"/>
    <n v="0"/>
    <n v="0"/>
    <n v="0"/>
    <n v="0"/>
    <n v="0"/>
    <n v="0"/>
    <n v="0"/>
    <n v="0"/>
    <n v="0"/>
    <n v="0"/>
    <x v="0"/>
  </r>
  <r>
    <x v="1"/>
    <n v="16"/>
    <n v="16"/>
    <n v="10"/>
    <n v="25"/>
    <n v="14"/>
    <n v="12"/>
    <n v="14"/>
    <n v="13"/>
    <n v="10"/>
    <n v="14"/>
    <n v="32"/>
    <n v="13"/>
    <n v="9"/>
    <n v="11"/>
    <n v="11"/>
    <n v="7"/>
    <n v="16"/>
    <n v="10"/>
    <n v="9"/>
    <n v="7"/>
    <n v="10"/>
    <n v="6"/>
    <n v="10"/>
    <n v="20"/>
    <n v="10"/>
    <n v="6"/>
    <n v="0"/>
    <n v="0"/>
    <n v="0"/>
    <x v="0"/>
  </r>
  <r>
    <x v="2"/>
    <n v="5"/>
    <n v="5"/>
    <n v="3"/>
    <n v="7"/>
    <n v="4"/>
    <n v="3"/>
    <n v="4"/>
    <n v="4"/>
    <n v="3"/>
    <n v="4"/>
    <n v="9"/>
    <n v="4"/>
    <n v="3"/>
    <n v="6"/>
    <n v="6"/>
    <n v="4"/>
    <n v="9"/>
    <n v="5"/>
    <n v="5"/>
    <n v="4"/>
    <n v="5"/>
    <n v="3"/>
    <n v="5"/>
    <n v="10"/>
    <n v="5"/>
    <n v="3"/>
    <n v="0"/>
    <n v="0"/>
    <n v="0"/>
    <x v="0"/>
  </r>
  <r>
    <x v="3"/>
    <n v="8"/>
    <n v="8"/>
    <n v="5"/>
    <n v="13"/>
    <n v="7"/>
    <n v="6"/>
    <n v="7"/>
    <n v="6"/>
    <n v="5"/>
    <n v="7"/>
    <n v="16"/>
    <n v="6"/>
    <n v="4"/>
    <n v="8"/>
    <n v="9"/>
    <n v="5"/>
    <n v="12"/>
    <n v="7"/>
    <n v="7"/>
    <n v="6"/>
    <n v="7"/>
    <n v="5"/>
    <n v="8"/>
    <n v="15"/>
    <n v="8"/>
    <n v="5"/>
    <n v="2"/>
    <n v="2"/>
    <n v="1"/>
    <x v="1"/>
  </r>
  <r>
    <x v="4"/>
    <n v="10"/>
    <n v="10"/>
    <n v="6"/>
    <n v="16"/>
    <n v="8"/>
    <n v="7"/>
    <n v="9"/>
    <n v="8"/>
    <n v="6"/>
    <n v="8"/>
    <n v="20"/>
    <n v="8"/>
    <n v="6"/>
    <n v="11"/>
    <n v="11"/>
    <n v="7"/>
    <n v="16"/>
    <n v="10"/>
    <n v="9"/>
    <n v="7"/>
    <n v="10"/>
    <n v="6"/>
    <n v="10"/>
    <n v="20"/>
    <n v="10"/>
    <n v="6"/>
    <n v="10"/>
    <n v="8"/>
    <n v="6"/>
    <x v="2"/>
  </r>
  <r>
    <x v="5"/>
    <n v="10"/>
    <n v="10"/>
    <n v="6"/>
    <n v="15"/>
    <n v="8"/>
    <n v="7"/>
    <n v="8"/>
    <n v="8"/>
    <n v="6"/>
    <n v="8"/>
    <n v="19"/>
    <n v="8"/>
    <n v="5"/>
    <n v="10"/>
    <n v="11"/>
    <n v="6"/>
    <n v="15"/>
    <n v="9"/>
    <n v="8"/>
    <n v="7"/>
    <n v="9"/>
    <n v="6"/>
    <n v="10"/>
    <n v="18"/>
    <n v="9"/>
    <n v="6"/>
    <n v="13"/>
    <n v="10"/>
    <n v="8"/>
    <x v="3"/>
  </r>
  <r>
    <x v="6"/>
    <n v="7"/>
    <n v="7"/>
    <n v="5"/>
    <n v="11"/>
    <n v="6"/>
    <n v="5"/>
    <n v="6"/>
    <n v="6"/>
    <n v="4"/>
    <n v="6"/>
    <n v="14"/>
    <n v="6"/>
    <n v="4"/>
    <n v="7"/>
    <n v="7"/>
    <n v="4"/>
    <n v="10"/>
    <n v="6"/>
    <n v="6"/>
    <n v="5"/>
    <n v="6"/>
    <n v="4"/>
    <n v="7"/>
    <n v="13"/>
    <n v="6"/>
    <n v="4"/>
    <n v="4"/>
    <n v="3"/>
    <n v="2"/>
    <x v="4"/>
  </r>
  <r>
    <x v="7"/>
    <n v="8"/>
    <n v="8"/>
    <n v="5"/>
    <n v="13"/>
    <n v="7"/>
    <n v="6"/>
    <n v="7"/>
    <n v="6"/>
    <n v="5"/>
    <n v="7"/>
    <n v="16"/>
    <n v="6"/>
    <n v="4"/>
    <n v="8"/>
    <n v="9"/>
    <n v="5"/>
    <n v="12"/>
    <n v="7"/>
    <n v="7"/>
    <n v="6"/>
    <n v="7"/>
    <n v="5"/>
    <n v="8"/>
    <n v="15"/>
    <n v="8"/>
    <n v="5"/>
    <n v="7"/>
    <n v="5"/>
    <n v="4"/>
    <x v="5"/>
  </r>
  <r>
    <x v="8"/>
    <n v="8"/>
    <n v="8"/>
    <n v="5"/>
    <n v="13"/>
    <n v="7"/>
    <n v="6"/>
    <n v="7"/>
    <n v="6"/>
    <n v="5"/>
    <n v="7"/>
    <n v="16"/>
    <n v="6"/>
    <n v="4"/>
    <n v="8"/>
    <n v="9"/>
    <n v="5"/>
    <n v="12"/>
    <n v="7"/>
    <n v="7"/>
    <n v="6"/>
    <n v="7"/>
    <n v="5"/>
    <n v="8"/>
    <n v="15"/>
    <n v="8"/>
    <n v="5"/>
    <n v="7"/>
    <n v="5"/>
    <n v="4"/>
    <x v="5"/>
  </r>
  <r>
    <x v="9"/>
    <n v="8"/>
    <n v="8"/>
    <n v="5"/>
    <n v="13"/>
    <n v="7"/>
    <n v="6"/>
    <n v="7"/>
    <n v="6"/>
    <n v="5"/>
    <n v="7"/>
    <n v="16"/>
    <n v="6"/>
    <n v="4"/>
    <n v="8"/>
    <n v="9"/>
    <n v="5"/>
    <n v="12"/>
    <n v="7"/>
    <n v="7"/>
    <n v="6"/>
    <n v="7"/>
    <n v="5"/>
    <n v="8"/>
    <n v="15"/>
    <n v="8"/>
    <n v="5"/>
    <n v="7"/>
    <n v="5"/>
    <n v="4"/>
    <x v="5"/>
  </r>
  <r>
    <x v="10"/>
    <n v="8"/>
    <n v="8"/>
    <n v="5"/>
    <n v="13"/>
    <n v="7"/>
    <n v="6"/>
    <n v="7"/>
    <n v="6"/>
    <n v="5"/>
    <n v="7"/>
    <n v="16"/>
    <n v="6"/>
    <n v="4"/>
    <n v="8"/>
    <n v="9"/>
    <n v="5"/>
    <n v="12"/>
    <n v="7"/>
    <n v="7"/>
    <n v="6"/>
    <n v="7"/>
    <n v="5"/>
    <n v="8"/>
    <n v="15"/>
    <n v="8"/>
    <n v="5"/>
    <n v="7"/>
    <n v="5"/>
    <n v="4"/>
    <x v="5"/>
  </r>
  <r>
    <x v="11"/>
    <n v="16"/>
    <n v="16"/>
    <n v="10"/>
    <n v="25"/>
    <n v="14"/>
    <n v="12"/>
    <n v="14"/>
    <n v="13"/>
    <n v="10"/>
    <n v="14"/>
    <n v="32"/>
    <n v="13"/>
    <n v="9"/>
    <n v="18"/>
    <n v="19"/>
    <n v="11"/>
    <n v="27"/>
    <n v="16"/>
    <n v="14"/>
    <n v="12"/>
    <n v="16"/>
    <n v="10"/>
    <n v="17"/>
    <n v="33"/>
    <n v="16"/>
    <n v="10"/>
    <n v="24"/>
    <n v="17"/>
    <n v="13"/>
    <x v="6"/>
  </r>
  <r>
    <x v="12"/>
    <n v="10"/>
    <n v="10"/>
    <n v="6"/>
    <n v="16"/>
    <n v="8"/>
    <n v="7"/>
    <n v="9"/>
    <n v="8"/>
    <n v="6"/>
    <n v="8"/>
    <n v="20"/>
    <n v="8"/>
    <n v="5"/>
    <n v="9"/>
    <n v="9"/>
    <n v="5"/>
    <n v="13"/>
    <n v="8"/>
    <n v="7"/>
    <n v="6"/>
    <n v="8"/>
    <n v="5"/>
    <n v="8"/>
    <n v="16"/>
    <n v="8"/>
    <n v="5"/>
    <n v="4"/>
    <n v="3"/>
    <n v="3"/>
    <x v="7"/>
  </r>
  <r>
    <x v="13"/>
    <n v="13"/>
    <n v="14"/>
    <n v="9"/>
    <n v="21"/>
    <n v="11"/>
    <n v="10"/>
    <n v="12"/>
    <n v="11"/>
    <n v="8"/>
    <n v="11"/>
    <n v="27"/>
    <n v="11"/>
    <n v="7"/>
    <n v="13"/>
    <n v="13"/>
    <n v="8"/>
    <n v="20"/>
    <n v="12"/>
    <n v="10"/>
    <n v="9"/>
    <n v="12"/>
    <n v="7"/>
    <n v="12"/>
    <n v="24"/>
    <n v="12"/>
    <n v="7"/>
    <n v="15"/>
    <n v="11"/>
    <n v="8"/>
    <x v="8"/>
  </r>
  <r>
    <x v="14"/>
    <n v="6"/>
    <n v="6"/>
    <n v="4"/>
    <n v="9"/>
    <n v="5"/>
    <n v="5"/>
    <n v="5"/>
    <n v="5"/>
    <n v="4"/>
    <n v="5"/>
    <n v="12"/>
    <n v="5"/>
    <n v="3"/>
    <n v="7"/>
    <n v="7"/>
    <n v="4"/>
    <n v="11"/>
    <n v="6"/>
    <n v="6"/>
    <n v="5"/>
    <n v="6"/>
    <n v="4"/>
    <n v="7"/>
    <n v="13"/>
    <n v="6"/>
    <n v="4"/>
    <n v="4"/>
    <n v="3"/>
    <n v="2"/>
    <x v="4"/>
  </r>
  <r>
    <x v="15"/>
    <n v="9"/>
    <n v="9"/>
    <n v="6"/>
    <n v="14"/>
    <n v="8"/>
    <n v="7"/>
    <n v="8"/>
    <n v="7"/>
    <n v="5"/>
    <n v="7"/>
    <n v="18"/>
    <n v="7"/>
    <n v="5"/>
    <n v="9"/>
    <n v="10"/>
    <n v="6"/>
    <n v="14"/>
    <n v="8"/>
    <n v="7"/>
    <n v="6"/>
    <n v="8"/>
    <n v="5"/>
    <n v="9"/>
    <n v="17"/>
    <n v="8"/>
    <n v="5"/>
    <n v="8"/>
    <n v="6"/>
    <n v="4"/>
    <x v="9"/>
  </r>
  <r>
    <x v="16"/>
    <n v="12"/>
    <n v="12"/>
    <n v="8"/>
    <n v="19"/>
    <n v="10"/>
    <n v="9"/>
    <n v="11"/>
    <n v="10"/>
    <n v="7"/>
    <n v="10"/>
    <n v="25"/>
    <n v="10"/>
    <n v="7"/>
    <n v="14"/>
    <n v="15"/>
    <n v="9"/>
    <n v="21"/>
    <n v="13"/>
    <n v="11"/>
    <n v="10"/>
    <n v="13"/>
    <n v="8"/>
    <n v="13"/>
    <n v="26"/>
    <n v="13"/>
    <n v="8"/>
    <n v="14"/>
    <n v="11"/>
    <n v="8"/>
    <x v="10"/>
  </r>
  <r>
    <x v="17"/>
    <n v="7"/>
    <n v="7"/>
    <n v="5"/>
    <n v="11"/>
    <n v="6"/>
    <n v="6"/>
    <n v="6"/>
    <n v="6"/>
    <n v="4"/>
    <n v="6"/>
    <n v="14"/>
    <n v="6"/>
    <n v="4"/>
    <n v="7"/>
    <n v="7"/>
    <n v="4"/>
    <n v="11"/>
    <n v="6"/>
    <n v="6"/>
    <n v="5"/>
    <n v="6"/>
    <n v="4"/>
    <n v="7"/>
    <n v="13"/>
    <n v="7"/>
    <n v="4"/>
    <n v="5"/>
    <n v="4"/>
    <n v="3"/>
    <x v="7"/>
  </r>
  <r>
    <x v="18"/>
    <n v="9"/>
    <n v="9"/>
    <n v="6"/>
    <n v="14"/>
    <n v="8"/>
    <n v="7"/>
    <n v="8"/>
    <n v="7"/>
    <n v="5"/>
    <n v="7"/>
    <n v="18"/>
    <n v="7"/>
    <n v="5"/>
    <n v="9"/>
    <n v="10"/>
    <n v="6"/>
    <n v="14"/>
    <n v="8"/>
    <n v="7"/>
    <n v="6"/>
    <n v="8"/>
    <n v="5"/>
    <n v="9"/>
    <n v="17"/>
    <n v="8"/>
    <n v="5"/>
    <n v="8"/>
    <n v="6"/>
    <n v="4"/>
    <x v="9"/>
  </r>
  <r>
    <x v="19"/>
    <n v="9"/>
    <n v="9"/>
    <n v="6"/>
    <n v="14"/>
    <n v="8"/>
    <n v="7"/>
    <n v="8"/>
    <n v="7"/>
    <n v="5"/>
    <n v="7"/>
    <n v="18"/>
    <n v="7"/>
    <n v="5"/>
    <n v="9"/>
    <n v="10"/>
    <n v="6"/>
    <n v="14"/>
    <n v="8"/>
    <n v="7"/>
    <n v="6"/>
    <n v="8"/>
    <n v="5"/>
    <n v="9"/>
    <n v="17"/>
    <n v="8"/>
    <n v="5"/>
    <n v="8"/>
    <n v="6"/>
    <n v="4"/>
    <x v="9"/>
  </r>
  <r>
    <x v="20"/>
    <n v="9"/>
    <n v="9"/>
    <n v="6"/>
    <n v="14"/>
    <n v="8"/>
    <n v="7"/>
    <n v="8"/>
    <n v="7"/>
    <n v="5"/>
    <n v="7"/>
    <n v="18"/>
    <n v="7"/>
    <n v="5"/>
    <n v="9"/>
    <n v="10"/>
    <n v="6"/>
    <n v="14"/>
    <n v="8"/>
    <n v="7"/>
    <n v="6"/>
    <n v="8"/>
    <n v="5"/>
    <n v="9"/>
    <n v="17"/>
    <n v="8"/>
    <n v="5"/>
    <n v="8"/>
    <n v="6"/>
    <n v="4"/>
    <x v="9"/>
  </r>
  <r>
    <x v="21"/>
    <n v="9"/>
    <n v="9"/>
    <n v="6"/>
    <n v="14"/>
    <n v="8"/>
    <n v="7"/>
    <n v="8"/>
    <n v="7"/>
    <n v="5"/>
    <n v="7"/>
    <n v="18"/>
    <n v="7"/>
    <n v="5"/>
    <n v="9"/>
    <n v="10"/>
    <n v="6"/>
    <n v="14"/>
    <n v="8"/>
    <n v="7"/>
    <n v="6"/>
    <n v="8"/>
    <n v="5"/>
    <n v="9"/>
    <n v="17"/>
    <n v="8"/>
    <n v="5"/>
    <n v="8"/>
    <n v="6"/>
    <n v="4"/>
    <x v="9"/>
  </r>
  <r>
    <x v="22"/>
    <n v="9"/>
    <n v="9"/>
    <n v="6"/>
    <n v="14"/>
    <n v="8"/>
    <n v="7"/>
    <n v="8"/>
    <n v="7"/>
    <n v="5"/>
    <n v="7"/>
    <n v="18"/>
    <n v="7"/>
    <n v="5"/>
    <n v="9"/>
    <n v="10"/>
    <n v="6"/>
    <n v="14"/>
    <n v="8"/>
    <n v="7"/>
    <n v="6"/>
    <n v="8"/>
    <n v="5"/>
    <n v="9"/>
    <n v="17"/>
    <n v="8"/>
    <n v="5"/>
    <n v="8"/>
    <n v="6"/>
    <n v="4"/>
    <x v="9"/>
  </r>
  <r>
    <x v="23"/>
    <n v="18"/>
    <n v="18"/>
    <n v="11"/>
    <n v="28"/>
    <n v="15"/>
    <n v="13"/>
    <n v="15"/>
    <n v="14"/>
    <n v="11"/>
    <n v="15"/>
    <n v="36"/>
    <n v="14"/>
    <n v="10"/>
    <n v="20"/>
    <n v="21"/>
    <n v="12"/>
    <n v="30"/>
    <n v="18"/>
    <n v="16"/>
    <n v="13"/>
    <n v="18"/>
    <n v="11"/>
    <n v="19"/>
    <n v="37"/>
    <n v="18"/>
    <n v="11"/>
    <n v="25"/>
    <n v="19"/>
    <n v="14"/>
    <x v="11"/>
  </r>
  <r>
    <x v="24"/>
    <n v="6"/>
    <n v="6"/>
    <n v="4"/>
    <n v="10"/>
    <n v="5"/>
    <n v="5"/>
    <n v="6"/>
    <n v="5"/>
    <n v="4"/>
    <n v="5"/>
    <n v="13"/>
    <n v="5"/>
    <n v="4"/>
    <n v="6"/>
    <n v="7"/>
    <n v="4"/>
    <n v="9"/>
    <n v="6"/>
    <n v="5"/>
    <n v="4"/>
    <n v="6"/>
    <n v="4"/>
    <n v="6"/>
    <n v="11"/>
    <n v="6"/>
    <n v="4"/>
    <n v="1"/>
    <n v="1"/>
    <n v="1"/>
    <x v="12"/>
  </r>
  <r>
    <x v="25"/>
    <n v="20"/>
    <n v="20"/>
    <n v="13"/>
    <n v="31"/>
    <n v="17"/>
    <n v="15"/>
    <n v="17"/>
    <n v="15"/>
    <n v="12"/>
    <n v="16"/>
    <n v="39"/>
    <n v="16"/>
    <n v="11"/>
    <n v="17"/>
    <n v="18"/>
    <n v="10"/>
    <n v="27"/>
    <n v="16"/>
    <n v="14"/>
    <n v="12"/>
    <n v="16"/>
    <n v="10"/>
    <n v="17"/>
    <n v="32"/>
    <n v="16"/>
    <n v="10"/>
    <n v="18"/>
    <n v="13"/>
    <n v="10"/>
    <x v="13"/>
  </r>
  <r>
    <x v="26"/>
    <n v="5"/>
    <n v="5"/>
    <n v="4"/>
    <n v="8"/>
    <n v="5"/>
    <n v="4"/>
    <n v="5"/>
    <n v="4"/>
    <n v="3"/>
    <n v="5"/>
    <n v="10"/>
    <n v="4"/>
    <n v="3"/>
    <n v="7"/>
    <n v="7"/>
    <n v="4"/>
    <n v="11"/>
    <n v="6"/>
    <n v="6"/>
    <n v="5"/>
    <n v="6"/>
    <n v="4"/>
    <n v="7"/>
    <n v="13"/>
    <n v="6"/>
    <n v="4"/>
    <n v="4"/>
    <n v="3"/>
    <n v="2"/>
    <x v="4"/>
  </r>
  <r>
    <x v="27"/>
    <n v="10"/>
    <n v="10"/>
    <n v="6"/>
    <n v="15"/>
    <n v="8"/>
    <n v="7"/>
    <n v="8"/>
    <n v="8"/>
    <n v="6"/>
    <n v="8"/>
    <n v="19"/>
    <n v="8"/>
    <n v="5"/>
    <n v="10"/>
    <n v="11"/>
    <n v="6"/>
    <n v="15"/>
    <n v="9"/>
    <n v="8"/>
    <n v="7"/>
    <n v="9"/>
    <n v="6"/>
    <n v="10"/>
    <n v="18"/>
    <n v="9"/>
    <n v="6"/>
    <n v="8"/>
    <n v="6"/>
    <n v="5"/>
    <x v="9"/>
  </r>
  <r>
    <x v="28"/>
    <n v="13"/>
    <n v="14"/>
    <n v="9"/>
    <n v="21"/>
    <n v="11"/>
    <n v="10"/>
    <n v="12"/>
    <n v="11"/>
    <n v="8"/>
    <n v="11"/>
    <n v="27"/>
    <n v="11"/>
    <n v="7"/>
    <n v="16"/>
    <n v="16"/>
    <n v="9"/>
    <n v="24"/>
    <n v="14"/>
    <n v="13"/>
    <n v="11"/>
    <n v="14"/>
    <n v="9"/>
    <n v="15"/>
    <n v="29"/>
    <n v="14"/>
    <n v="9"/>
    <n v="15"/>
    <n v="11"/>
    <n v="9"/>
    <x v="8"/>
  </r>
  <r>
    <x v="29"/>
    <n v="10"/>
    <n v="10"/>
    <n v="6"/>
    <n v="15"/>
    <n v="8"/>
    <n v="7"/>
    <n v="8"/>
    <n v="8"/>
    <n v="6"/>
    <n v="8"/>
    <n v="19"/>
    <n v="8"/>
    <n v="5"/>
    <n v="9"/>
    <n v="10"/>
    <n v="6"/>
    <n v="14"/>
    <n v="8"/>
    <n v="8"/>
    <n v="6"/>
    <n v="8"/>
    <n v="5"/>
    <n v="9"/>
    <n v="17"/>
    <n v="9"/>
    <n v="5"/>
    <n v="10"/>
    <n v="7"/>
    <n v="6"/>
    <x v="14"/>
  </r>
  <r>
    <x v="30"/>
    <n v="9"/>
    <n v="9"/>
    <n v="6"/>
    <n v="14"/>
    <n v="8"/>
    <n v="7"/>
    <n v="8"/>
    <n v="7"/>
    <n v="5"/>
    <n v="8"/>
    <n v="18"/>
    <n v="7"/>
    <n v="5"/>
    <n v="9"/>
    <n v="10"/>
    <n v="6"/>
    <n v="14"/>
    <n v="9"/>
    <n v="8"/>
    <n v="7"/>
    <n v="9"/>
    <n v="5"/>
    <n v="9"/>
    <n v="17"/>
    <n v="9"/>
    <n v="5"/>
    <n v="6"/>
    <n v="5"/>
    <n v="4"/>
    <x v="15"/>
  </r>
  <r>
    <x v="31"/>
    <n v="10"/>
    <n v="10"/>
    <n v="6"/>
    <n v="15"/>
    <n v="8"/>
    <n v="7"/>
    <n v="8"/>
    <n v="8"/>
    <n v="6"/>
    <n v="8"/>
    <n v="19"/>
    <n v="8"/>
    <n v="5"/>
    <n v="10"/>
    <n v="11"/>
    <n v="6"/>
    <n v="15"/>
    <n v="9"/>
    <n v="8"/>
    <n v="7"/>
    <n v="9"/>
    <n v="6"/>
    <n v="10"/>
    <n v="18"/>
    <n v="9"/>
    <n v="6"/>
    <n v="8"/>
    <n v="6"/>
    <n v="5"/>
    <x v="9"/>
  </r>
  <r>
    <x v="32"/>
    <n v="10"/>
    <n v="10"/>
    <n v="6"/>
    <n v="15"/>
    <n v="8"/>
    <n v="7"/>
    <n v="8"/>
    <n v="8"/>
    <n v="6"/>
    <n v="8"/>
    <n v="19"/>
    <n v="8"/>
    <n v="5"/>
    <n v="10"/>
    <n v="11"/>
    <n v="6"/>
    <n v="15"/>
    <n v="9"/>
    <n v="8"/>
    <n v="7"/>
    <n v="9"/>
    <n v="6"/>
    <n v="10"/>
    <n v="18"/>
    <n v="9"/>
    <n v="6"/>
    <n v="8"/>
    <n v="6"/>
    <n v="5"/>
    <x v="9"/>
  </r>
  <r>
    <x v="33"/>
    <n v="10"/>
    <n v="10"/>
    <n v="6"/>
    <n v="15"/>
    <n v="8"/>
    <n v="7"/>
    <n v="8"/>
    <n v="8"/>
    <n v="6"/>
    <n v="8"/>
    <n v="19"/>
    <n v="8"/>
    <n v="5"/>
    <n v="10"/>
    <n v="11"/>
    <n v="6"/>
    <n v="15"/>
    <n v="9"/>
    <n v="8"/>
    <n v="7"/>
    <n v="9"/>
    <n v="6"/>
    <n v="10"/>
    <n v="18"/>
    <n v="9"/>
    <n v="6"/>
    <n v="8"/>
    <n v="6"/>
    <n v="5"/>
    <x v="9"/>
  </r>
  <r>
    <x v="34"/>
    <n v="10"/>
    <n v="10"/>
    <n v="6"/>
    <n v="15"/>
    <n v="8"/>
    <n v="7"/>
    <n v="8"/>
    <n v="8"/>
    <n v="6"/>
    <n v="8"/>
    <n v="19"/>
    <n v="8"/>
    <n v="5"/>
    <n v="10"/>
    <n v="11"/>
    <n v="6"/>
    <n v="15"/>
    <n v="9"/>
    <n v="8"/>
    <n v="7"/>
    <n v="9"/>
    <n v="6"/>
    <n v="10"/>
    <n v="18"/>
    <n v="9"/>
    <n v="6"/>
    <n v="8"/>
    <n v="6"/>
    <n v="5"/>
    <x v="9"/>
  </r>
  <r>
    <x v="35"/>
    <n v="19"/>
    <n v="19"/>
    <n v="12"/>
    <n v="31"/>
    <n v="16"/>
    <n v="14"/>
    <n v="17"/>
    <n v="15"/>
    <n v="12"/>
    <n v="16"/>
    <n v="39"/>
    <n v="16"/>
    <n v="11"/>
    <n v="22"/>
    <n v="23"/>
    <n v="13"/>
    <n v="33"/>
    <n v="20"/>
    <n v="18"/>
    <n v="15"/>
    <n v="20"/>
    <n v="12"/>
    <n v="21"/>
    <n v="40"/>
    <n v="20"/>
    <n v="12"/>
    <n v="27"/>
    <n v="20"/>
    <n v="15"/>
    <x v="16"/>
  </r>
  <r>
    <x v="36"/>
    <n v="12"/>
    <n v="12"/>
    <n v="7"/>
    <n v="18"/>
    <n v="10"/>
    <n v="9"/>
    <n v="10"/>
    <n v="9"/>
    <n v="7"/>
    <n v="10"/>
    <n v="23"/>
    <n v="9"/>
    <n v="6"/>
    <n v="10"/>
    <n v="11"/>
    <n v="6"/>
    <n v="16"/>
    <n v="9"/>
    <n v="9"/>
    <n v="7"/>
    <n v="10"/>
    <n v="6"/>
    <n v="10"/>
    <n v="19"/>
    <n v="10"/>
    <n v="6"/>
    <n v="5"/>
    <n v="4"/>
    <n v="3"/>
    <x v="7"/>
  </r>
  <r>
    <x v="37"/>
    <n v="16"/>
    <n v="16"/>
    <n v="10"/>
    <n v="25"/>
    <n v="14"/>
    <n v="12"/>
    <n v="14"/>
    <n v="13"/>
    <n v="10"/>
    <n v="14"/>
    <n v="32"/>
    <n v="13"/>
    <n v="9"/>
    <n v="16"/>
    <n v="16"/>
    <n v="9"/>
    <n v="24"/>
    <n v="14"/>
    <n v="13"/>
    <n v="11"/>
    <n v="14"/>
    <n v="9"/>
    <n v="15"/>
    <n v="29"/>
    <n v="14"/>
    <n v="9"/>
    <n v="17"/>
    <n v="12"/>
    <n v="10"/>
    <x v="17"/>
  </r>
  <r>
    <x v="38"/>
    <n v="7"/>
    <n v="7"/>
    <n v="5"/>
    <n v="11"/>
    <n v="6"/>
    <n v="5"/>
    <n v="6"/>
    <n v="6"/>
    <n v="4"/>
    <n v="6"/>
    <n v="14"/>
    <n v="6"/>
    <n v="4"/>
    <n v="9"/>
    <n v="9"/>
    <n v="5"/>
    <n v="13"/>
    <n v="8"/>
    <n v="7"/>
    <n v="6"/>
    <n v="8"/>
    <n v="5"/>
    <n v="8"/>
    <n v="15"/>
    <n v="8"/>
    <n v="5"/>
    <n v="4"/>
    <n v="3"/>
    <n v="3"/>
    <x v="7"/>
  </r>
  <r>
    <x v="39"/>
    <n v="10"/>
    <n v="11"/>
    <n v="7"/>
    <n v="16"/>
    <n v="9"/>
    <n v="8"/>
    <n v="9"/>
    <n v="8"/>
    <n v="6"/>
    <n v="9"/>
    <n v="21"/>
    <n v="8"/>
    <n v="6"/>
    <n v="11"/>
    <n v="12"/>
    <n v="7"/>
    <n v="17"/>
    <n v="10"/>
    <n v="9"/>
    <n v="8"/>
    <n v="10"/>
    <n v="6"/>
    <n v="10"/>
    <n v="20"/>
    <n v="10"/>
    <n v="6"/>
    <n v="9"/>
    <n v="6"/>
    <n v="5"/>
    <x v="18"/>
  </r>
  <r>
    <x v="40"/>
    <n v="15"/>
    <n v="15"/>
    <n v="9"/>
    <n v="23"/>
    <n v="12"/>
    <n v="11"/>
    <n v="13"/>
    <n v="12"/>
    <n v="9"/>
    <n v="12"/>
    <n v="29"/>
    <n v="12"/>
    <n v="8"/>
    <n v="17"/>
    <n v="18"/>
    <n v="10"/>
    <n v="26"/>
    <n v="15"/>
    <n v="14"/>
    <n v="12"/>
    <n v="15"/>
    <n v="9"/>
    <n v="16"/>
    <n v="31"/>
    <n v="16"/>
    <n v="10"/>
    <n v="16"/>
    <n v="12"/>
    <n v="9"/>
    <x v="19"/>
  </r>
  <r>
    <x v="41"/>
    <n v="10"/>
    <n v="10"/>
    <n v="7"/>
    <n v="16"/>
    <n v="9"/>
    <n v="8"/>
    <n v="9"/>
    <n v="8"/>
    <n v="6"/>
    <n v="9"/>
    <n v="21"/>
    <n v="8"/>
    <n v="6"/>
    <n v="10"/>
    <n v="11"/>
    <n v="6"/>
    <n v="15"/>
    <n v="9"/>
    <n v="8"/>
    <n v="7"/>
    <n v="9"/>
    <n v="6"/>
    <n v="10"/>
    <n v="19"/>
    <n v="9"/>
    <n v="6"/>
    <n v="11"/>
    <n v="8"/>
    <n v="6"/>
    <x v="2"/>
  </r>
  <r>
    <x v="42"/>
    <n v="10"/>
    <n v="10"/>
    <n v="6"/>
    <n v="15"/>
    <n v="8"/>
    <n v="7"/>
    <n v="8"/>
    <n v="8"/>
    <n v="6"/>
    <n v="8"/>
    <n v="19"/>
    <n v="8"/>
    <n v="5"/>
    <n v="10"/>
    <n v="11"/>
    <n v="6"/>
    <n v="16"/>
    <n v="9"/>
    <n v="8"/>
    <n v="7"/>
    <n v="9"/>
    <n v="6"/>
    <n v="10"/>
    <n v="19"/>
    <n v="9"/>
    <n v="6"/>
    <n v="6"/>
    <n v="5"/>
    <n v="4"/>
    <x v="15"/>
  </r>
  <r>
    <x v="43"/>
    <n v="10"/>
    <n v="11"/>
    <n v="7"/>
    <n v="16"/>
    <n v="9"/>
    <n v="8"/>
    <n v="9"/>
    <n v="8"/>
    <n v="6"/>
    <n v="9"/>
    <n v="21"/>
    <n v="8"/>
    <n v="6"/>
    <n v="11"/>
    <n v="12"/>
    <n v="7"/>
    <n v="17"/>
    <n v="10"/>
    <n v="9"/>
    <n v="8"/>
    <n v="10"/>
    <n v="6"/>
    <n v="10"/>
    <n v="20"/>
    <n v="10"/>
    <n v="6"/>
    <n v="9"/>
    <n v="6"/>
    <n v="5"/>
    <x v="18"/>
  </r>
  <r>
    <x v="44"/>
    <n v="10"/>
    <n v="11"/>
    <n v="7"/>
    <n v="16"/>
    <n v="9"/>
    <n v="8"/>
    <n v="9"/>
    <n v="8"/>
    <n v="6"/>
    <n v="9"/>
    <n v="21"/>
    <n v="8"/>
    <n v="6"/>
    <n v="11"/>
    <n v="12"/>
    <n v="7"/>
    <n v="17"/>
    <n v="10"/>
    <n v="9"/>
    <n v="8"/>
    <n v="10"/>
    <n v="6"/>
    <n v="10"/>
    <n v="20"/>
    <n v="10"/>
    <n v="6"/>
    <n v="9"/>
    <n v="6"/>
    <n v="5"/>
    <x v="18"/>
  </r>
  <r>
    <x v="45"/>
    <n v="10"/>
    <n v="11"/>
    <n v="7"/>
    <n v="16"/>
    <n v="9"/>
    <n v="8"/>
    <n v="9"/>
    <n v="8"/>
    <n v="6"/>
    <n v="9"/>
    <n v="21"/>
    <n v="8"/>
    <n v="6"/>
    <n v="11"/>
    <n v="12"/>
    <n v="7"/>
    <n v="17"/>
    <n v="10"/>
    <n v="9"/>
    <n v="8"/>
    <n v="10"/>
    <n v="6"/>
    <n v="10"/>
    <n v="20"/>
    <n v="10"/>
    <n v="6"/>
    <n v="9"/>
    <n v="6"/>
    <n v="5"/>
    <x v="18"/>
  </r>
  <r>
    <x v="46"/>
    <n v="10"/>
    <n v="11"/>
    <n v="7"/>
    <n v="16"/>
    <n v="9"/>
    <n v="8"/>
    <n v="9"/>
    <n v="8"/>
    <n v="6"/>
    <n v="9"/>
    <n v="21"/>
    <n v="8"/>
    <n v="6"/>
    <n v="11"/>
    <n v="12"/>
    <n v="7"/>
    <n v="17"/>
    <n v="10"/>
    <n v="9"/>
    <n v="8"/>
    <n v="10"/>
    <n v="6"/>
    <n v="10"/>
    <n v="20"/>
    <n v="10"/>
    <n v="6"/>
    <n v="9"/>
    <n v="6"/>
    <n v="5"/>
    <x v="18"/>
  </r>
  <r>
    <x v="47"/>
    <n v="21"/>
    <n v="21"/>
    <n v="14"/>
    <n v="33"/>
    <n v="18"/>
    <n v="16"/>
    <n v="18"/>
    <n v="17"/>
    <n v="13"/>
    <n v="18"/>
    <n v="43"/>
    <n v="17"/>
    <n v="11"/>
    <n v="24"/>
    <n v="25"/>
    <n v="14"/>
    <n v="37"/>
    <n v="22"/>
    <n v="19"/>
    <n v="16"/>
    <n v="22"/>
    <n v="13"/>
    <n v="23"/>
    <n v="44"/>
    <n v="22"/>
    <n v="13"/>
    <n v="29"/>
    <n v="21"/>
    <n v="16"/>
    <x v="20"/>
  </r>
  <r>
    <x v="48"/>
    <n v="12"/>
    <n v="12"/>
    <n v="8"/>
    <n v="20"/>
    <n v="11"/>
    <n v="9"/>
    <n v="11"/>
    <n v="10"/>
    <n v="7"/>
    <n v="10"/>
    <n v="25"/>
    <n v="10"/>
    <n v="7"/>
    <n v="11"/>
    <n v="12"/>
    <n v="7"/>
    <n v="17"/>
    <n v="10"/>
    <n v="9"/>
    <n v="8"/>
    <n v="10"/>
    <n v="6"/>
    <n v="11"/>
    <n v="20"/>
    <n v="10"/>
    <n v="6"/>
    <n v="5"/>
    <n v="4"/>
    <n v="3"/>
    <x v="7"/>
  </r>
  <r>
    <x v="49"/>
    <n v="17"/>
    <n v="17"/>
    <n v="11"/>
    <n v="27"/>
    <n v="15"/>
    <n v="13"/>
    <n v="15"/>
    <n v="14"/>
    <n v="10"/>
    <n v="15"/>
    <n v="35"/>
    <n v="14"/>
    <n v="9"/>
    <n v="17"/>
    <n v="18"/>
    <n v="10"/>
    <n v="26"/>
    <n v="15"/>
    <n v="14"/>
    <n v="11"/>
    <n v="15"/>
    <n v="9"/>
    <n v="16"/>
    <n v="31"/>
    <n v="15"/>
    <n v="10"/>
    <n v="18"/>
    <n v="13"/>
    <n v="10"/>
    <x v="13"/>
  </r>
  <r>
    <x v="50"/>
    <n v="8"/>
    <n v="8"/>
    <n v="5"/>
    <n v="12"/>
    <n v="7"/>
    <n v="6"/>
    <n v="7"/>
    <n v="6"/>
    <n v="5"/>
    <n v="7"/>
    <n v="15"/>
    <n v="6"/>
    <n v="4"/>
    <n v="9"/>
    <n v="10"/>
    <n v="6"/>
    <n v="14"/>
    <n v="8"/>
    <n v="8"/>
    <n v="6"/>
    <n v="8"/>
    <n v="5"/>
    <n v="9"/>
    <n v="17"/>
    <n v="8"/>
    <n v="5"/>
    <n v="5"/>
    <n v="4"/>
    <n v="3"/>
    <x v="7"/>
  </r>
  <r>
    <x v="51"/>
    <n v="15"/>
    <n v="15"/>
    <n v="9"/>
    <n v="23"/>
    <n v="12"/>
    <n v="11"/>
    <n v="13"/>
    <n v="12"/>
    <n v="9"/>
    <n v="12"/>
    <n v="30"/>
    <n v="12"/>
    <n v="8"/>
    <n v="16"/>
    <n v="17"/>
    <n v="10"/>
    <n v="25"/>
    <n v="15"/>
    <n v="13"/>
    <n v="11"/>
    <n v="15"/>
    <n v="9"/>
    <n v="16"/>
    <n v="30"/>
    <n v="15"/>
    <n v="9"/>
    <n v="17"/>
    <n v="12"/>
    <n v="9"/>
    <x v="17"/>
  </r>
  <r>
    <x v="52"/>
    <n v="13"/>
    <n v="13"/>
    <n v="8"/>
    <n v="20"/>
    <n v="11"/>
    <n v="9"/>
    <n v="11"/>
    <n v="10"/>
    <n v="8"/>
    <n v="11"/>
    <n v="25"/>
    <n v="10"/>
    <n v="7"/>
    <n v="14"/>
    <n v="15"/>
    <n v="8"/>
    <n v="21"/>
    <n v="13"/>
    <n v="11"/>
    <n v="10"/>
    <n v="13"/>
    <n v="8"/>
    <n v="13"/>
    <n v="26"/>
    <n v="13"/>
    <n v="8"/>
    <n v="10"/>
    <n v="7"/>
    <n v="6"/>
    <x v="14"/>
  </r>
  <r>
    <x v="53"/>
    <n v="12"/>
    <n v="12"/>
    <n v="8"/>
    <n v="19"/>
    <n v="10"/>
    <n v="9"/>
    <n v="10"/>
    <n v="10"/>
    <n v="7"/>
    <n v="10"/>
    <n v="24"/>
    <n v="10"/>
    <n v="7"/>
    <n v="12"/>
    <n v="13"/>
    <n v="7"/>
    <n v="18"/>
    <n v="11"/>
    <n v="10"/>
    <n v="8"/>
    <n v="11"/>
    <n v="7"/>
    <n v="12"/>
    <n v="22"/>
    <n v="11"/>
    <n v="7"/>
    <n v="13"/>
    <n v="10"/>
    <n v="7"/>
    <x v="3"/>
  </r>
  <r>
    <x v="54"/>
    <n v="10"/>
    <n v="11"/>
    <n v="7"/>
    <n v="16"/>
    <n v="9"/>
    <n v="8"/>
    <n v="9"/>
    <n v="8"/>
    <n v="6"/>
    <n v="9"/>
    <n v="21"/>
    <n v="8"/>
    <n v="6"/>
    <n v="11"/>
    <n v="12"/>
    <n v="7"/>
    <n v="17"/>
    <n v="10"/>
    <n v="9"/>
    <n v="8"/>
    <n v="10"/>
    <n v="6"/>
    <n v="11"/>
    <n v="20"/>
    <n v="10"/>
    <n v="6"/>
    <n v="7"/>
    <n v="5"/>
    <n v="4"/>
    <x v="5"/>
  </r>
  <r>
    <x v="55"/>
    <n v="11"/>
    <n v="11"/>
    <n v="7"/>
    <n v="18"/>
    <n v="10"/>
    <n v="8"/>
    <n v="10"/>
    <n v="9"/>
    <n v="7"/>
    <n v="10"/>
    <n v="23"/>
    <n v="9"/>
    <n v="6"/>
    <n v="12"/>
    <n v="12"/>
    <n v="7"/>
    <n v="18"/>
    <n v="11"/>
    <n v="10"/>
    <n v="8"/>
    <n v="11"/>
    <n v="7"/>
    <n v="11"/>
    <n v="22"/>
    <n v="11"/>
    <n v="7"/>
    <n v="9"/>
    <n v="7"/>
    <n v="5"/>
    <x v="18"/>
  </r>
  <r>
    <x v="56"/>
    <n v="11"/>
    <n v="11"/>
    <n v="7"/>
    <n v="18"/>
    <n v="10"/>
    <n v="8"/>
    <n v="10"/>
    <n v="9"/>
    <n v="7"/>
    <n v="10"/>
    <n v="23"/>
    <n v="9"/>
    <n v="6"/>
    <n v="12"/>
    <n v="12"/>
    <n v="7"/>
    <n v="18"/>
    <n v="11"/>
    <n v="10"/>
    <n v="8"/>
    <n v="11"/>
    <n v="7"/>
    <n v="11"/>
    <n v="22"/>
    <n v="11"/>
    <n v="7"/>
    <n v="9"/>
    <n v="7"/>
    <n v="5"/>
    <x v="18"/>
  </r>
  <r>
    <x v="57"/>
    <n v="11"/>
    <n v="11"/>
    <n v="7"/>
    <n v="18"/>
    <n v="10"/>
    <n v="8"/>
    <n v="10"/>
    <n v="9"/>
    <n v="7"/>
    <n v="10"/>
    <n v="23"/>
    <n v="9"/>
    <n v="6"/>
    <n v="12"/>
    <n v="12"/>
    <n v="7"/>
    <n v="18"/>
    <n v="11"/>
    <n v="10"/>
    <n v="8"/>
    <n v="11"/>
    <n v="7"/>
    <n v="11"/>
    <n v="22"/>
    <n v="11"/>
    <n v="7"/>
    <n v="9"/>
    <n v="7"/>
    <n v="5"/>
    <x v="18"/>
  </r>
  <r>
    <x v="58"/>
    <n v="11"/>
    <n v="11"/>
    <n v="7"/>
    <n v="18"/>
    <n v="10"/>
    <n v="8"/>
    <n v="10"/>
    <n v="9"/>
    <n v="7"/>
    <n v="10"/>
    <n v="23"/>
    <n v="9"/>
    <n v="6"/>
    <n v="12"/>
    <n v="12"/>
    <n v="7"/>
    <n v="18"/>
    <n v="11"/>
    <n v="10"/>
    <n v="8"/>
    <n v="11"/>
    <n v="7"/>
    <n v="11"/>
    <n v="22"/>
    <n v="11"/>
    <n v="7"/>
    <n v="9"/>
    <n v="7"/>
    <n v="5"/>
    <x v="18"/>
  </r>
  <r>
    <x v="59"/>
    <n v="23"/>
    <n v="23"/>
    <n v="15"/>
    <n v="36"/>
    <n v="19"/>
    <n v="17"/>
    <n v="20"/>
    <n v="18"/>
    <n v="14"/>
    <n v="19"/>
    <n v="46"/>
    <n v="18"/>
    <n v="12"/>
    <n v="26"/>
    <n v="27"/>
    <n v="16"/>
    <n v="40"/>
    <n v="24"/>
    <n v="21"/>
    <n v="18"/>
    <n v="24"/>
    <n v="14"/>
    <n v="25"/>
    <n v="48"/>
    <n v="24"/>
    <n v="15"/>
    <n v="30"/>
    <n v="22"/>
    <n v="17"/>
    <x v="21"/>
  </r>
  <r>
    <x v="60"/>
    <n v="8"/>
    <n v="8"/>
    <n v="5"/>
    <n v="12"/>
    <n v="7"/>
    <n v="6"/>
    <n v="7"/>
    <n v="6"/>
    <n v="5"/>
    <n v="7"/>
    <n v="15"/>
    <n v="6"/>
    <n v="4"/>
    <n v="8"/>
    <n v="8"/>
    <n v="5"/>
    <n v="11"/>
    <n v="7"/>
    <n v="6"/>
    <n v="5"/>
    <n v="7"/>
    <n v="4"/>
    <n v="7"/>
    <n v="14"/>
    <n v="7"/>
    <n v="4"/>
    <n v="1"/>
    <n v="1"/>
    <n v="1"/>
    <x v="12"/>
  </r>
  <r>
    <x v="61"/>
    <n v="25"/>
    <n v="25"/>
    <n v="16"/>
    <n v="39"/>
    <n v="21"/>
    <n v="18"/>
    <n v="21"/>
    <n v="19"/>
    <n v="15"/>
    <n v="21"/>
    <n v="50"/>
    <n v="20"/>
    <n v="13"/>
    <n v="22"/>
    <n v="23"/>
    <n v="13"/>
    <n v="34"/>
    <n v="20"/>
    <n v="18"/>
    <n v="15"/>
    <n v="20"/>
    <n v="12"/>
    <n v="21"/>
    <n v="41"/>
    <n v="20"/>
    <n v="13"/>
    <n v="21"/>
    <n v="16"/>
    <n v="12"/>
    <x v="22"/>
  </r>
  <r>
    <x v="62"/>
    <n v="7"/>
    <n v="7"/>
    <n v="4"/>
    <n v="10"/>
    <n v="6"/>
    <n v="5"/>
    <n v="6"/>
    <n v="5"/>
    <n v="4"/>
    <n v="6"/>
    <n v="13"/>
    <n v="5"/>
    <n v="4"/>
    <n v="9"/>
    <n v="9"/>
    <n v="5"/>
    <n v="13"/>
    <n v="8"/>
    <n v="7"/>
    <n v="6"/>
    <n v="8"/>
    <n v="5"/>
    <n v="8"/>
    <n v="16"/>
    <n v="8"/>
    <n v="5"/>
    <n v="5"/>
    <n v="4"/>
    <n v="3"/>
    <x v="7"/>
  </r>
  <r>
    <x v="63"/>
    <n v="12"/>
    <n v="12"/>
    <n v="8"/>
    <n v="19"/>
    <n v="10"/>
    <n v="9"/>
    <n v="11"/>
    <n v="10"/>
    <n v="7"/>
    <n v="10"/>
    <n v="24"/>
    <n v="10"/>
    <n v="7"/>
    <n v="13"/>
    <n v="13"/>
    <n v="8"/>
    <n v="20"/>
    <n v="12"/>
    <n v="10"/>
    <n v="9"/>
    <n v="12"/>
    <n v="7"/>
    <n v="12"/>
    <n v="24"/>
    <n v="12"/>
    <n v="7"/>
    <n v="10"/>
    <n v="7"/>
    <n v="6"/>
    <x v="14"/>
  </r>
  <r>
    <x v="64"/>
    <n v="15"/>
    <n v="15"/>
    <n v="10"/>
    <n v="24"/>
    <n v="13"/>
    <n v="11"/>
    <n v="13"/>
    <n v="12"/>
    <n v="9"/>
    <n v="13"/>
    <n v="30"/>
    <n v="12"/>
    <n v="8"/>
    <n v="17"/>
    <n v="18"/>
    <n v="10"/>
    <n v="26"/>
    <n v="15"/>
    <n v="14"/>
    <n v="12"/>
    <n v="16"/>
    <n v="9"/>
    <n v="16"/>
    <n v="31"/>
    <n v="16"/>
    <n v="10"/>
    <n v="14"/>
    <n v="10"/>
    <n v="8"/>
    <x v="10"/>
  </r>
  <r>
    <x v="65"/>
    <n v="13"/>
    <n v="13"/>
    <n v="8"/>
    <n v="20"/>
    <n v="11"/>
    <n v="10"/>
    <n v="11"/>
    <n v="10"/>
    <n v="8"/>
    <n v="11"/>
    <n v="26"/>
    <n v="10"/>
    <n v="7"/>
    <n v="13"/>
    <n v="14"/>
    <n v="8"/>
    <n v="20"/>
    <n v="12"/>
    <n v="11"/>
    <n v="9"/>
    <n v="12"/>
    <n v="7"/>
    <n v="12"/>
    <n v="24"/>
    <n v="12"/>
    <n v="7"/>
    <n v="14"/>
    <n v="10"/>
    <n v="8"/>
    <x v="10"/>
  </r>
  <r>
    <x v="66"/>
    <n v="11"/>
    <n v="11"/>
    <n v="7"/>
    <n v="18"/>
    <n v="10"/>
    <n v="8"/>
    <n v="10"/>
    <n v="9"/>
    <n v="7"/>
    <n v="10"/>
    <n v="22"/>
    <n v="9"/>
    <n v="6"/>
    <n v="12"/>
    <n v="13"/>
    <n v="7"/>
    <n v="18"/>
    <n v="11"/>
    <n v="10"/>
    <n v="8"/>
    <n v="11"/>
    <n v="7"/>
    <n v="11"/>
    <n v="22"/>
    <n v="11"/>
    <n v="7"/>
    <n v="7"/>
    <n v="5"/>
    <n v="4"/>
    <x v="5"/>
  </r>
  <r>
    <x v="67"/>
    <n v="12"/>
    <n v="12"/>
    <n v="8"/>
    <n v="19"/>
    <n v="10"/>
    <n v="9"/>
    <n v="11"/>
    <n v="10"/>
    <n v="7"/>
    <n v="10"/>
    <n v="24"/>
    <n v="10"/>
    <n v="7"/>
    <n v="13"/>
    <n v="13"/>
    <n v="8"/>
    <n v="20"/>
    <n v="12"/>
    <n v="10"/>
    <n v="9"/>
    <n v="12"/>
    <n v="7"/>
    <n v="12"/>
    <n v="24"/>
    <n v="12"/>
    <n v="7"/>
    <n v="10"/>
    <n v="7"/>
    <n v="6"/>
    <x v="14"/>
  </r>
  <r>
    <x v="68"/>
    <n v="12"/>
    <n v="12"/>
    <n v="8"/>
    <n v="19"/>
    <n v="10"/>
    <n v="9"/>
    <n v="11"/>
    <n v="10"/>
    <n v="7"/>
    <n v="10"/>
    <n v="24"/>
    <n v="10"/>
    <n v="7"/>
    <n v="13"/>
    <n v="13"/>
    <n v="8"/>
    <n v="20"/>
    <n v="12"/>
    <n v="10"/>
    <n v="9"/>
    <n v="12"/>
    <n v="7"/>
    <n v="12"/>
    <n v="24"/>
    <n v="12"/>
    <n v="7"/>
    <n v="10"/>
    <n v="7"/>
    <n v="6"/>
    <x v="14"/>
  </r>
  <r>
    <x v="69"/>
    <n v="12"/>
    <n v="12"/>
    <n v="8"/>
    <n v="19"/>
    <n v="10"/>
    <n v="9"/>
    <n v="11"/>
    <n v="10"/>
    <n v="7"/>
    <n v="10"/>
    <n v="24"/>
    <n v="10"/>
    <n v="7"/>
    <n v="13"/>
    <n v="13"/>
    <n v="8"/>
    <n v="20"/>
    <n v="12"/>
    <n v="10"/>
    <n v="9"/>
    <n v="12"/>
    <n v="7"/>
    <n v="12"/>
    <n v="24"/>
    <n v="12"/>
    <n v="7"/>
    <n v="10"/>
    <n v="7"/>
    <n v="6"/>
    <x v="14"/>
  </r>
  <r>
    <x v="70"/>
    <n v="12"/>
    <n v="12"/>
    <n v="8"/>
    <n v="19"/>
    <n v="10"/>
    <n v="9"/>
    <n v="11"/>
    <n v="10"/>
    <n v="7"/>
    <n v="10"/>
    <n v="24"/>
    <n v="10"/>
    <n v="7"/>
    <n v="13"/>
    <n v="13"/>
    <n v="8"/>
    <n v="20"/>
    <n v="12"/>
    <n v="10"/>
    <n v="9"/>
    <n v="12"/>
    <n v="7"/>
    <n v="12"/>
    <n v="24"/>
    <n v="12"/>
    <n v="7"/>
    <n v="10"/>
    <n v="7"/>
    <n v="6"/>
    <x v="14"/>
  </r>
  <r>
    <x v="71"/>
    <n v="24"/>
    <n v="25"/>
    <n v="16"/>
    <n v="39"/>
    <n v="21"/>
    <n v="18"/>
    <n v="21"/>
    <n v="19"/>
    <n v="14"/>
    <n v="21"/>
    <n v="50"/>
    <n v="20"/>
    <n v="13"/>
    <n v="28"/>
    <n v="30"/>
    <n v="17"/>
    <n v="43"/>
    <n v="25"/>
    <n v="23"/>
    <n v="19"/>
    <n v="26"/>
    <n v="15"/>
    <n v="27"/>
    <n v="52"/>
    <n v="26"/>
    <n v="16"/>
    <n v="32"/>
    <n v="23"/>
    <n v="18"/>
    <x v="23"/>
  </r>
  <r>
    <x v="72"/>
    <n v="14"/>
    <n v="14"/>
    <n v="9"/>
    <n v="22"/>
    <n v="12"/>
    <n v="10"/>
    <n v="12"/>
    <n v="11"/>
    <n v="8"/>
    <n v="12"/>
    <n v="28"/>
    <n v="11"/>
    <n v="8"/>
    <n v="13"/>
    <n v="13"/>
    <n v="8"/>
    <n v="19"/>
    <n v="12"/>
    <n v="10"/>
    <n v="9"/>
    <n v="12"/>
    <n v="7"/>
    <n v="12"/>
    <n v="23"/>
    <n v="12"/>
    <n v="7"/>
    <n v="5"/>
    <n v="4"/>
    <n v="3"/>
    <x v="24"/>
  </r>
  <r>
    <x v="73"/>
    <n v="20"/>
    <n v="20"/>
    <n v="13"/>
    <n v="31"/>
    <n v="17"/>
    <n v="15"/>
    <n v="17"/>
    <n v="16"/>
    <n v="12"/>
    <n v="17"/>
    <n v="40"/>
    <n v="16"/>
    <n v="11"/>
    <n v="20"/>
    <n v="20"/>
    <n v="12"/>
    <n v="30"/>
    <n v="18"/>
    <n v="16"/>
    <n v="13"/>
    <n v="18"/>
    <n v="11"/>
    <n v="19"/>
    <n v="36"/>
    <n v="18"/>
    <n v="11"/>
    <n v="20"/>
    <n v="14"/>
    <n v="11"/>
    <x v="25"/>
  </r>
  <r>
    <x v="74"/>
    <n v="13"/>
    <n v="13"/>
    <n v="8"/>
    <n v="20"/>
    <n v="11"/>
    <n v="10"/>
    <n v="11"/>
    <n v="10"/>
    <n v="8"/>
    <n v="11"/>
    <n v="26"/>
    <n v="10"/>
    <n v="7"/>
    <n v="16"/>
    <n v="17"/>
    <n v="10"/>
    <n v="24"/>
    <n v="14"/>
    <n v="13"/>
    <n v="11"/>
    <n v="14"/>
    <n v="9"/>
    <n v="15"/>
    <n v="29"/>
    <n v="14"/>
    <n v="9"/>
    <n v="13"/>
    <n v="10"/>
    <n v="8"/>
    <x v="3"/>
  </r>
  <r>
    <x v="75"/>
    <n v="11"/>
    <n v="11"/>
    <n v="7"/>
    <n v="18"/>
    <n v="10"/>
    <n v="8"/>
    <n v="10"/>
    <n v="9"/>
    <n v="7"/>
    <n v="10"/>
    <n v="22"/>
    <n v="9"/>
    <n v="6"/>
    <n v="12"/>
    <n v="12"/>
    <n v="7"/>
    <n v="18"/>
    <n v="11"/>
    <n v="9"/>
    <n v="8"/>
    <n v="11"/>
    <n v="7"/>
    <n v="11"/>
    <n v="21"/>
    <n v="11"/>
    <n v="7"/>
    <n v="6"/>
    <n v="5"/>
    <n v="4"/>
    <x v="15"/>
  </r>
  <r>
    <x v="76"/>
    <n v="16"/>
    <n v="16"/>
    <n v="10"/>
    <n v="26"/>
    <n v="14"/>
    <n v="12"/>
    <n v="14"/>
    <n v="13"/>
    <n v="10"/>
    <n v="14"/>
    <n v="33"/>
    <n v="13"/>
    <n v="9"/>
    <n v="18"/>
    <n v="19"/>
    <n v="11"/>
    <n v="28"/>
    <n v="17"/>
    <n v="15"/>
    <n v="12"/>
    <n v="17"/>
    <n v="10"/>
    <n v="17"/>
    <n v="34"/>
    <n v="17"/>
    <n v="10"/>
    <n v="14"/>
    <n v="11"/>
    <n v="8"/>
    <x v="10"/>
  </r>
  <r>
    <x v="77"/>
    <n v="14"/>
    <n v="14"/>
    <n v="9"/>
    <n v="22"/>
    <n v="12"/>
    <n v="10"/>
    <n v="12"/>
    <n v="11"/>
    <n v="8"/>
    <n v="12"/>
    <n v="28"/>
    <n v="11"/>
    <n v="8"/>
    <n v="14"/>
    <n v="15"/>
    <n v="8"/>
    <n v="21"/>
    <n v="13"/>
    <n v="11"/>
    <n v="10"/>
    <n v="13"/>
    <n v="8"/>
    <n v="13"/>
    <n v="26"/>
    <n v="13"/>
    <n v="8"/>
    <n v="14"/>
    <n v="11"/>
    <n v="8"/>
    <x v="10"/>
  </r>
  <r>
    <x v="78"/>
    <n v="12"/>
    <n v="12"/>
    <n v="8"/>
    <n v="19"/>
    <n v="10"/>
    <n v="9"/>
    <n v="10"/>
    <n v="10"/>
    <n v="7"/>
    <n v="10"/>
    <n v="24"/>
    <n v="10"/>
    <n v="7"/>
    <n v="13"/>
    <n v="14"/>
    <n v="8"/>
    <n v="20"/>
    <n v="12"/>
    <n v="11"/>
    <n v="9"/>
    <n v="12"/>
    <n v="7"/>
    <n v="12"/>
    <n v="24"/>
    <n v="12"/>
    <n v="7"/>
    <n v="7"/>
    <n v="6"/>
    <n v="4"/>
    <x v="5"/>
  </r>
  <r>
    <x v="79"/>
    <n v="13"/>
    <n v="13"/>
    <n v="8"/>
    <n v="20"/>
    <n v="11"/>
    <n v="10"/>
    <n v="11"/>
    <n v="10"/>
    <n v="8"/>
    <n v="11"/>
    <n v="26"/>
    <n v="10"/>
    <n v="7"/>
    <n v="14"/>
    <n v="14"/>
    <n v="8"/>
    <n v="21"/>
    <n v="12"/>
    <n v="11"/>
    <n v="9"/>
    <n v="13"/>
    <n v="8"/>
    <n v="13"/>
    <n v="25"/>
    <n v="13"/>
    <n v="8"/>
    <n v="10"/>
    <n v="7"/>
    <n v="6"/>
    <x v="14"/>
  </r>
  <r>
    <x v="80"/>
    <n v="13"/>
    <n v="13"/>
    <n v="8"/>
    <n v="20"/>
    <n v="11"/>
    <n v="10"/>
    <n v="11"/>
    <n v="10"/>
    <n v="8"/>
    <n v="11"/>
    <n v="26"/>
    <n v="10"/>
    <n v="7"/>
    <n v="14"/>
    <n v="14"/>
    <n v="8"/>
    <n v="21"/>
    <n v="12"/>
    <n v="11"/>
    <n v="9"/>
    <n v="13"/>
    <n v="8"/>
    <n v="13"/>
    <n v="25"/>
    <n v="13"/>
    <n v="8"/>
    <n v="10"/>
    <n v="7"/>
    <n v="6"/>
    <x v="14"/>
  </r>
  <r>
    <x v="81"/>
    <n v="13"/>
    <n v="13"/>
    <n v="8"/>
    <n v="20"/>
    <n v="11"/>
    <n v="10"/>
    <n v="11"/>
    <n v="10"/>
    <n v="8"/>
    <n v="11"/>
    <n v="26"/>
    <n v="10"/>
    <n v="7"/>
    <n v="14"/>
    <n v="14"/>
    <n v="8"/>
    <n v="21"/>
    <n v="12"/>
    <n v="11"/>
    <n v="9"/>
    <n v="13"/>
    <n v="8"/>
    <n v="13"/>
    <n v="25"/>
    <n v="13"/>
    <n v="8"/>
    <n v="10"/>
    <n v="7"/>
    <n v="6"/>
    <x v="14"/>
  </r>
  <r>
    <x v="82"/>
    <n v="13"/>
    <n v="13"/>
    <n v="8"/>
    <n v="20"/>
    <n v="11"/>
    <n v="10"/>
    <n v="11"/>
    <n v="10"/>
    <n v="8"/>
    <n v="11"/>
    <n v="26"/>
    <n v="10"/>
    <n v="7"/>
    <n v="14"/>
    <n v="14"/>
    <n v="8"/>
    <n v="21"/>
    <n v="12"/>
    <n v="11"/>
    <n v="9"/>
    <n v="13"/>
    <n v="8"/>
    <n v="13"/>
    <n v="25"/>
    <n v="13"/>
    <n v="8"/>
    <n v="10"/>
    <n v="7"/>
    <n v="6"/>
    <x v="14"/>
  </r>
  <r>
    <x v="83"/>
    <n v="26"/>
    <n v="26"/>
    <n v="17"/>
    <n v="42"/>
    <n v="22"/>
    <n v="19"/>
    <n v="23"/>
    <n v="21"/>
    <n v="15"/>
    <n v="22"/>
    <n v="53"/>
    <n v="21"/>
    <n v="14"/>
    <n v="30"/>
    <n v="32"/>
    <n v="18"/>
    <n v="46"/>
    <n v="27"/>
    <n v="24"/>
    <n v="20"/>
    <n v="27"/>
    <n v="17"/>
    <n v="29"/>
    <n v="56"/>
    <n v="28"/>
    <n v="17"/>
    <n v="34"/>
    <n v="25"/>
    <n v="19"/>
    <x v="26"/>
  </r>
  <r>
    <x v="84"/>
    <n v="9"/>
    <n v="9"/>
    <n v="6"/>
    <n v="13"/>
    <n v="7"/>
    <n v="7"/>
    <n v="8"/>
    <n v="7"/>
    <n v="5"/>
    <n v="7"/>
    <n v="17"/>
    <n v="7"/>
    <n v="5"/>
    <n v="9"/>
    <n v="9"/>
    <n v="5"/>
    <n v="13"/>
    <n v="8"/>
    <n v="7"/>
    <n v="6"/>
    <n v="8"/>
    <n v="5"/>
    <n v="8"/>
    <n v="16"/>
    <n v="8"/>
    <n v="5"/>
    <n v="1"/>
    <n v="1"/>
    <n v="1"/>
    <x v="12"/>
  </r>
  <r>
    <x v="85"/>
    <n v="28"/>
    <n v="28"/>
    <n v="18"/>
    <n v="45"/>
    <n v="24"/>
    <n v="21"/>
    <n v="24"/>
    <n v="22"/>
    <n v="17"/>
    <n v="24"/>
    <n v="57"/>
    <n v="22"/>
    <n v="15"/>
    <n v="26"/>
    <n v="27"/>
    <n v="15"/>
    <n v="39"/>
    <n v="23"/>
    <n v="21"/>
    <n v="17"/>
    <n v="23"/>
    <n v="14"/>
    <n v="24"/>
    <n v="47"/>
    <n v="23"/>
    <n v="14"/>
    <n v="23"/>
    <n v="17"/>
    <n v="13"/>
    <x v="27"/>
  </r>
  <r>
    <x v="86"/>
    <n v="12"/>
    <n v="12"/>
    <n v="8"/>
    <n v="18"/>
    <n v="10"/>
    <n v="9"/>
    <n v="10"/>
    <n v="9"/>
    <n v="7"/>
    <n v="10"/>
    <n v="23"/>
    <n v="9"/>
    <n v="6"/>
    <n v="16"/>
    <n v="16"/>
    <n v="9"/>
    <n v="24"/>
    <n v="14"/>
    <n v="13"/>
    <n v="11"/>
    <n v="14"/>
    <n v="9"/>
    <n v="15"/>
    <n v="29"/>
    <n v="14"/>
    <n v="9"/>
    <n v="14"/>
    <n v="10"/>
    <n v="8"/>
    <x v="10"/>
  </r>
  <r>
    <x v="87"/>
    <n v="12"/>
    <n v="12"/>
    <n v="8"/>
    <n v="19"/>
    <n v="10"/>
    <n v="9"/>
    <n v="10"/>
    <n v="10"/>
    <n v="7"/>
    <n v="10"/>
    <n v="24"/>
    <n v="10"/>
    <n v="7"/>
    <n v="12"/>
    <n v="13"/>
    <n v="8"/>
    <n v="19"/>
    <n v="11"/>
    <n v="10"/>
    <n v="9"/>
    <n v="11"/>
    <n v="7"/>
    <n v="12"/>
    <n v="23"/>
    <n v="11"/>
    <n v="7"/>
    <n v="7"/>
    <n v="5"/>
    <n v="4"/>
    <x v="5"/>
  </r>
  <r>
    <x v="88"/>
    <n v="17"/>
    <n v="17"/>
    <n v="11"/>
    <n v="27"/>
    <n v="15"/>
    <n v="13"/>
    <n v="15"/>
    <n v="14"/>
    <n v="10"/>
    <n v="14"/>
    <n v="35"/>
    <n v="14"/>
    <n v="9"/>
    <n v="20"/>
    <n v="20"/>
    <n v="12"/>
    <n v="30"/>
    <n v="18"/>
    <n v="16"/>
    <n v="13"/>
    <n v="18"/>
    <n v="11"/>
    <n v="19"/>
    <n v="36"/>
    <n v="18"/>
    <n v="11"/>
    <n v="15"/>
    <n v="11"/>
    <n v="9"/>
    <x v="8"/>
  </r>
  <r>
    <x v="89"/>
    <n v="15"/>
    <n v="15"/>
    <n v="9"/>
    <n v="23"/>
    <n v="12"/>
    <n v="11"/>
    <n v="13"/>
    <n v="12"/>
    <n v="9"/>
    <n v="12"/>
    <n v="29"/>
    <n v="12"/>
    <n v="8"/>
    <n v="15"/>
    <n v="16"/>
    <n v="9"/>
    <n v="23"/>
    <n v="14"/>
    <n v="12"/>
    <n v="10"/>
    <n v="14"/>
    <n v="8"/>
    <n v="14"/>
    <n v="27"/>
    <n v="14"/>
    <n v="8"/>
    <n v="15"/>
    <n v="11"/>
    <n v="9"/>
    <x v="8"/>
  </r>
  <r>
    <x v="90"/>
    <n v="13"/>
    <n v="13"/>
    <n v="8"/>
    <n v="20"/>
    <n v="11"/>
    <n v="10"/>
    <n v="11"/>
    <n v="10"/>
    <n v="8"/>
    <n v="11"/>
    <n v="26"/>
    <n v="10"/>
    <n v="7"/>
    <n v="14"/>
    <n v="14"/>
    <n v="8"/>
    <n v="21"/>
    <n v="12"/>
    <n v="11"/>
    <n v="9"/>
    <n v="13"/>
    <n v="8"/>
    <n v="13"/>
    <n v="25"/>
    <n v="13"/>
    <n v="8"/>
    <n v="8"/>
    <n v="6"/>
    <n v="5"/>
    <x v="9"/>
  </r>
  <r>
    <x v="91"/>
    <n v="14"/>
    <n v="14"/>
    <n v="9"/>
    <n v="22"/>
    <n v="12"/>
    <n v="10"/>
    <n v="12"/>
    <n v="11"/>
    <n v="8"/>
    <n v="12"/>
    <n v="28"/>
    <n v="11"/>
    <n v="8"/>
    <n v="15"/>
    <n v="15"/>
    <n v="9"/>
    <n v="22"/>
    <n v="13"/>
    <n v="12"/>
    <n v="10"/>
    <n v="13"/>
    <n v="8"/>
    <n v="14"/>
    <n v="27"/>
    <n v="13"/>
    <n v="8"/>
    <n v="11"/>
    <n v="8"/>
    <n v="6"/>
    <x v="2"/>
  </r>
  <r>
    <x v="92"/>
    <n v="14"/>
    <n v="14"/>
    <n v="9"/>
    <n v="22"/>
    <n v="12"/>
    <n v="10"/>
    <n v="12"/>
    <n v="11"/>
    <n v="8"/>
    <n v="12"/>
    <n v="28"/>
    <n v="11"/>
    <n v="8"/>
    <n v="15"/>
    <n v="15"/>
    <n v="9"/>
    <n v="22"/>
    <n v="13"/>
    <n v="12"/>
    <n v="10"/>
    <n v="13"/>
    <n v="8"/>
    <n v="14"/>
    <n v="27"/>
    <n v="13"/>
    <n v="8"/>
    <n v="11"/>
    <n v="8"/>
    <n v="6"/>
    <x v="2"/>
  </r>
  <r>
    <x v="93"/>
    <n v="14"/>
    <n v="14"/>
    <n v="9"/>
    <n v="22"/>
    <n v="12"/>
    <n v="10"/>
    <n v="12"/>
    <n v="11"/>
    <n v="8"/>
    <n v="12"/>
    <n v="28"/>
    <n v="11"/>
    <n v="8"/>
    <n v="15"/>
    <n v="15"/>
    <n v="9"/>
    <n v="22"/>
    <n v="13"/>
    <n v="12"/>
    <n v="10"/>
    <n v="13"/>
    <n v="8"/>
    <n v="14"/>
    <n v="27"/>
    <n v="13"/>
    <n v="8"/>
    <n v="11"/>
    <n v="8"/>
    <n v="6"/>
    <x v="2"/>
  </r>
  <r>
    <x v="94"/>
    <n v="14"/>
    <n v="14"/>
    <n v="9"/>
    <n v="22"/>
    <n v="12"/>
    <n v="10"/>
    <n v="12"/>
    <n v="11"/>
    <n v="8"/>
    <n v="12"/>
    <n v="28"/>
    <n v="11"/>
    <n v="8"/>
    <n v="15"/>
    <n v="15"/>
    <n v="9"/>
    <n v="22"/>
    <n v="13"/>
    <n v="12"/>
    <n v="10"/>
    <n v="13"/>
    <n v="8"/>
    <n v="14"/>
    <n v="27"/>
    <n v="13"/>
    <n v="8"/>
    <n v="11"/>
    <n v="8"/>
    <n v="6"/>
    <x v="2"/>
  </r>
  <r>
    <x v="95"/>
    <n v="28"/>
    <n v="28"/>
    <n v="18"/>
    <n v="44"/>
    <n v="24"/>
    <n v="21"/>
    <n v="24"/>
    <n v="22"/>
    <n v="16"/>
    <n v="23"/>
    <n v="57"/>
    <n v="22"/>
    <n v="15"/>
    <n v="32"/>
    <n v="34"/>
    <n v="19"/>
    <n v="49"/>
    <n v="29"/>
    <n v="26"/>
    <n v="22"/>
    <n v="29"/>
    <n v="18"/>
    <n v="31"/>
    <n v="60"/>
    <n v="29"/>
    <n v="18"/>
    <n v="35"/>
    <n v="26"/>
    <n v="20"/>
    <x v="28"/>
  </r>
  <r>
    <x v="96"/>
    <n v="9"/>
    <n v="9"/>
    <n v="6"/>
    <n v="14"/>
    <n v="8"/>
    <n v="7"/>
    <n v="8"/>
    <n v="7"/>
    <n v="5"/>
    <n v="8"/>
    <n v="18"/>
    <n v="7"/>
    <n v="5"/>
    <n v="9"/>
    <n v="9"/>
    <n v="6"/>
    <n v="14"/>
    <n v="8"/>
    <n v="7"/>
    <n v="6"/>
    <n v="8"/>
    <n v="5"/>
    <n v="9"/>
    <n v="16"/>
    <n v="8"/>
    <n v="5"/>
    <n v="1"/>
    <n v="1"/>
    <n v="1"/>
    <x v="12"/>
  </r>
  <r>
    <x v="97"/>
    <n v="30"/>
    <n v="30"/>
    <n v="19"/>
    <n v="47"/>
    <n v="25"/>
    <n v="22"/>
    <n v="26"/>
    <n v="23"/>
    <n v="18"/>
    <n v="25"/>
    <n v="60"/>
    <n v="24"/>
    <n v="16"/>
    <n v="27"/>
    <n v="29"/>
    <n v="16"/>
    <n v="42"/>
    <n v="25"/>
    <n v="22"/>
    <n v="19"/>
    <n v="25"/>
    <n v="15"/>
    <n v="26"/>
    <n v="51"/>
    <n v="25"/>
    <n v="15"/>
    <n v="24"/>
    <n v="18"/>
    <n v="14"/>
    <x v="29"/>
  </r>
  <r>
    <x v="98"/>
    <n v="12"/>
    <n v="12"/>
    <n v="8"/>
    <n v="20"/>
    <n v="11"/>
    <n v="9"/>
    <n v="11"/>
    <n v="10"/>
    <n v="7"/>
    <n v="10"/>
    <n v="25"/>
    <n v="10"/>
    <n v="7"/>
    <n v="17"/>
    <n v="18"/>
    <n v="10"/>
    <n v="25"/>
    <n v="15"/>
    <n v="14"/>
    <n v="11"/>
    <n v="15"/>
    <n v="9"/>
    <n v="16"/>
    <n v="31"/>
    <n v="15"/>
    <n v="9"/>
    <n v="14"/>
    <n v="11"/>
    <n v="8"/>
    <x v="10"/>
  </r>
  <r>
    <x v="99"/>
    <n v="13"/>
    <n v="13"/>
    <n v="8"/>
    <n v="20"/>
    <n v="11"/>
    <n v="9"/>
    <n v="11"/>
    <n v="10"/>
    <n v="8"/>
    <n v="11"/>
    <n v="25"/>
    <n v="10"/>
    <n v="7"/>
    <n v="13"/>
    <n v="14"/>
    <n v="8"/>
    <n v="20"/>
    <n v="12"/>
    <n v="11"/>
    <n v="9"/>
    <n v="12"/>
    <n v="7"/>
    <n v="13"/>
    <n v="24"/>
    <n v="12"/>
    <n v="7"/>
    <n v="7"/>
    <n v="5"/>
    <n v="4"/>
    <x v="5"/>
  </r>
  <r>
    <x v="100"/>
    <n v="18"/>
    <n v="18"/>
    <n v="12"/>
    <n v="29"/>
    <n v="15"/>
    <n v="14"/>
    <n v="16"/>
    <n v="14"/>
    <n v="11"/>
    <n v="15"/>
    <n v="37"/>
    <n v="15"/>
    <n v="10"/>
    <n v="21"/>
    <n v="22"/>
    <n v="12"/>
    <n v="32"/>
    <n v="19"/>
    <n v="17"/>
    <n v="14"/>
    <n v="19"/>
    <n v="11"/>
    <n v="20"/>
    <n v="38"/>
    <n v="19"/>
    <n v="12"/>
    <n v="16"/>
    <n v="12"/>
    <n v="9"/>
    <x v="19"/>
  </r>
  <r>
    <x v="101"/>
    <n v="15"/>
    <n v="15"/>
    <n v="10"/>
    <n v="24"/>
    <n v="13"/>
    <n v="12"/>
    <n v="13"/>
    <n v="12"/>
    <n v="9"/>
    <n v="13"/>
    <n v="31"/>
    <n v="12"/>
    <n v="8"/>
    <n v="16"/>
    <n v="17"/>
    <n v="10"/>
    <n v="24"/>
    <n v="14"/>
    <n v="13"/>
    <n v="11"/>
    <n v="14"/>
    <n v="9"/>
    <n v="15"/>
    <n v="29"/>
    <n v="14"/>
    <n v="9"/>
    <n v="16"/>
    <n v="12"/>
    <n v="9"/>
    <x v="19"/>
  </r>
  <r>
    <x v="102"/>
    <n v="14"/>
    <n v="14"/>
    <n v="9"/>
    <n v="21"/>
    <n v="11"/>
    <n v="10"/>
    <n v="12"/>
    <n v="11"/>
    <n v="8"/>
    <n v="11"/>
    <n v="27"/>
    <n v="11"/>
    <n v="7"/>
    <n v="15"/>
    <n v="15"/>
    <n v="9"/>
    <n v="22"/>
    <n v="13"/>
    <n v="12"/>
    <n v="10"/>
    <n v="13"/>
    <n v="8"/>
    <n v="14"/>
    <n v="27"/>
    <n v="13"/>
    <n v="8"/>
    <n v="8"/>
    <n v="6"/>
    <n v="5"/>
    <x v="9"/>
  </r>
  <r>
    <x v="103"/>
    <n v="15"/>
    <n v="15"/>
    <n v="9"/>
    <n v="23"/>
    <n v="12"/>
    <n v="11"/>
    <n v="13"/>
    <n v="12"/>
    <n v="9"/>
    <n v="12"/>
    <n v="29"/>
    <n v="12"/>
    <n v="8"/>
    <n v="16"/>
    <n v="16"/>
    <n v="9"/>
    <n v="24"/>
    <n v="14"/>
    <n v="13"/>
    <n v="11"/>
    <n v="14"/>
    <n v="9"/>
    <n v="15"/>
    <n v="29"/>
    <n v="14"/>
    <n v="9"/>
    <n v="11"/>
    <n v="8"/>
    <n v="6"/>
    <x v="30"/>
  </r>
  <r>
    <x v="104"/>
    <n v="15"/>
    <n v="15"/>
    <n v="9"/>
    <n v="23"/>
    <n v="12"/>
    <n v="11"/>
    <n v="13"/>
    <n v="12"/>
    <n v="9"/>
    <n v="12"/>
    <n v="29"/>
    <n v="12"/>
    <n v="8"/>
    <n v="16"/>
    <n v="16"/>
    <n v="9"/>
    <n v="24"/>
    <n v="14"/>
    <n v="13"/>
    <n v="11"/>
    <n v="14"/>
    <n v="9"/>
    <n v="15"/>
    <n v="29"/>
    <n v="14"/>
    <n v="9"/>
    <n v="11"/>
    <n v="8"/>
    <n v="6"/>
    <x v="30"/>
  </r>
  <r>
    <x v="105"/>
    <n v="15"/>
    <n v="15"/>
    <n v="9"/>
    <n v="23"/>
    <n v="12"/>
    <n v="11"/>
    <n v="13"/>
    <n v="12"/>
    <n v="9"/>
    <n v="12"/>
    <n v="29"/>
    <n v="12"/>
    <n v="8"/>
    <n v="16"/>
    <n v="16"/>
    <n v="9"/>
    <n v="24"/>
    <n v="14"/>
    <n v="13"/>
    <n v="11"/>
    <n v="14"/>
    <n v="9"/>
    <n v="15"/>
    <n v="29"/>
    <n v="14"/>
    <n v="9"/>
    <n v="11"/>
    <n v="8"/>
    <n v="6"/>
    <x v="30"/>
  </r>
  <r>
    <x v="106"/>
    <n v="15"/>
    <n v="15"/>
    <n v="9"/>
    <n v="23"/>
    <n v="12"/>
    <n v="11"/>
    <n v="13"/>
    <n v="12"/>
    <n v="9"/>
    <n v="12"/>
    <n v="29"/>
    <n v="12"/>
    <n v="8"/>
    <n v="16"/>
    <n v="16"/>
    <n v="9"/>
    <n v="24"/>
    <n v="14"/>
    <n v="13"/>
    <n v="11"/>
    <n v="14"/>
    <n v="9"/>
    <n v="15"/>
    <n v="29"/>
    <n v="14"/>
    <n v="9"/>
    <n v="11"/>
    <n v="8"/>
    <n v="6"/>
    <x v="30"/>
  </r>
  <r>
    <x v="107"/>
    <n v="30"/>
    <n v="30"/>
    <n v="19"/>
    <n v="47"/>
    <n v="25"/>
    <n v="22"/>
    <n v="26"/>
    <n v="23"/>
    <n v="17"/>
    <n v="25"/>
    <n v="60"/>
    <n v="24"/>
    <n v="16"/>
    <n v="35"/>
    <n v="36"/>
    <n v="21"/>
    <n v="53"/>
    <n v="31"/>
    <n v="28"/>
    <n v="23"/>
    <n v="31"/>
    <n v="19"/>
    <n v="33"/>
    <n v="64"/>
    <n v="31"/>
    <n v="19"/>
    <n v="37"/>
    <n v="27"/>
    <n v="21"/>
    <x v="31"/>
  </r>
  <r>
    <x v="108"/>
    <n v="16"/>
    <n v="17"/>
    <n v="11"/>
    <n v="26"/>
    <n v="14"/>
    <n v="12"/>
    <n v="14"/>
    <n v="13"/>
    <n v="10"/>
    <n v="14"/>
    <n v="33"/>
    <n v="13"/>
    <n v="9"/>
    <n v="15"/>
    <n v="16"/>
    <n v="9"/>
    <n v="23"/>
    <n v="14"/>
    <n v="12"/>
    <n v="10"/>
    <n v="14"/>
    <n v="8"/>
    <n v="14"/>
    <n v="28"/>
    <n v="14"/>
    <n v="9"/>
    <n v="6"/>
    <n v="4"/>
    <n v="3"/>
    <x v="15"/>
  </r>
  <r>
    <x v="109"/>
    <n v="26"/>
    <n v="26"/>
    <n v="17"/>
    <n v="41"/>
    <n v="22"/>
    <n v="19"/>
    <n v="23"/>
    <n v="21"/>
    <n v="15"/>
    <n v="22"/>
    <n v="53"/>
    <n v="21"/>
    <n v="14"/>
    <n v="27"/>
    <n v="29"/>
    <n v="16"/>
    <n v="42"/>
    <n v="25"/>
    <n v="22"/>
    <n v="18"/>
    <n v="25"/>
    <n v="15"/>
    <n v="26"/>
    <n v="50"/>
    <n v="25"/>
    <n v="15"/>
    <n v="28"/>
    <n v="20"/>
    <n v="16"/>
    <x v="16"/>
  </r>
  <r>
    <x v="110"/>
    <n v="9"/>
    <n v="9"/>
    <n v="6"/>
    <n v="15"/>
    <n v="8"/>
    <n v="7"/>
    <n v="8"/>
    <n v="8"/>
    <n v="6"/>
    <n v="8"/>
    <n v="19"/>
    <n v="8"/>
    <n v="5"/>
    <n v="11"/>
    <n v="12"/>
    <n v="7"/>
    <n v="17"/>
    <n v="10"/>
    <n v="9"/>
    <n v="8"/>
    <n v="10"/>
    <n v="6"/>
    <n v="11"/>
    <n v="20"/>
    <n v="10"/>
    <n v="6"/>
    <n v="4"/>
    <n v="3"/>
    <n v="2"/>
    <x v="4"/>
  </r>
  <r>
    <x v="111"/>
    <n v="15"/>
    <n v="15"/>
    <n v="10"/>
    <n v="24"/>
    <n v="13"/>
    <n v="12"/>
    <n v="13"/>
    <n v="12"/>
    <n v="9"/>
    <n v="13"/>
    <n v="31"/>
    <n v="12"/>
    <n v="8"/>
    <n v="17"/>
    <n v="17"/>
    <n v="10"/>
    <n v="25"/>
    <n v="15"/>
    <n v="13"/>
    <n v="11"/>
    <n v="15"/>
    <n v="9"/>
    <n v="16"/>
    <n v="31"/>
    <n v="15"/>
    <n v="9"/>
    <n v="12"/>
    <n v="9"/>
    <n v="7"/>
    <x v="30"/>
  </r>
  <r>
    <x v="112"/>
    <n v="19"/>
    <n v="19"/>
    <n v="12"/>
    <n v="30"/>
    <n v="16"/>
    <n v="14"/>
    <n v="17"/>
    <n v="15"/>
    <n v="11"/>
    <n v="16"/>
    <n v="39"/>
    <n v="15"/>
    <n v="10"/>
    <n v="22"/>
    <n v="23"/>
    <n v="13"/>
    <n v="34"/>
    <n v="20"/>
    <n v="18"/>
    <n v="15"/>
    <n v="20"/>
    <n v="12"/>
    <n v="21"/>
    <n v="41"/>
    <n v="20"/>
    <n v="12"/>
    <n v="17"/>
    <n v="12"/>
    <n v="9"/>
    <x v="17"/>
  </r>
  <r>
    <x v="113"/>
    <n v="16"/>
    <n v="16"/>
    <n v="10"/>
    <n v="26"/>
    <n v="14"/>
    <n v="12"/>
    <n v="14"/>
    <n v="13"/>
    <n v="10"/>
    <n v="14"/>
    <n v="33"/>
    <n v="13"/>
    <n v="9"/>
    <n v="17"/>
    <n v="18"/>
    <n v="10"/>
    <n v="26"/>
    <n v="15"/>
    <n v="14"/>
    <n v="11"/>
    <n v="15"/>
    <n v="9"/>
    <n v="16"/>
    <n v="31"/>
    <n v="15"/>
    <n v="9"/>
    <n v="17"/>
    <n v="12"/>
    <n v="9"/>
    <x v="17"/>
  </r>
  <r>
    <x v="114"/>
    <n v="14"/>
    <n v="14"/>
    <n v="9"/>
    <n v="23"/>
    <n v="12"/>
    <n v="11"/>
    <n v="12"/>
    <n v="11"/>
    <n v="9"/>
    <n v="12"/>
    <n v="29"/>
    <n v="11"/>
    <n v="8"/>
    <n v="16"/>
    <n v="16"/>
    <n v="9"/>
    <n v="24"/>
    <n v="14"/>
    <n v="13"/>
    <n v="11"/>
    <n v="14"/>
    <n v="9"/>
    <n v="15"/>
    <n v="29"/>
    <n v="14"/>
    <n v="9"/>
    <n v="8"/>
    <n v="6"/>
    <n v="5"/>
    <x v="18"/>
  </r>
  <r>
    <x v="115"/>
    <n v="15"/>
    <n v="15"/>
    <n v="10"/>
    <n v="24"/>
    <n v="13"/>
    <n v="12"/>
    <n v="13"/>
    <n v="12"/>
    <n v="9"/>
    <n v="13"/>
    <n v="31"/>
    <n v="12"/>
    <n v="8"/>
    <n v="17"/>
    <n v="17"/>
    <n v="10"/>
    <n v="25"/>
    <n v="15"/>
    <n v="13"/>
    <n v="11"/>
    <n v="15"/>
    <n v="9"/>
    <n v="16"/>
    <n v="31"/>
    <n v="15"/>
    <n v="9"/>
    <n v="12"/>
    <n v="9"/>
    <n v="7"/>
    <x v="30"/>
  </r>
  <r>
    <x v="116"/>
    <n v="15"/>
    <n v="15"/>
    <n v="10"/>
    <n v="24"/>
    <n v="13"/>
    <n v="12"/>
    <n v="13"/>
    <n v="12"/>
    <n v="9"/>
    <n v="13"/>
    <n v="31"/>
    <n v="12"/>
    <n v="8"/>
    <n v="17"/>
    <n v="17"/>
    <n v="10"/>
    <n v="25"/>
    <n v="15"/>
    <n v="13"/>
    <n v="11"/>
    <n v="15"/>
    <n v="9"/>
    <n v="16"/>
    <n v="31"/>
    <n v="15"/>
    <n v="9"/>
    <n v="12"/>
    <n v="9"/>
    <n v="7"/>
    <x v="30"/>
  </r>
  <r>
    <x v="117"/>
    <n v="15"/>
    <n v="15"/>
    <n v="10"/>
    <n v="24"/>
    <n v="13"/>
    <n v="12"/>
    <n v="13"/>
    <n v="12"/>
    <n v="9"/>
    <n v="13"/>
    <n v="31"/>
    <n v="12"/>
    <n v="8"/>
    <n v="17"/>
    <n v="17"/>
    <n v="10"/>
    <n v="25"/>
    <n v="15"/>
    <n v="13"/>
    <n v="11"/>
    <n v="15"/>
    <n v="9"/>
    <n v="16"/>
    <n v="31"/>
    <n v="15"/>
    <n v="9"/>
    <n v="12"/>
    <n v="9"/>
    <n v="7"/>
    <x v="30"/>
  </r>
  <r>
    <x v="118"/>
    <n v="15"/>
    <n v="15"/>
    <n v="10"/>
    <n v="24"/>
    <n v="13"/>
    <n v="12"/>
    <n v="13"/>
    <n v="12"/>
    <n v="9"/>
    <n v="13"/>
    <n v="31"/>
    <n v="12"/>
    <n v="8"/>
    <n v="17"/>
    <n v="17"/>
    <n v="10"/>
    <n v="25"/>
    <n v="15"/>
    <n v="13"/>
    <n v="11"/>
    <n v="15"/>
    <n v="9"/>
    <n v="16"/>
    <n v="31"/>
    <n v="15"/>
    <n v="9"/>
    <n v="12"/>
    <n v="9"/>
    <n v="7"/>
    <x v="30"/>
  </r>
  <r>
    <x v="119"/>
    <n v="31"/>
    <n v="31"/>
    <n v="20"/>
    <n v="50"/>
    <n v="26"/>
    <n v="23"/>
    <n v="27"/>
    <n v="25"/>
    <n v="18"/>
    <n v="26"/>
    <n v="63"/>
    <n v="25"/>
    <n v="17"/>
    <n v="37"/>
    <n v="38"/>
    <n v="22"/>
    <n v="56"/>
    <n v="33"/>
    <n v="30"/>
    <n v="25"/>
    <n v="33"/>
    <n v="20"/>
    <n v="35"/>
    <n v="68"/>
    <n v="33"/>
    <n v="20"/>
    <n v="39"/>
    <n v="28"/>
    <n v="22"/>
    <x v="32"/>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s v=""/>
    <s v=""/>
    <s v=""/>
    <s v=""/>
    <s v=""/>
    <s v=""/>
    <s v=""/>
    <s v=""/>
    <s v=""/>
    <s v=""/>
    <s v=""/>
    <s v=""/>
    <s v=""/>
    <s v=""/>
    <s v=""/>
    <s v=""/>
    <s v=""/>
    <s v=""/>
    <s v=""/>
    <s v=""/>
    <s v=""/>
    <s v=""/>
    <s v=""/>
    <s v=""/>
    <s v=""/>
    <s v=""/>
    <s v=""/>
    <s v=""/>
    <s v=""/>
    <x v="33"/>
  </r>
  <r>
    <x v="120"/>
    <m/>
    <m/>
    <m/>
    <m/>
    <m/>
    <m/>
    <m/>
    <m/>
    <m/>
    <m/>
    <m/>
    <m/>
    <m/>
    <m/>
    <m/>
    <m/>
    <m/>
    <m/>
    <m/>
    <m/>
    <m/>
    <m/>
    <m/>
    <m/>
    <m/>
    <m/>
    <m/>
    <m/>
    <m/>
    <x v="3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x v="0"/>
    <n v="1"/>
    <n v="1"/>
    <n v="1"/>
    <n v="1"/>
    <n v="1"/>
    <n v="1"/>
    <n v="1"/>
    <n v="1"/>
    <n v="1"/>
    <n v="1"/>
    <n v="1"/>
    <n v="1"/>
    <n v="1"/>
    <n v="0"/>
    <n v="0"/>
    <n v="0"/>
    <n v="0"/>
    <n v="0"/>
    <n v="0"/>
    <n v="0"/>
    <n v="0"/>
    <n v="0"/>
    <n v="0"/>
    <n v="0"/>
    <n v="0"/>
    <n v="0"/>
  </r>
  <r>
    <x v="1"/>
    <n v="16"/>
    <n v="16"/>
    <n v="10"/>
    <n v="25"/>
    <n v="14"/>
    <n v="12"/>
    <n v="14"/>
    <n v="13"/>
    <n v="10"/>
    <n v="14"/>
    <n v="32"/>
    <n v="13"/>
    <n v="9"/>
    <n v="11"/>
    <n v="11"/>
    <n v="7"/>
    <n v="16"/>
    <n v="10"/>
    <n v="9"/>
    <n v="7"/>
    <n v="10"/>
    <n v="6"/>
    <n v="10"/>
    <n v="20"/>
    <n v="10"/>
    <n v="6"/>
  </r>
  <r>
    <x v="2"/>
    <n v="5"/>
    <n v="5"/>
    <n v="3"/>
    <n v="7"/>
    <n v="4"/>
    <n v="3"/>
    <n v="4"/>
    <n v="4"/>
    <n v="3"/>
    <n v="4"/>
    <n v="9"/>
    <n v="4"/>
    <n v="3"/>
    <n v="6"/>
    <n v="6"/>
    <n v="4"/>
    <n v="9"/>
    <n v="5"/>
    <n v="5"/>
    <n v="4"/>
    <n v="5"/>
    <n v="3"/>
    <n v="5"/>
    <n v="10"/>
    <n v="5"/>
    <n v="3"/>
  </r>
  <r>
    <x v="3"/>
    <n v="8"/>
    <n v="8"/>
    <n v="5"/>
    <n v="13"/>
    <n v="7"/>
    <n v="6"/>
    <n v="7"/>
    <n v="6"/>
    <n v="5"/>
    <n v="7"/>
    <n v="16"/>
    <n v="6"/>
    <n v="4"/>
    <n v="8"/>
    <n v="9"/>
    <n v="5"/>
    <n v="12"/>
    <n v="7"/>
    <n v="7"/>
    <n v="6"/>
    <n v="7"/>
    <n v="5"/>
    <n v="8"/>
    <n v="15"/>
    <n v="8"/>
    <n v="5"/>
  </r>
  <r>
    <x v="4"/>
    <n v="10"/>
    <n v="10"/>
    <n v="6"/>
    <n v="16"/>
    <n v="8"/>
    <n v="7"/>
    <n v="9"/>
    <n v="8"/>
    <n v="6"/>
    <n v="8"/>
    <n v="20"/>
    <n v="8"/>
    <n v="6"/>
    <n v="11"/>
    <n v="11"/>
    <n v="7"/>
    <n v="16"/>
    <n v="10"/>
    <n v="9"/>
    <n v="7"/>
    <n v="10"/>
    <n v="6"/>
    <n v="10"/>
    <n v="20"/>
    <n v="10"/>
    <n v="6"/>
  </r>
  <r>
    <x v="5"/>
    <n v="10"/>
    <n v="10"/>
    <n v="6"/>
    <n v="15"/>
    <n v="8"/>
    <n v="7"/>
    <n v="8"/>
    <n v="8"/>
    <n v="6"/>
    <n v="8"/>
    <n v="19"/>
    <n v="8"/>
    <n v="5"/>
    <n v="10"/>
    <n v="11"/>
    <n v="6"/>
    <n v="15"/>
    <n v="9"/>
    <n v="8"/>
    <n v="7"/>
    <n v="9"/>
    <n v="6"/>
    <n v="10"/>
    <n v="18"/>
    <n v="9"/>
    <n v="6"/>
  </r>
  <r>
    <x v="6"/>
    <n v="7"/>
    <n v="7"/>
    <n v="5"/>
    <n v="11"/>
    <n v="6"/>
    <n v="5"/>
    <n v="6"/>
    <n v="6"/>
    <n v="4"/>
    <n v="6"/>
    <n v="14"/>
    <n v="6"/>
    <n v="4"/>
    <n v="7"/>
    <n v="7"/>
    <n v="4"/>
    <n v="10"/>
    <n v="6"/>
    <n v="6"/>
    <n v="5"/>
    <n v="6"/>
    <n v="4"/>
    <n v="7"/>
    <n v="13"/>
    <n v="6"/>
    <n v="4"/>
  </r>
  <r>
    <x v="7"/>
    <n v="8"/>
    <n v="8"/>
    <n v="5"/>
    <n v="13"/>
    <n v="7"/>
    <n v="6"/>
    <n v="7"/>
    <n v="6"/>
    <n v="5"/>
    <n v="7"/>
    <n v="16"/>
    <n v="6"/>
    <n v="4"/>
    <n v="8"/>
    <n v="9"/>
    <n v="5"/>
    <n v="12"/>
    <n v="7"/>
    <n v="7"/>
    <n v="6"/>
    <n v="7"/>
    <n v="5"/>
    <n v="8"/>
    <n v="15"/>
    <n v="8"/>
    <n v="5"/>
  </r>
  <r>
    <x v="8"/>
    <n v="8"/>
    <n v="8"/>
    <n v="5"/>
    <n v="13"/>
    <n v="7"/>
    <n v="6"/>
    <n v="7"/>
    <n v="6"/>
    <n v="5"/>
    <n v="7"/>
    <n v="16"/>
    <n v="6"/>
    <n v="4"/>
    <n v="8"/>
    <n v="9"/>
    <n v="5"/>
    <n v="12"/>
    <n v="7"/>
    <n v="7"/>
    <n v="6"/>
    <n v="7"/>
    <n v="5"/>
    <n v="8"/>
    <n v="15"/>
    <n v="8"/>
    <n v="5"/>
  </r>
  <r>
    <x v="9"/>
    <n v="8"/>
    <n v="8"/>
    <n v="5"/>
    <n v="13"/>
    <n v="7"/>
    <n v="6"/>
    <n v="7"/>
    <n v="6"/>
    <n v="5"/>
    <n v="7"/>
    <n v="16"/>
    <n v="6"/>
    <n v="4"/>
    <n v="8"/>
    <n v="9"/>
    <n v="5"/>
    <n v="12"/>
    <n v="7"/>
    <n v="7"/>
    <n v="6"/>
    <n v="7"/>
    <n v="5"/>
    <n v="8"/>
    <n v="15"/>
    <n v="8"/>
    <n v="5"/>
  </r>
  <r>
    <x v="10"/>
    <n v="8"/>
    <n v="8"/>
    <n v="5"/>
    <n v="13"/>
    <n v="7"/>
    <n v="6"/>
    <n v="7"/>
    <n v="6"/>
    <n v="5"/>
    <n v="7"/>
    <n v="16"/>
    <n v="6"/>
    <n v="4"/>
    <n v="8"/>
    <n v="9"/>
    <n v="5"/>
    <n v="12"/>
    <n v="7"/>
    <n v="7"/>
    <n v="6"/>
    <n v="7"/>
    <n v="5"/>
    <n v="8"/>
    <n v="15"/>
    <n v="8"/>
    <n v="5"/>
  </r>
  <r>
    <x v="11"/>
    <n v="16"/>
    <n v="16"/>
    <n v="10"/>
    <n v="25"/>
    <n v="14"/>
    <n v="12"/>
    <n v="14"/>
    <n v="13"/>
    <n v="10"/>
    <n v="14"/>
    <n v="32"/>
    <n v="13"/>
    <n v="9"/>
    <n v="18"/>
    <n v="19"/>
    <n v="11"/>
    <n v="27"/>
    <n v="16"/>
    <n v="14"/>
    <n v="12"/>
    <n v="16"/>
    <n v="10"/>
    <n v="17"/>
    <n v="33"/>
    <n v="16"/>
    <n v="10"/>
  </r>
  <r>
    <x v="12"/>
    <n v="10"/>
    <n v="10"/>
    <n v="6"/>
    <n v="16"/>
    <n v="8"/>
    <n v="7"/>
    <n v="9"/>
    <n v="8"/>
    <n v="6"/>
    <n v="8"/>
    <n v="20"/>
    <n v="8"/>
    <n v="5"/>
    <n v="9"/>
    <n v="9"/>
    <n v="5"/>
    <n v="13"/>
    <n v="8"/>
    <n v="7"/>
    <n v="6"/>
    <n v="8"/>
    <n v="5"/>
    <n v="8"/>
    <n v="16"/>
    <n v="8"/>
    <n v="5"/>
  </r>
  <r>
    <x v="13"/>
    <n v="13"/>
    <n v="14"/>
    <n v="9"/>
    <n v="21"/>
    <n v="11"/>
    <n v="10"/>
    <n v="12"/>
    <n v="11"/>
    <n v="8"/>
    <n v="11"/>
    <n v="27"/>
    <n v="11"/>
    <n v="7"/>
    <n v="13"/>
    <n v="13"/>
    <n v="8"/>
    <n v="20"/>
    <n v="12"/>
    <n v="10"/>
    <n v="9"/>
    <n v="12"/>
    <n v="7"/>
    <n v="12"/>
    <n v="24"/>
    <n v="12"/>
    <n v="7"/>
  </r>
  <r>
    <x v="14"/>
    <n v="6"/>
    <n v="6"/>
    <n v="4"/>
    <n v="9"/>
    <n v="5"/>
    <n v="5"/>
    <n v="5"/>
    <n v="5"/>
    <n v="4"/>
    <n v="5"/>
    <n v="12"/>
    <n v="5"/>
    <n v="3"/>
    <n v="7"/>
    <n v="7"/>
    <n v="4"/>
    <n v="11"/>
    <n v="6"/>
    <n v="6"/>
    <n v="5"/>
    <n v="6"/>
    <n v="4"/>
    <n v="7"/>
    <n v="13"/>
    <n v="6"/>
    <n v="4"/>
  </r>
  <r>
    <x v="15"/>
    <n v="9"/>
    <n v="9"/>
    <n v="6"/>
    <n v="14"/>
    <n v="8"/>
    <n v="7"/>
    <n v="8"/>
    <n v="7"/>
    <n v="5"/>
    <n v="7"/>
    <n v="18"/>
    <n v="7"/>
    <n v="5"/>
    <n v="9"/>
    <n v="10"/>
    <n v="6"/>
    <n v="14"/>
    <n v="8"/>
    <n v="7"/>
    <n v="6"/>
    <n v="8"/>
    <n v="5"/>
    <n v="9"/>
    <n v="17"/>
    <n v="8"/>
    <n v="5"/>
  </r>
  <r>
    <x v="16"/>
    <n v="12"/>
    <n v="12"/>
    <n v="8"/>
    <n v="19"/>
    <n v="10"/>
    <n v="9"/>
    <n v="11"/>
    <n v="10"/>
    <n v="7"/>
    <n v="10"/>
    <n v="25"/>
    <n v="10"/>
    <n v="7"/>
    <n v="14"/>
    <n v="15"/>
    <n v="9"/>
    <n v="21"/>
    <n v="13"/>
    <n v="11"/>
    <n v="10"/>
    <n v="13"/>
    <n v="8"/>
    <n v="13"/>
    <n v="26"/>
    <n v="13"/>
    <n v="8"/>
  </r>
  <r>
    <x v="17"/>
    <n v="7"/>
    <n v="7"/>
    <n v="5"/>
    <n v="11"/>
    <n v="6"/>
    <n v="6"/>
    <n v="6"/>
    <n v="6"/>
    <n v="4"/>
    <n v="6"/>
    <n v="14"/>
    <n v="6"/>
    <n v="4"/>
    <n v="7"/>
    <n v="7"/>
    <n v="4"/>
    <n v="11"/>
    <n v="6"/>
    <n v="6"/>
    <n v="5"/>
    <n v="6"/>
    <n v="4"/>
    <n v="7"/>
    <n v="13"/>
    <n v="7"/>
    <n v="4"/>
  </r>
  <r>
    <x v="18"/>
    <n v="9"/>
    <n v="9"/>
    <n v="6"/>
    <n v="14"/>
    <n v="8"/>
    <n v="7"/>
    <n v="8"/>
    <n v="7"/>
    <n v="5"/>
    <n v="7"/>
    <n v="18"/>
    <n v="7"/>
    <n v="5"/>
    <n v="9"/>
    <n v="10"/>
    <n v="6"/>
    <n v="14"/>
    <n v="8"/>
    <n v="7"/>
    <n v="6"/>
    <n v="8"/>
    <n v="5"/>
    <n v="9"/>
    <n v="17"/>
    <n v="8"/>
    <n v="5"/>
  </r>
  <r>
    <x v="19"/>
    <n v="9"/>
    <n v="9"/>
    <n v="6"/>
    <n v="14"/>
    <n v="8"/>
    <n v="7"/>
    <n v="8"/>
    <n v="7"/>
    <n v="5"/>
    <n v="7"/>
    <n v="18"/>
    <n v="7"/>
    <n v="5"/>
    <n v="9"/>
    <n v="10"/>
    <n v="6"/>
    <n v="14"/>
    <n v="8"/>
    <n v="7"/>
    <n v="6"/>
    <n v="8"/>
    <n v="5"/>
    <n v="9"/>
    <n v="17"/>
    <n v="8"/>
    <n v="5"/>
  </r>
  <r>
    <x v="20"/>
    <n v="9"/>
    <n v="9"/>
    <n v="6"/>
    <n v="14"/>
    <n v="8"/>
    <n v="7"/>
    <n v="8"/>
    <n v="7"/>
    <n v="5"/>
    <n v="7"/>
    <n v="18"/>
    <n v="7"/>
    <n v="5"/>
    <n v="9"/>
    <n v="10"/>
    <n v="6"/>
    <n v="14"/>
    <n v="8"/>
    <n v="7"/>
    <n v="6"/>
    <n v="8"/>
    <n v="5"/>
    <n v="9"/>
    <n v="17"/>
    <n v="8"/>
    <n v="5"/>
  </r>
  <r>
    <x v="21"/>
    <n v="9"/>
    <n v="9"/>
    <n v="6"/>
    <n v="14"/>
    <n v="8"/>
    <n v="7"/>
    <n v="8"/>
    <n v="7"/>
    <n v="5"/>
    <n v="7"/>
    <n v="18"/>
    <n v="7"/>
    <n v="5"/>
    <n v="9"/>
    <n v="10"/>
    <n v="6"/>
    <n v="14"/>
    <n v="8"/>
    <n v="7"/>
    <n v="6"/>
    <n v="8"/>
    <n v="5"/>
    <n v="9"/>
    <n v="17"/>
    <n v="8"/>
    <n v="5"/>
  </r>
  <r>
    <x v="22"/>
    <n v="9"/>
    <n v="9"/>
    <n v="6"/>
    <n v="14"/>
    <n v="8"/>
    <n v="7"/>
    <n v="8"/>
    <n v="7"/>
    <n v="5"/>
    <n v="7"/>
    <n v="18"/>
    <n v="7"/>
    <n v="5"/>
    <n v="9"/>
    <n v="10"/>
    <n v="6"/>
    <n v="14"/>
    <n v="8"/>
    <n v="7"/>
    <n v="6"/>
    <n v="8"/>
    <n v="5"/>
    <n v="9"/>
    <n v="17"/>
    <n v="8"/>
    <n v="5"/>
  </r>
  <r>
    <x v="23"/>
    <n v="18"/>
    <n v="18"/>
    <n v="11"/>
    <n v="28"/>
    <n v="15"/>
    <n v="13"/>
    <n v="15"/>
    <n v="14"/>
    <n v="11"/>
    <n v="15"/>
    <n v="36"/>
    <n v="14"/>
    <n v="10"/>
    <n v="20"/>
    <n v="21"/>
    <n v="12"/>
    <n v="30"/>
    <n v="18"/>
    <n v="16"/>
    <n v="13"/>
    <n v="18"/>
    <n v="11"/>
    <n v="19"/>
    <n v="37"/>
    <n v="18"/>
    <n v="11"/>
  </r>
  <r>
    <x v="24"/>
    <n v="6"/>
    <n v="6"/>
    <n v="4"/>
    <n v="10"/>
    <n v="5"/>
    <n v="5"/>
    <n v="6"/>
    <n v="5"/>
    <n v="4"/>
    <n v="5"/>
    <n v="13"/>
    <n v="5"/>
    <n v="4"/>
    <n v="6"/>
    <n v="7"/>
    <n v="4"/>
    <n v="9"/>
    <n v="6"/>
    <n v="5"/>
    <n v="4"/>
    <n v="6"/>
    <n v="4"/>
    <n v="6"/>
    <n v="11"/>
    <n v="6"/>
    <n v="4"/>
  </r>
  <r>
    <x v="25"/>
    <n v="20"/>
    <n v="20"/>
    <n v="13"/>
    <n v="31"/>
    <n v="17"/>
    <n v="15"/>
    <n v="17"/>
    <n v="15"/>
    <n v="12"/>
    <n v="16"/>
    <n v="39"/>
    <n v="16"/>
    <n v="11"/>
    <n v="17"/>
    <n v="18"/>
    <n v="10"/>
    <n v="27"/>
    <n v="16"/>
    <n v="14"/>
    <n v="12"/>
    <n v="16"/>
    <n v="10"/>
    <n v="17"/>
    <n v="32"/>
    <n v="16"/>
    <n v="10"/>
  </r>
  <r>
    <x v="26"/>
    <n v="5"/>
    <n v="5"/>
    <n v="4"/>
    <n v="8"/>
    <n v="5"/>
    <n v="4"/>
    <n v="5"/>
    <n v="4"/>
    <n v="3"/>
    <n v="5"/>
    <n v="10"/>
    <n v="4"/>
    <n v="3"/>
    <n v="7"/>
    <n v="7"/>
    <n v="4"/>
    <n v="11"/>
    <n v="6"/>
    <n v="6"/>
    <n v="5"/>
    <n v="6"/>
    <n v="4"/>
    <n v="7"/>
    <n v="13"/>
    <n v="6"/>
    <n v="4"/>
  </r>
  <r>
    <x v="27"/>
    <n v="10"/>
    <n v="10"/>
    <n v="6"/>
    <n v="15"/>
    <n v="8"/>
    <n v="7"/>
    <n v="8"/>
    <n v="8"/>
    <n v="6"/>
    <n v="8"/>
    <n v="19"/>
    <n v="8"/>
    <n v="5"/>
    <n v="10"/>
    <n v="11"/>
    <n v="6"/>
    <n v="15"/>
    <n v="9"/>
    <n v="8"/>
    <n v="7"/>
    <n v="9"/>
    <n v="6"/>
    <n v="10"/>
    <n v="18"/>
    <n v="9"/>
    <n v="6"/>
  </r>
  <r>
    <x v="28"/>
    <n v="13"/>
    <n v="14"/>
    <n v="9"/>
    <n v="21"/>
    <n v="11"/>
    <n v="10"/>
    <n v="12"/>
    <n v="11"/>
    <n v="8"/>
    <n v="11"/>
    <n v="27"/>
    <n v="11"/>
    <n v="7"/>
    <n v="16"/>
    <n v="16"/>
    <n v="9"/>
    <n v="24"/>
    <n v="14"/>
    <n v="13"/>
    <n v="11"/>
    <n v="14"/>
    <n v="9"/>
    <n v="15"/>
    <n v="29"/>
    <n v="14"/>
    <n v="9"/>
  </r>
  <r>
    <x v="29"/>
    <n v="10"/>
    <n v="10"/>
    <n v="6"/>
    <n v="15"/>
    <n v="8"/>
    <n v="7"/>
    <n v="8"/>
    <n v="8"/>
    <n v="6"/>
    <n v="8"/>
    <n v="19"/>
    <n v="8"/>
    <n v="5"/>
    <n v="9"/>
    <n v="10"/>
    <n v="6"/>
    <n v="14"/>
    <n v="8"/>
    <n v="8"/>
    <n v="6"/>
    <n v="8"/>
    <n v="5"/>
    <n v="9"/>
    <n v="17"/>
    <n v="9"/>
    <n v="5"/>
  </r>
  <r>
    <x v="30"/>
    <n v="9"/>
    <n v="9"/>
    <n v="6"/>
    <n v="14"/>
    <n v="8"/>
    <n v="7"/>
    <n v="8"/>
    <n v="7"/>
    <n v="5"/>
    <n v="8"/>
    <n v="18"/>
    <n v="7"/>
    <n v="5"/>
    <n v="9"/>
    <n v="10"/>
    <n v="6"/>
    <n v="14"/>
    <n v="9"/>
    <n v="8"/>
    <n v="7"/>
    <n v="9"/>
    <n v="5"/>
    <n v="9"/>
    <n v="17"/>
    <n v="9"/>
    <n v="5"/>
  </r>
  <r>
    <x v="31"/>
    <n v="10"/>
    <n v="10"/>
    <n v="6"/>
    <n v="15"/>
    <n v="8"/>
    <n v="7"/>
    <n v="8"/>
    <n v="8"/>
    <n v="6"/>
    <n v="8"/>
    <n v="19"/>
    <n v="8"/>
    <n v="5"/>
    <n v="10"/>
    <n v="11"/>
    <n v="6"/>
    <n v="15"/>
    <n v="9"/>
    <n v="8"/>
    <n v="7"/>
    <n v="9"/>
    <n v="6"/>
    <n v="10"/>
    <n v="18"/>
    <n v="9"/>
    <n v="6"/>
  </r>
  <r>
    <x v="32"/>
    <n v="10"/>
    <n v="10"/>
    <n v="6"/>
    <n v="15"/>
    <n v="8"/>
    <n v="7"/>
    <n v="8"/>
    <n v="8"/>
    <n v="6"/>
    <n v="8"/>
    <n v="19"/>
    <n v="8"/>
    <n v="5"/>
    <n v="10"/>
    <n v="11"/>
    <n v="6"/>
    <n v="15"/>
    <n v="9"/>
    <n v="8"/>
    <n v="7"/>
    <n v="9"/>
    <n v="6"/>
    <n v="10"/>
    <n v="18"/>
    <n v="9"/>
    <n v="6"/>
  </r>
  <r>
    <x v="33"/>
    <n v="10"/>
    <n v="10"/>
    <n v="6"/>
    <n v="15"/>
    <n v="8"/>
    <n v="7"/>
    <n v="8"/>
    <n v="8"/>
    <n v="6"/>
    <n v="8"/>
    <n v="19"/>
    <n v="8"/>
    <n v="5"/>
    <n v="10"/>
    <n v="11"/>
    <n v="6"/>
    <n v="15"/>
    <n v="9"/>
    <n v="8"/>
    <n v="7"/>
    <n v="9"/>
    <n v="6"/>
    <n v="10"/>
    <n v="18"/>
    <n v="9"/>
    <n v="6"/>
  </r>
  <r>
    <x v="34"/>
    <n v="10"/>
    <n v="10"/>
    <n v="6"/>
    <n v="15"/>
    <n v="8"/>
    <n v="7"/>
    <n v="8"/>
    <n v="8"/>
    <n v="6"/>
    <n v="8"/>
    <n v="19"/>
    <n v="8"/>
    <n v="5"/>
    <n v="10"/>
    <n v="11"/>
    <n v="6"/>
    <n v="15"/>
    <n v="9"/>
    <n v="8"/>
    <n v="7"/>
    <n v="9"/>
    <n v="6"/>
    <n v="10"/>
    <n v="18"/>
    <n v="9"/>
    <n v="6"/>
  </r>
  <r>
    <x v="35"/>
    <n v="19"/>
    <n v="19"/>
    <n v="12"/>
    <n v="31"/>
    <n v="16"/>
    <n v="14"/>
    <n v="17"/>
    <n v="15"/>
    <n v="12"/>
    <n v="16"/>
    <n v="39"/>
    <n v="16"/>
    <n v="11"/>
    <n v="22"/>
    <n v="23"/>
    <n v="13"/>
    <n v="33"/>
    <n v="20"/>
    <n v="18"/>
    <n v="15"/>
    <n v="20"/>
    <n v="12"/>
    <n v="21"/>
    <n v="40"/>
    <n v="20"/>
    <n v="12"/>
  </r>
  <r>
    <x v="36"/>
    <n v="12"/>
    <n v="12"/>
    <n v="7"/>
    <n v="18"/>
    <n v="10"/>
    <n v="9"/>
    <n v="10"/>
    <n v="9"/>
    <n v="7"/>
    <n v="10"/>
    <n v="23"/>
    <n v="9"/>
    <n v="6"/>
    <n v="10"/>
    <n v="11"/>
    <n v="6"/>
    <n v="16"/>
    <n v="9"/>
    <n v="9"/>
    <n v="7"/>
    <n v="10"/>
    <n v="6"/>
    <n v="10"/>
    <n v="19"/>
    <n v="10"/>
    <n v="6"/>
  </r>
  <r>
    <x v="37"/>
    <n v="16"/>
    <n v="16"/>
    <n v="10"/>
    <n v="25"/>
    <n v="14"/>
    <n v="12"/>
    <n v="14"/>
    <n v="13"/>
    <n v="10"/>
    <n v="14"/>
    <n v="32"/>
    <n v="13"/>
    <n v="9"/>
    <n v="16"/>
    <n v="16"/>
    <n v="9"/>
    <n v="24"/>
    <n v="14"/>
    <n v="13"/>
    <n v="11"/>
    <n v="14"/>
    <n v="9"/>
    <n v="15"/>
    <n v="29"/>
    <n v="14"/>
    <n v="9"/>
  </r>
  <r>
    <x v="38"/>
    <n v="7"/>
    <n v="7"/>
    <n v="5"/>
    <n v="11"/>
    <n v="6"/>
    <n v="5"/>
    <n v="6"/>
    <n v="6"/>
    <n v="4"/>
    <n v="6"/>
    <n v="14"/>
    <n v="6"/>
    <n v="4"/>
    <n v="9"/>
    <n v="9"/>
    <n v="5"/>
    <n v="13"/>
    <n v="8"/>
    <n v="7"/>
    <n v="6"/>
    <n v="8"/>
    <n v="5"/>
    <n v="8"/>
    <n v="15"/>
    <n v="8"/>
    <n v="5"/>
  </r>
  <r>
    <x v="39"/>
    <n v="10"/>
    <n v="11"/>
    <n v="7"/>
    <n v="16"/>
    <n v="9"/>
    <n v="8"/>
    <n v="9"/>
    <n v="8"/>
    <n v="6"/>
    <n v="9"/>
    <n v="21"/>
    <n v="8"/>
    <n v="6"/>
    <n v="11"/>
    <n v="12"/>
    <n v="7"/>
    <n v="17"/>
    <n v="10"/>
    <n v="9"/>
    <n v="8"/>
    <n v="10"/>
    <n v="6"/>
    <n v="10"/>
    <n v="20"/>
    <n v="10"/>
    <n v="6"/>
  </r>
  <r>
    <x v="40"/>
    <n v="15"/>
    <n v="15"/>
    <n v="9"/>
    <n v="23"/>
    <n v="12"/>
    <n v="11"/>
    <n v="13"/>
    <n v="12"/>
    <n v="9"/>
    <n v="12"/>
    <n v="29"/>
    <n v="12"/>
    <n v="8"/>
    <n v="17"/>
    <n v="18"/>
    <n v="10"/>
    <n v="26"/>
    <n v="15"/>
    <n v="14"/>
    <n v="12"/>
    <n v="15"/>
    <n v="9"/>
    <n v="16"/>
    <n v="31"/>
    <n v="16"/>
    <n v="10"/>
  </r>
  <r>
    <x v="41"/>
    <n v="10"/>
    <n v="10"/>
    <n v="7"/>
    <n v="16"/>
    <n v="9"/>
    <n v="8"/>
    <n v="9"/>
    <n v="8"/>
    <n v="6"/>
    <n v="9"/>
    <n v="21"/>
    <n v="8"/>
    <n v="6"/>
    <n v="10"/>
    <n v="11"/>
    <n v="6"/>
    <n v="15"/>
    <n v="9"/>
    <n v="8"/>
    <n v="7"/>
    <n v="9"/>
    <n v="6"/>
    <n v="10"/>
    <n v="19"/>
    <n v="9"/>
    <n v="6"/>
  </r>
  <r>
    <x v="42"/>
    <n v="10"/>
    <n v="10"/>
    <n v="6"/>
    <n v="15"/>
    <n v="8"/>
    <n v="7"/>
    <n v="8"/>
    <n v="8"/>
    <n v="6"/>
    <n v="8"/>
    <n v="19"/>
    <n v="8"/>
    <n v="5"/>
    <n v="10"/>
    <n v="11"/>
    <n v="6"/>
    <n v="16"/>
    <n v="9"/>
    <n v="8"/>
    <n v="7"/>
    <n v="9"/>
    <n v="6"/>
    <n v="10"/>
    <n v="19"/>
    <n v="9"/>
    <n v="6"/>
  </r>
  <r>
    <x v="43"/>
    <n v="10"/>
    <n v="11"/>
    <n v="7"/>
    <n v="16"/>
    <n v="9"/>
    <n v="8"/>
    <n v="9"/>
    <n v="8"/>
    <n v="6"/>
    <n v="9"/>
    <n v="21"/>
    <n v="8"/>
    <n v="6"/>
    <n v="11"/>
    <n v="12"/>
    <n v="7"/>
    <n v="17"/>
    <n v="10"/>
    <n v="9"/>
    <n v="8"/>
    <n v="10"/>
    <n v="6"/>
    <n v="10"/>
    <n v="20"/>
    <n v="10"/>
    <n v="6"/>
  </r>
  <r>
    <x v="44"/>
    <n v="10"/>
    <n v="11"/>
    <n v="7"/>
    <n v="16"/>
    <n v="9"/>
    <n v="8"/>
    <n v="9"/>
    <n v="8"/>
    <n v="6"/>
    <n v="9"/>
    <n v="21"/>
    <n v="8"/>
    <n v="6"/>
    <n v="11"/>
    <n v="12"/>
    <n v="7"/>
    <n v="17"/>
    <n v="10"/>
    <n v="9"/>
    <n v="8"/>
    <n v="10"/>
    <n v="6"/>
    <n v="10"/>
    <n v="20"/>
    <n v="10"/>
    <n v="6"/>
  </r>
  <r>
    <x v="45"/>
    <n v="10"/>
    <n v="11"/>
    <n v="7"/>
    <n v="16"/>
    <n v="9"/>
    <n v="8"/>
    <n v="9"/>
    <n v="8"/>
    <n v="6"/>
    <n v="9"/>
    <n v="21"/>
    <n v="8"/>
    <n v="6"/>
    <n v="11"/>
    <n v="12"/>
    <n v="7"/>
    <n v="17"/>
    <n v="10"/>
    <n v="9"/>
    <n v="8"/>
    <n v="10"/>
    <n v="6"/>
    <n v="10"/>
    <n v="20"/>
    <n v="10"/>
    <n v="6"/>
  </r>
  <r>
    <x v="46"/>
    <n v="10"/>
    <n v="11"/>
    <n v="7"/>
    <n v="16"/>
    <n v="9"/>
    <n v="8"/>
    <n v="9"/>
    <n v="8"/>
    <n v="6"/>
    <n v="9"/>
    <n v="21"/>
    <n v="8"/>
    <n v="6"/>
    <n v="11"/>
    <n v="12"/>
    <n v="7"/>
    <n v="17"/>
    <n v="10"/>
    <n v="9"/>
    <n v="8"/>
    <n v="10"/>
    <n v="6"/>
    <n v="10"/>
    <n v="20"/>
    <n v="10"/>
    <n v="6"/>
  </r>
  <r>
    <x v="47"/>
    <n v="21"/>
    <n v="21"/>
    <n v="14"/>
    <n v="33"/>
    <n v="18"/>
    <n v="16"/>
    <n v="18"/>
    <n v="17"/>
    <n v="13"/>
    <n v="18"/>
    <n v="43"/>
    <n v="17"/>
    <n v="11"/>
    <n v="24"/>
    <n v="25"/>
    <n v="14"/>
    <n v="37"/>
    <n v="22"/>
    <n v="19"/>
    <n v="16"/>
    <n v="22"/>
    <n v="13"/>
    <n v="23"/>
    <n v="44"/>
    <n v="22"/>
    <n v="13"/>
  </r>
  <r>
    <x v="48"/>
    <n v="12"/>
    <n v="12"/>
    <n v="8"/>
    <n v="20"/>
    <n v="11"/>
    <n v="9"/>
    <n v="11"/>
    <n v="10"/>
    <n v="7"/>
    <n v="10"/>
    <n v="25"/>
    <n v="10"/>
    <n v="7"/>
    <n v="11"/>
    <n v="12"/>
    <n v="7"/>
    <n v="17"/>
    <n v="10"/>
    <n v="9"/>
    <n v="8"/>
    <n v="10"/>
    <n v="6"/>
    <n v="11"/>
    <n v="20"/>
    <n v="10"/>
    <n v="6"/>
  </r>
  <r>
    <x v="49"/>
    <n v="17"/>
    <n v="17"/>
    <n v="11"/>
    <n v="27"/>
    <n v="15"/>
    <n v="13"/>
    <n v="15"/>
    <n v="14"/>
    <n v="10"/>
    <n v="15"/>
    <n v="35"/>
    <n v="14"/>
    <n v="9"/>
    <n v="17"/>
    <n v="18"/>
    <n v="10"/>
    <n v="26"/>
    <n v="15"/>
    <n v="14"/>
    <n v="11"/>
    <n v="15"/>
    <n v="9"/>
    <n v="16"/>
    <n v="31"/>
    <n v="15"/>
    <n v="10"/>
  </r>
  <r>
    <x v="50"/>
    <n v="8"/>
    <n v="8"/>
    <n v="5"/>
    <n v="12"/>
    <n v="7"/>
    <n v="6"/>
    <n v="7"/>
    <n v="6"/>
    <n v="5"/>
    <n v="7"/>
    <n v="15"/>
    <n v="6"/>
    <n v="4"/>
    <n v="9"/>
    <n v="10"/>
    <n v="6"/>
    <n v="14"/>
    <n v="8"/>
    <n v="8"/>
    <n v="6"/>
    <n v="8"/>
    <n v="5"/>
    <n v="9"/>
    <n v="17"/>
    <n v="8"/>
    <n v="5"/>
  </r>
  <r>
    <x v="51"/>
    <n v="15"/>
    <n v="15"/>
    <n v="9"/>
    <n v="23"/>
    <n v="12"/>
    <n v="11"/>
    <n v="13"/>
    <n v="12"/>
    <n v="9"/>
    <n v="12"/>
    <n v="30"/>
    <n v="12"/>
    <n v="8"/>
    <n v="16"/>
    <n v="17"/>
    <n v="10"/>
    <n v="25"/>
    <n v="15"/>
    <n v="13"/>
    <n v="11"/>
    <n v="15"/>
    <n v="9"/>
    <n v="16"/>
    <n v="30"/>
    <n v="15"/>
    <n v="9"/>
  </r>
  <r>
    <x v="52"/>
    <n v="13"/>
    <n v="13"/>
    <n v="8"/>
    <n v="20"/>
    <n v="11"/>
    <n v="9"/>
    <n v="11"/>
    <n v="10"/>
    <n v="8"/>
    <n v="11"/>
    <n v="25"/>
    <n v="10"/>
    <n v="7"/>
    <n v="14"/>
    <n v="15"/>
    <n v="8"/>
    <n v="21"/>
    <n v="13"/>
    <n v="11"/>
    <n v="10"/>
    <n v="13"/>
    <n v="8"/>
    <n v="13"/>
    <n v="26"/>
    <n v="13"/>
    <n v="8"/>
  </r>
  <r>
    <x v="53"/>
    <n v="12"/>
    <n v="12"/>
    <n v="8"/>
    <n v="19"/>
    <n v="10"/>
    <n v="9"/>
    <n v="10"/>
    <n v="10"/>
    <n v="7"/>
    <n v="10"/>
    <n v="24"/>
    <n v="10"/>
    <n v="7"/>
    <n v="12"/>
    <n v="13"/>
    <n v="7"/>
    <n v="18"/>
    <n v="11"/>
    <n v="10"/>
    <n v="8"/>
    <n v="11"/>
    <n v="7"/>
    <n v="12"/>
    <n v="22"/>
    <n v="11"/>
    <n v="7"/>
  </r>
  <r>
    <x v="54"/>
    <n v="10"/>
    <n v="11"/>
    <n v="7"/>
    <n v="16"/>
    <n v="9"/>
    <n v="8"/>
    <n v="9"/>
    <n v="8"/>
    <n v="6"/>
    <n v="9"/>
    <n v="21"/>
    <n v="8"/>
    <n v="6"/>
    <n v="11"/>
    <n v="12"/>
    <n v="7"/>
    <n v="17"/>
    <n v="10"/>
    <n v="9"/>
    <n v="8"/>
    <n v="10"/>
    <n v="6"/>
    <n v="11"/>
    <n v="20"/>
    <n v="10"/>
    <n v="6"/>
  </r>
  <r>
    <x v="55"/>
    <n v="11"/>
    <n v="11"/>
    <n v="7"/>
    <n v="18"/>
    <n v="10"/>
    <n v="8"/>
    <n v="10"/>
    <n v="9"/>
    <n v="7"/>
    <n v="10"/>
    <n v="23"/>
    <n v="9"/>
    <n v="6"/>
    <n v="12"/>
    <n v="12"/>
    <n v="7"/>
    <n v="18"/>
    <n v="11"/>
    <n v="10"/>
    <n v="8"/>
    <n v="11"/>
    <n v="7"/>
    <n v="11"/>
    <n v="22"/>
    <n v="11"/>
    <n v="7"/>
  </r>
  <r>
    <x v="56"/>
    <n v="11"/>
    <n v="11"/>
    <n v="7"/>
    <n v="18"/>
    <n v="10"/>
    <n v="8"/>
    <n v="10"/>
    <n v="9"/>
    <n v="7"/>
    <n v="10"/>
    <n v="23"/>
    <n v="9"/>
    <n v="6"/>
    <n v="12"/>
    <n v="12"/>
    <n v="7"/>
    <n v="18"/>
    <n v="11"/>
    <n v="10"/>
    <n v="8"/>
    <n v="11"/>
    <n v="7"/>
    <n v="11"/>
    <n v="22"/>
    <n v="11"/>
    <n v="7"/>
  </r>
  <r>
    <x v="57"/>
    <n v="11"/>
    <n v="11"/>
    <n v="7"/>
    <n v="18"/>
    <n v="10"/>
    <n v="8"/>
    <n v="10"/>
    <n v="9"/>
    <n v="7"/>
    <n v="10"/>
    <n v="23"/>
    <n v="9"/>
    <n v="6"/>
    <n v="12"/>
    <n v="12"/>
    <n v="7"/>
    <n v="18"/>
    <n v="11"/>
    <n v="10"/>
    <n v="8"/>
    <n v="11"/>
    <n v="7"/>
    <n v="11"/>
    <n v="22"/>
    <n v="11"/>
    <n v="7"/>
  </r>
  <r>
    <x v="58"/>
    <n v="11"/>
    <n v="11"/>
    <n v="7"/>
    <n v="18"/>
    <n v="10"/>
    <n v="8"/>
    <n v="10"/>
    <n v="9"/>
    <n v="7"/>
    <n v="10"/>
    <n v="23"/>
    <n v="9"/>
    <n v="6"/>
    <n v="12"/>
    <n v="12"/>
    <n v="7"/>
    <n v="18"/>
    <n v="11"/>
    <n v="10"/>
    <n v="8"/>
    <n v="11"/>
    <n v="7"/>
    <n v="11"/>
    <n v="22"/>
    <n v="11"/>
    <n v="7"/>
  </r>
  <r>
    <x v="59"/>
    <n v="23"/>
    <n v="23"/>
    <n v="15"/>
    <n v="36"/>
    <n v="19"/>
    <n v="17"/>
    <n v="20"/>
    <n v="18"/>
    <n v="14"/>
    <n v="19"/>
    <n v="46"/>
    <n v="18"/>
    <n v="12"/>
    <n v="26"/>
    <n v="27"/>
    <n v="16"/>
    <n v="40"/>
    <n v="24"/>
    <n v="21"/>
    <n v="18"/>
    <n v="24"/>
    <n v="14"/>
    <n v="25"/>
    <n v="48"/>
    <n v="24"/>
    <n v="15"/>
  </r>
  <r>
    <x v="60"/>
    <n v="8"/>
    <n v="8"/>
    <n v="5"/>
    <n v="12"/>
    <n v="7"/>
    <n v="6"/>
    <n v="7"/>
    <n v="6"/>
    <n v="5"/>
    <n v="7"/>
    <n v="15"/>
    <n v="6"/>
    <n v="4"/>
    <n v="8"/>
    <n v="8"/>
    <n v="5"/>
    <n v="11"/>
    <n v="7"/>
    <n v="6"/>
    <n v="5"/>
    <n v="7"/>
    <n v="4"/>
    <n v="7"/>
    <n v="14"/>
    <n v="7"/>
    <n v="4"/>
  </r>
  <r>
    <x v="61"/>
    <n v="25"/>
    <n v="25"/>
    <n v="16"/>
    <n v="39"/>
    <n v="21"/>
    <n v="18"/>
    <n v="21"/>
    <n v="19"/>
    <n v="15"/>
    <n v="21"/>
    <n v="50"/>
    <n v="20"/>
    <n v="13"/>
    <n v="22"/>
    <n v="23"/>
    <n v="13"/>
    <n v="34"/>
    <n v="20"/>
    <n v="18"/>
    <n v="15"/>
    <n v="20"/>
    <n v="12"/>
    <n v="21"/>
    <n v="41"/>
    <n v="20"/>
    <n v="13"/>
  </r>
  <r>
    <x v="62"/>
    <n v="7"/>
    <n v="7"/>
    <n v="4"/>
    <n v="10"/>
    <n v="6"/>
    <n v="5"/>
    <n v="6"/>
    <n v="5"/>
    <n v="4"/>
    <n v="6"/>
    <n v="13"/>
    <n v="5"/>
    <n v="4"/>
    <n v="9"/>
    <n v="9"/>
    <n v="5"/>
    <n v="13"/>
    <n v="8"/>
    <n v="7"/>
    <n v="6"/>
    <n v="8"/>
    <n v="5"/>
    <n v="8"/>
    <n v="16"/>
    <n v="8"/>
    <n v="5"/>
  </r>
  <r>
    <x v="63"/>
    <n v="12"/>
    <n v="12"/>
    <n v="8"/>
    <n v="19"/>
    <n v="10"/>
    <n v="9"/>
    <n v="11"/>
    <n v="10"/>
    <n v="7"/>
    <n v="10"/>
    <n v="24"/>
    <n v="10"/>
    <n v="7"/>
    <n v="13"/>
    <n v="13"/>
    <n v="8"/>
    <n v="20"/>
    <n v="12"/>
    <n v="10"/>
    <n v="9"/>
    <n v="12"/>
    <n v="7"/>
    <n v="12"/>
    <n v="24"/>
    <n v="12"/>
    <n v="7"/>
  </r>
  <r>
    <x v="64"/>
    <n v="15"/>
    <n v="15"/>
    <n v="10"/>
    <n v="24"/>
    <n v="13"/>
    <n v="11"/>
    <n v="13"/>
    <n v="12"/>
    <n v="9"/>
    <n v="13"/>
    <n v="30"/>
    <n v="12"/>
    <n v="8"/>
    <n v="17"/>
    <n v="18"/>
    <n v="10"/>
    <n v="26"/>
    <n v="15"/>
    <n v="14"/>
    <n v="12"/>
    <n v="16"/>
    <n v="9"/>
    <n v="16"/>
    <n v="31"/>
    <n v="16"/>
    <n v="10"/>
  </r>
  <r>
    <x v="65"/>
    <n v="13"/>
    <n v="13"/>
    <n v="8"/>
    <n v="20"/>
    <n v="11"/>
    <n v="10"/>
    <n v="11"/>
    <n v="10"/>
    <n v="8"/>
    <n v="11"/>
    <n v="26"/>
    <n v="10"/>
    <n v="7"/>
    <n v="13"/>
    <n v="14"/>
    <n v="8"/>
    <n v="20"/>
    <n v="12"/>
    <n v="11"/>
    <n v="9"/>
    <n v="12"/>
    <n v="7"/>
    <n v="12"/>
    <n v="24"/>
    <n v="12"/>
    <n v="7"/>
  </r>
  <r>
    <x v="66"/>
    <n v="11"/>
    <n v="11"/>
    <n v="7"/>
    <n v="18"/>
    <n v="10"/>
    <n v="8"/>
    <n v="10"/>
    <n v="9"/>
    <n v="7"/>
    <n v="10"/>
    <n v="22"/>
    <n v="9"/>
    <n v="6"/>
    <n v="12"/>
    <n v="13"/>
    <n v="7"/>
    <n v="18"/>
    <n v="11"/>
    <n v="10"/>
    <n v="8"/>
    <n v="11"/>
    <n v="7"/>
    <n v="11"/>
    <n v="22"/>
    <n v="11"/>
    <n v="7"/>
  </r>
  <r>
    <x v="67"/>
    <n v="12"/>
    <n v="12"/>
    <n v="8"/>
    <n v="19"/>
    <n v="10"/>
    <n v="9"/>
    <n v="11"/>
    <n v="10"/>
    <n v="7"/>
    <n v="10"/>
    <n v="24"/>
    <n v="10"/>
    <n v="7"/>
    <n v="13"/>
    <n v="13"/>
    <n v="8"/>
    <n v="20"/>
    <n v="12"/>
    <n v="10"/>
    <n v="9"/>
    <n v="12"/>
    <n v="7"/>
    <n v="12"/>
    <n v="24"/>
    <n v="12"/>
    <n v="7"/>
  </r>
  <r>
    <x v="68"/>
    <n v="12"/>
    <n v="12"/>
    <n v="8"/>
    <n v="19"/>
    <n v="10"/>
    <n v="9"/>
    <n v="11"/>
    <n v="10"/>
    <n v="7"/>
    <n v="10"/>
    <n v="24"/>
    <n v="10"/>
    <n v="7"/>
    <n v="13"/>
    <n v="13"/>
    <n v="8"/>
    <n v="20"/>
    <n v="12"/>
    <n v="10"/>
    <n v="9"/>
    <n v="12"/>
    <n v="7"/>
    <n v="12"/>
    <n v="24"/>
    <n v="12"/>
    <n v="7"/>
  </r>
  <r>
    <x v="69"/>
    <n v="12"/>
    <n v="12"/>
    <n v="8"/>
    <n v="19"/>
    <n v="10"/>
    <n v="9"/>
    <n v="11"/>
    <n v="10"/>
    <n v="7"/>
    <n v="10"/>
    <n v="24"/>
    <n v="10"/>
    <n v="7"/>
    <n v="13"/>
    <n v="13"/>
    <n v="8"/>
    <n v="20"/>
    <n v="12"/>
    <n v="10"/>
    <n v="9"/>
    <n v="12"/>
    <n v="7"/>
    <n v="12"/>
    <n v="24"/>
    <n v="12"/>
    <n v="7"/>
  </r>
  <r>
    <x v="70"/>
    <n v="12"/>
    <n v="12"/>
    <n v="8"/>
    <n v="19"/>
    <n v="10"/>
    <n v="9"/>
    <n v="11"/>
    <n v="10"/>
    <n v="7"/>
    <n v="10"/>
    <n v="24"/>
    <n v="10"/>
    <n v="7"/>
    <n v="13"/>
    <n v="13"/>
    <n v="8"/>
    <n v="20"/>
    <n v="12"/>
    <n v="10"/>
    <n v="9"/>
    <n v="12"/>
    <n v="7"/>
    <n v="12"/>
    <n v="24"/>
    <n v="12"/>
    <n v="7"/>
  </r>
  <r>
    <x v="71"/>
    <n v="24"/>
    <n v="25"/>
    <n v="16"/>
    <n v="39"/>
    <n v="21"/>
    <n v="18"/>
    <n v="21"/>
    <n v="19"/>
    <n v="14"/>
    <n v="21"/>
    <n v="50"/>
    <n v="20"/>
    <n v="13"/>
    <n v="28"/>
    <n v="30"/>
    <n v="17"/>
    <n v="43"/>
    <n v="25"/>
    <n v="23"/>
    <n v="19"/>
    <n v="26"/>
    <n v="15"/>
    <n v="27"/>
    <n v="52"/>
    <n v="26"/>
    <n v="16"/>
  </r>
  <r>
    <x v="72"/>
    <n v="14"/>
    <n v="14"/>
    <n v="9"/>
    <n v="22"/>
    <n v="12"/>
    <n v="10"/>
    <n v="12"/>
    <n v="11"/>
    <n v="8"/>
    <n v="12"/>
    <n v="28"/>
    <n v="11"/>
    <n v="8"/>
    <n v="13"/>
    <n v="13"/>
    <n v="8"/>
    <n v="19"/>
    <n v="12"/>
    <n v="10"/>
    <n v="9"/>
    <n v="12"/>
    <n v="7"/>
    <n v="12"/>
    <n v="23"/>
    <n v="12"/>
    <n v="7"/>
  </r>
  <r>
    <x v="73"/>
    <n v="20"/>
    <n v="20"/>
    <n v="13"/>
    <n v="31"/>
    <n v="17"/>
    <n v="15"/>
    <n v="17"/>
    <n v="16"/>
    <n v="12"/>
    <n v="17"/>
    <n v="40"/>
    <n v="16"/>
    <n v="11"/>
    <n v="20"/>
    <n v="20"/>
    <n v="12"/>
    <n v="30"/>
    <n v="18"/>
    <n v="16"/>
    <n v="13"/>
    <n v="18"/>
    <n v="11"/>
    <n v="19"/>
    <n v="36"/>
    <n v="18"/>
    <n v="11"/>
  </r>
  <r>
    <x v="74"/>
    <n v="13"/>
    <n v="13"/>
    <n v="8"/>
    <n v="20"/>
    <n v="11"/>
    <n v="10"/>
    <n v="11"/>
    <n v="10"/>
    <n v="8"/>
    <n v="11"/>
    <n v="26"/>
    <n v="10"/>
    <n v="7"/>
    <n v="16"/>
    <n v="17"/>
    <n v="10"/>
    <n v="24"/>
    <n v="14"/>
    <n v="13"/>
    <n v="11"/>
    <n v="14"/>
    <n v="9"/>
    <n v="15"/>
    <n v="29"/>
    <n v="14"/>
    <n v="9"/>
  </r>
  <r>
    <x v="75"/>
    <n v="11"/>
    <n v="11"/>
    <n v="7"/>
    <n v="18"/>
    <n v="10"/>
    <n v="8"/>
    <n v="10"/>
    <n v="9"/>
    <n v="7"/>
    <n v="10"/>
    <n v="22"/>
    <n v="9"/>
    <n v="6"/>
    <n v="12"/>
    <n v="12"/>
    <n v="7"/>
    <n v="18"/>
    <n v="11"/>
    <n v="9"/>
    <n v="8"/>
    <n v="11"/>
    <n v="7"/>
    <n v="11"/>
    <n v="21"/>
    <n v="11"/>
    <n v="7"/>
  </r>
  <r>
    <x v="76"/>
    <n v="16"/>
    <n v="16"/>
    <n v="10"/>
    <n v="26"/>
    <n v="14"/>
    <n v="12"/>
    <n v="14"/>
    <n v="13"/>
    <n v="10"/>
    <n v="14"/>
    <n v="33"/>
    <n v="13"/>
    <n v="9"/>
    <n v="18"/>
    <n v="19"/>
    <n v="11"/>
    <n v="28"/>
    <n v="17"/>
    <n v="15"/>
    <n v="12"/>
    <n v="17"/>
    <n v="10"/>
    <n v="17"/>
    <n v="34"/>
    <n v="17"/>
    <n v="10"/>
  </r>
  <r>
    <x v="77"/>
    <n v="14"/>
    <n v="14"/>
    <n v="9"/>
    <n v="22"/>
    <n v="12"/>
    <n v="10"/>
    <n v="12"/>
    <n v="11"/>
    <n v="8"/>
    <n v="12"/>
    <n v="28"/>
    <n v="11"/>
    <n v="8"/>
    <n v="14"/>
    <n v="15"/>
    <n v="8"/>
    <n v="21"/>
    <n v="13"/>
    <n v="11"/>
    <n v="10"/>
    <n v="13"/>
    <n v="8"/>
    <n v="13"/>
    <n v="26"/>
    <n v="13"/>
    <n v="8"/>
  </r>
  <r>
    <x v="78"/>
    <n v="12"/>
    <n v="12"/>
    <n v="8"/>
    <n v="19"/>
    <n v="10"/>
    <n v="9"/>
    <n v="10"/>
    <n v="10"/>
    <n v="7"/>
    <n v="10"/>
    <n v="24"/>
    <n v="10"/>
    <n v="7"/>
    <n v="13"/>
    <n v="14"/>
    <n v="8"/>
    <n v="20"/>
    <n v="12"/>
    <n v="11"/>
    <n v="9"/>
    <n v="12"/>
    <n v="7"/>
    <n v="12"/>
    <n v="24"/>
    <n v="12"/>
    <n v="7"/>
  </r>
  <r>
    <x v="79"/>
    <n v="13"/>
    <n v="13"/>
    <n v="8"/>
    <n v="20"/>
    <n v="11"/>
    <n v="10"/>
    <n v="11"/>
    <n v="10"/>
    <n v="8"/>
    <n v="11"/>
    <n v="26"/>
    <n v="10"/>
    <n v="7"/>
    <n v="14"/>
    <n v="14"/>
    <n v="8"/>
    <n v="21"/>
    <n v="12"/>
    <n v="11"/>
    <n v="9"/>
    <n v="13"/>
    <n v="8"/>
    <n v="13"/>
    <n v="25"/>
    <n v="13"/>
    <n v="8"/>
  </r>
  <r>
    <x v="80"/>
    <n v="13"/>
    <n v="13"/>
    <n v="8"/>
    <n v="20"/>
    <n v="11"/>
    <n v="10"/>
    <n v="11"/>
    <n v="10"/>
    <n v="8"/>
    <n v="11"/>
    <n v="26"/>
    <n v="10"/>
    <n v="7"/>
    <n v="14"/>
    <n v="14"/>
    <n v="8"/>
    <n v="21"/>
    <n v="12"/>
    <n v="11"/>
    <n v="9"/>
    <n v="13"/>
    <n v="8"/>
    <n v="13"/>
    <n v="25"/>
    <n v="13"/>
    <n v="8"/>
  </r>
  <r>
    <x v="81"/>
    <n v="13"/>
    <n v="13"/>
    <n v="8"/>
    <n v="20"/>
    <n v="11"/>
    <n v="10"/>
    <n v="11"/>
    <n v="10"/>
    <n v="8"/>
    <n v="11"/>
    <n v="26"/>
    <n v="10"/>
    <n v="7"/>
    <n v="14"/>
    <n v="14"/>
    <n v="8"/>
    <n v="21"/>
    <n v="12"/>
    <n v="11"/>
    <n v="9"/>
    <n v="13"/>
    <n v="8"/>
    <n v="13"/>
    <n v="25"/>
    <n v="13"/>
    <n v="8"/>
  </r>
  <r>
    <x v="82"/>
    <n v="13"/>
    <n v="13"/>
    <n v="8"/>
    <n v="20"/>
    <n v="11"/>
    <n v="10"/>
    <n v="11"/>
    <n v="10"/>
    <n v="8"/>
    <n v="11"/>
    <n v="26"/>
    <n v="10"/>
    <n v="7"/>
    <n v="14"/>
    <n v="14"/>
    <n v="8"/>
    <n v="21"/>
    <n v="12"/>
    <n v="11"/>
    <n v="9"/>
    <n v="13"/>
    <n v="8"/>
    <n v="13"/>
    <n v="25"/>
    <n v="13"/>
    <n v="8"/>
  </r>
  <r>
    <x v="83"/>
    <n v="26"/>
    <n v="26"/>
    <n v="17"/>
    <n v="42"/>
    <n v="22"/>
    <n v="19"/>
    <n v="23"/>
    <n v="21"/>
    <n v="15"/>
    <n v="22"/>
    <n v="53"/>
    <n v="21"/>
    <n v="14"/>
    <n v="30"/>
    <n v="32"/>
    <n v="18"/>
    <n v="46"/>
    <n v="27"/>
    <n v="24"/>
    <n v="20"/>
    <n v="27"/>
    <n v="17"/>
    <n v="29"/>
    <n v="56"/>
    <n v="28"/>
    <n v="17"/>
  </r>
  <r>
    <x v="84"/>
    <n v="9"/>
    <n v="9"/>
    <n v="6"/>
    <n v="13"/>
    <n v="7"/>
    <n v="7"/>
    <n v="8"/>
    <n v="7"/>
    <n v="5"/>
    <n v="7"/>
    <n v="17"/>
    <n v="7"/>
    <n v="5"/>
    <n v="9"/>
    <n v="9"/>
    <n v="5"/>
    <n v="13"/>
    <n v="8"/>
    <n v="7"/>
    <n v="6"/>
    <n v="8"/>
    <n v="5"/>
    <n v="8"/>
    <n v="16"/>
    <n v="8"/>
    <n v="5"/>
  </r>
  <r>
    <x v="85"/>
    <n v="28"/>
    <n v="28"/>
    <n v="18"/>
    <n v="45"/>
    <n v="24"/>
    <n v="21"/>
    <n v="24"/>
    <n v="22"/>
    <n v="17"/>
    <n v="24"/>
    <n v="57"/>
    <n v="22"/>
    <n v="15"/>
    <n v="26"/>
    <n v="27"/>
    <n v="15"/>
    <n v="39"/>
    <n v="23"/>
    <n v="21"/>
    <n v="17"/>
    <n v="23"/>
    <n v="14"/>
    <n v="24"/>
    <n v="47"/>
    <n v="23"/>
    <n v="14"/>
  </r>
  <r>
    <x v="86"/>
    <n v="12"/>
    <n v="12"/>
    <n v="8"/>
    <n v="18"/>
    <n v="10"/>
    <n v="9"/>
    <n v="10"/>
    <n v="9"/>
    <n v="7"/>
    <n v="10"/>
    <n v="23"/>
    <n v="9"/>
    <n v="6"/>
    <n v="16"/>
    <n v="16"/>
    <n v="9"/>
    <n v="24"/>
    <n v="14"/>
    <n v="13"/>
    <n v="11"/>
    <n v="14"/>
    <n v="9"/>
    <n v="15"/>
    <n v="29"/>
    <n v="14"/>
    <n v="9"/>
  </r>
  <r>
    <x v="87"/>
    <n v="12"/>
    <n v="12"/>
    <n v="8"/>
    <n v="19"/>
    <n v="10"/>
    <n v="9"/>
    <n v="10"/>
    <n v="10"/>
    <n v="7"/>
    <n v="10"/>
    <n v="24"/>
    <n v="10"/>
    <n v="7"/>
    <n v="12"/>
    <n v="13"/>
    <n v="8"/>
    <n v="19"/>
    <n v="11"/>
    <n v="10"/>
    <n v="9"/>
    <n v="11"/>
    <n v="7"/>
    <n v="12"/>
    <n v="23"/>
    <n v="11"/>
    <n v="7"/>
  </r>
  <r>
    <x v="88"/>
    <n v="17"/>
    <n v="17"/>
    <n v="11"/>
    <n v="27"/>
    <n v="15"/>
    <n v="13"/>
    <n v="15"/>
    <n v="14"/>
    <n v="10"/>
    <n v="14"/>
    <n v="35"/>
    <n v="14"/>
    <n v="9"/>
    <n v="20"/>
    <n v="20"/>
    <n v="12"/>
    <n v="30"/>
    <n v="18"/>
    <n v="16"/>
    <n v="13"/>
    <n v="18"/>
    <n v="11"/>
    <n v="19"/>
    <n v="36"/>
    <n v="18"/>
    <n v="11"/>
  </r>
  <r>
    <x v="89"/>
    <n v="15"/>
    <n v="15"/>
    <n v="9"/>
    <n v="23"/>
    <n v="12"/>
    <n v="11"/>
    <n v="13"/>
    <n v="12"/>
    <n v="9"/>
    <n v="12"/>
    <n v="29"/>
    <n v="12"/>
    <n v="8"/>
    <n v="15"/>
    <n v="16"/>
    <n v="9"/>
    <n v="23"/>
    <n v="14"/>
    <n v="12"/>
    <n v="10"/>
    <n v="14"/>
    <n v="8"/>
    <n v="14"/>
    <n v="27"/>
    <n v="14"/>
    <n v="8"/>
  </r>
  <r>
    <x v="90"/>
    <n v="13"/>
    <n v="13"/>
    <n v="8"/>
    <n v="20"/>
    <n v="11"/>
    <n v="10"/>
    <n v="11"/>
    <n v="10"/>
    <n v="8"/>
    <n v="11"/>
    <n v="26"/>
    <n v="10"/>
    <n v="7"/>
    <n v="14"/>
    <n v="14"/>
    <n v="8"/>
    <n v="21"/>
    <n v="12"/>
    <n v="11"/>
    <n v="9"/>
    <n v="13"/>
    <n v="8"/>
    <n v="13"/>
    <n v="25"/>
    <n v="13"/>
    <n v="8"/>
  </r>
  <r>
    <x v="91"/>
    <n v="14"/>
    <n v="14"/>
    <n v="9"/>
    <n v="22"/>
    <n v="12"/>
    <n v="10"/>
    <n v="12"/>
    <n v="11"/>
    <n v="8"/>
    <n v="12"/>
    <n v="28"/>
    <n v="11"/>
    <n v="8"/>
    <n v="15"/>
    <n v="15"/>
    <n v="9"/>
    <n v="22"/>
    <n v="13"/>
    <n v="12"/>
    <n v="10"/>
    <n v="13"/>
    <n v="8"/>
    <n v="14"/>
    <n v="27"/>
    <n v="13"/>
    <n v="8"/>
  </r>
  <r>
    <x v="92"/>
    <n v="14"/>
    <n v="14"/>
    <n v="9"/>
    <n v="22"/>
    <n v="12"/>
    <n v="10"/>
    <n v="12"/>
    <n v="11"/>
    <n v="8"/>
    <n v="12"/>
    <n v="28"/>
    <n v="11"/>
    <n v="8"/>
    <n v="15"/>
    <n v="15"/>
    <n v="9"/>
    <n v="22"/>
    <n v="13"/>
    <n v="12"/>
    <n v="10"/>
    <n v="13"/>
    <n v="8"/>
    <n v="14"/>
    <n v="27"/>
    <n v="13"/>
    <n v="8"/>
  </r>
  <r>
    <x v="93"/>
    <n v="14"/>
    <n v="14"/>
    <n v="9"/>
    <n v="22"/>
    <n v="12"/>
    <n v="10"/>
    <n v="12"/>
    <n v="11"/>
    <n v="8"/>
    <n v="12"/>
    <n v="28"/>
    <n v="11"/>
    <n v="8"/>
    <n v="15"/>
    <n v="15"/>
    <n v="9"/>
    <n v="22"/>
    <n v="13"/>
    <n v="12"/>
    <n v="10"/>
    <n v="13"/>
    <n v="8"/>
    <n v="14"/>
    <n v="27"/>
    <n v="13"/>
    <n v="8"/>
  </r>
  <r>
    <x v="94"/>
    <n v="14"/>
    <n v="14"/>
    <n v="9"/>
    <n v="22"/>
    <n v="12"/>
    <n v="10"/>
    <n v="12"/>
    <n v="11"/>
    <n v="8"/>
    <n v="12"/>
    <n v="28"/>
    <n v="11"/>
    <n v="8"/>
    <n v="15"/>
    <n v="15"/>
    <n v="9"/>
    <n v="22"/>
    <n v="13"/>
    <n v="12"/>
    <n v="10"/>
    <n v="13"/>
    <n v="8"/>
    <n v="14"/>
    <n v="27"/>
    <n v="13"/>
    <n v="8"/>
  </r>
  <r>
    <x v="95"/>
    <n v="28"/>
    <n v="28"/>
    <n v="18"/>
    <n v="44"/>
    <n v="24"/>
    <n v="21"/>
    <n v="24"/>
    <n v="22"/>
    <n v="16"/>
    <n v="23"/>
    <n v="57"/>
    <n v="22"/>
    <n v="15"/>
    <n v="32"/>
    <n v="34"/>
    <n v="19"/>
    <n v="49"/>
    <n v="29"/>
    <n v="26"/>
    <n v="22"/>
    <n v="29"/>
    <n v="18"/>
    <n v="31"/>
    <n v="60"/>
    <n v="29"/>
    <n v="18"/>
  </r>
  <r>
    <x v="96"/>
    <n v="9"/>
    <n v="9"/>
    <n v="6"/>
    <n v="14"/>
    <n v="8"/>
    <n v="7"/>
    <n v="8"/>
    <n v="7"/>
    <n v="5"/>
    <n v="8"/>
    <n v="18"/>
    <n v="7"/>
    <n v="5"/>
    <n v="9"/>
    <n v="9"/>
    <n v="6"/>
    <n v="14"/>
    <n v="8"/>
    <n v="7"/>
    <n v="6"/>
    <n v="8"/>
    <n v="5"/>
    <n v="9"/>
    <n v="16"/>
    <n v="8"/>
    <n v="5"/>
  </r>
  <r>
    <x v="97"/>
    <n v="30"/>
    <n v="30"/>
    <n v="19"/>
    <n v="47"/>
    <n v="25"/>
    <n v="22"/>
    <n v="26"/>
    <n v="23"/>
    <n v="18"/>
    <n v="25"/>
    <n v="60"/>
    <n v="24"/>
    <n v="16"/>
    <n v="27"/>
    <n v="29"/>
    <n v="16"/>
    <n v="42"/>
    <n v="25"/>
    <n v="22"/>
    <n v="19"/>
    <n v="25"/>
    <n v="15"/>
    <n v="26"/>
    <n v="51"/>
    <n v="25"/>
    <n v="15"/>
  </r>
  <r>
    <x v="98"/>
    <n v="12"/>
    <n v="12"/>
    <n v="8"/>
    <n v="20"/>
    <n v="11"/>
    <n v="9"/>
    <n v="11"/>
    <n v="10"/>
    <n v="7"/>
    <n v="10"/>
    <n v="25"/>
    <n v="10"/>
    <n v="7"/>
    <n v="17"/>
    <n v="18"/>
    <n v="10"/>
    <n v="25"/>
    <n v="15"/>
    <n v="14"/>
    <n v="11"/>
    <n v="15"/>
    <n v="9"/>
    <n v="16"/>
    <n v="31"/>
    <n v="15"/>
    <n v="9"/>
  </r>
  <r>
    <x v="99"/>
    <n v="13"/>
    <n v="13"/>
    <n v="8"/>
    <n v="20"/>
    <n v="11"/>
    <n v="9"/>
    <n v="11"/>
    <n v="10"/>
    <n v="8"/>
    <n v="11"/>
    <n v="25"/>
    <n v="10"/>
    <n v="7"/>
    <n v="13"/>
    <n v="14"/>
    <n v="8"/>
    <n v="20"/>
    <n v="12"/>
    <n v="11"/>
    <n v="9"/>
    <n v="12"/>
    <n v="7"/>
    <n v="13"/>
    <n v="24"/>
    <n v="12"/>
    <n v="7"/>
  </r>
  <r>
    <x v="100"/>
    <n v="18"/>
    <n v="18"/>
    <n v="12"/>
    <n v="29"/>
    <n v="15"/>
    <n v="14"/>
    <n v="16"/>
    <n v="14"/>
    <n v="11"/>
    <n v="15"/>
    <n v="37"/>
    <n v="15"/>
    <n v="10"/>
    <n v="21"/>
    <n v="22"/>
    <n v="12"/>
    <n v="32"/>
    <n v="19"/>
    <n v="17"/>
    <n v="14"/>
    <n v="19"/>
    <n v="11"/>
    <n v="20"/>
    <n v="38"/>
    <n v="19"/>
    <n v="12"/>
  </r>
  <r>
    <x v="101"/>
    <n v="15"/>
    <n v="15"/>
    <n v="10"/>
    <n v="24"/>
    <n v="13"/>
    <n v="12"/>
    <n v="13"/>
    <n v="12"/>
    <n v="9"/>
    <n v="13"/>
    <n v="31"/>
    <n v="12"/>
    <n v="8"/>
    <n v="16"/>
    <n v="17"/>
    <n v="10"/>
    <n v="24"/>
    <n v="14"/>
    <n v="13"/>
    <n v="11"/>
    <n v="14"/>
    <n v="9"/>
    <n v="15"/>
    <n v="29"/>
    <n v="14"/>
    <n v="9"/>
  </r>
  <r>
    <x v="102"/>
    <n v="14"/>
    <n v="14"/>
    <n v="9"/>
    <n v="21"/>
    <n v="11"/>
    <n v="10"/>
    <n v="12"/>
    <n v="11"/>
    <n v="8"/>
    <n v="11"/>
    <n v="27"/>
    <n v="11"/>
    <n v="7"/>
    <n v="15"/>
    <n v="15"/>
    <n v="9"/>
    <n v="22"/>
    <n v="13"/>
    <n v="12"/>
    <n v="10"/>
    <n v="13"/>
    <n v="8"/>
    <n v="14"/>
    <n v="27"/>
    <n v="13"/>
    <n v="8"/>
  </r>
  <r>
    <x v="103"/>
    <n v="15"/>
    <n v="15"/>
    <n v="9"/>
    <n v="23"/>
    <n v="12"/>
    <n v="11"/>
    <n v="13"/>
    <n v="12"/>
    <n v="9"/>
    <n v="12"/>
    <n v="29"/>
    <n v="12"/>
    <n v="8"/>
    <n v="16"/>
    <n v="16"/>
    <n v="9"/>
    <n v="24"/>
    <n v="14"/>
    <n v="13"/>
    <n v="11"/>
    <n v="14"/>
    <n v="9"/>
    <n v="15"/>
    <n v="29"/>
    <n v="14"/>
    <n v="9"/>
  </r>
  <r>
    <x v="104"/>
    <n v="15"/>
    <n v="15"/>
    <n v="9"/>
    <n v="23"/>
    <n v="12"/>
    <n v="11"/>
    <n v="13"/>
    <n v="12"/>
    <n v="9"/>
    <n v="12"/>
    <n v="29"/>
    <n v="12"/>
    <n v="8"/>
    <n v="16"/>
    <n v="16"/>
    <n v="9"/>
    <n v="24"/>
    <n v="14"/>
    <n v="13"/>
    <n v="11"/>
    <n v="14"/>
    <n v="9"/>
    <n v="15"/>
    <n v="29"/>
    <n v="14"/>
    <n v="9"/>
  </r>
  <r>
    <x v="105"/>
    <n v="15"/>
    <n v="15"/>
    <n v="9"/>
    <n v="23"/>
    <n v="12"/>
    <n v="11"/>
    <n v="13"/>
    <n v="12"/>
    <n v="9"/>
    <n v="12"/>
    <n v="29"/>
    <n v="12"/>
    <n v="8"/>
    <n v="16"/>
    <n v="16"/>
    <n v="9"/>
    <n v="24"/>
    <n v="14"/>
    <n v="13"/>
    <n v="11"/>
    <n v="14"/>
    <n v="9"/>
    <n v="15"/>
    <n v="29"/>
    <n v="14"/>
    <n v="9"/>
  </r>
  <r>
    <x v="106"/>
    <n v="15"/>
    <n v="15"/>
    <n v="9"/>
    <n v="23"/>
    <n v="12"/>
    <n v="11"/>
    <n v="13"/>
    <n v="12"/>
    <n v="9"/>
    <n v="12"/>
    <n v="29"/>
    <n v="12"/>
    <n v="8"/>
    <n v="16"/>
    <n v="16"/>
    <n v="9"/>
    <n v="24"/>
    <n v="14"/>
    <n v="13"/>
    <n v="11"/>
    <n v="14"/>
    <n v="9"/>
    <n v="15"/>
    <n v="29"/>
    <n v="14"/>
    <n v="9"/>
  </r>
  <r>
    <x v="107"/>
    <n v="30"/>
    <n v="30"/>
    <n v="19"/>
    <n v="47"/>
    <n v="25"/>
    <n v="22"/>
    <n v="26"/>
    <n v="23"/>
    <n v="17"/>
    <n v="25"/>
    <n v="60"/>
    <n v="24"/>
    <n v="16"/>
    <n v="35"/>
    <n v="36"/>
    <n v="21"/>
    <n v="53"/>
    <n v="31"/>
    <n v="28"/>
    <n v="23"/>
    <n v="31"/>
    <n v="19"/>
    <n v="33"/>
    <n v="64"/>
    <n v="31"/>
    <n v="19"/>
  </r>
  <r>
    <x v="108"/>
    <n v="16"/>
    <n v="17"/>
    <n v="11"/>
    <n v="26"/>
    <n v="14"/>
    <n v="12"/>
    <n v="14"/>
    <n v="13"/>
    <n v="10"/>
    <n v="14"/>
    <n v="33"/>
    <n v="13"/>
    <n v="9"/>
    <n v="15"/>
    <n v="16"/>
    <n v="9"/>
    <n v="23"/>
    <n v="14"/>
    <n v="12"/>
    <n v="10"/>
    <n v="14"/>
    <n v="8"/>
    <n v="14"/>
    <n v="28"/>
    <n v="14"/>
    <n v="9"/>
  </r>
  <r>
    <x v="109"/>
    <n v="26"/>
    <n v="26"/>
    <n v="17"/>
    <n v="41"/>
    <n v="22"/>
    <n v="19"/>
    <n v="23"/>
    <n v="21"/>
    <n v="15"/>
    <n v="22"/>
    <n v="53"/>
    <n v="21"/>
    <n v="14"/>
    <n v="27"/>
    <n v="29"/>
    <n v="16"/>
    <n v="42"/>
    <n v="25"/>
    <n v="22"/>
    <n v="18"/>
    <n v="25"/>
    <n v="15"/>
    <n v="26"/>
    <n v="50"/>
    <n v="25"/>
    <n v="15"/>
  </r>
  <r>
    <x v="110"/>
    <n v="9"/>
    <n v="9"/>
    <n v="6"/>
    <n v="15"/>
    <n v="8"/>
    <n v="7"/>
    <n v="8"/>
    <n v="8"/>
    <n v="6"/>
    <n v="8"/>
    <n v="19"/>
    <n v="8"/>
    <n v="5"/>
    <n v="11"/>
    <n v="12"/>
    <n v="7"/>
    <n v="17"/>
    <n v="10"/>
    <n v="9"/>
    <n v="8"/>
    <n v="10"/>
    <n v="6"/>
    <n v="11"/>
    <n v="20"/>
    <n v="10"/>
    <n v="6"/>
  </r>
  <r>
    <x v="111"/>
    <n v="15"/>
    <n v="15"/>
    <n v="10"/>
    <n v="24"/>
    <n v="13"/>
    <n v="12"/>
    <n v="13"/>
    <n v="12"/>
    <n v="9"/>
    <n v="13"/>
    <n v="31"/>
    <n v="12"/>
    <n v="8"/>
    <n v="17"/>
    <n v="17"/>
    <n v="10"/>
    <n v="25"/>
    <n v="15"/>
    <n v="13"/>
    <n v="11"/>
    <n v="15"/>
    <n v="9"/>
    <n v="16"/>
    <n v="31"/>
    <n v="15"/>
    <n v="9"/>
  </r>
  <r>
    <x v="112"/>
    <n v="19"/>
    <n v="19"/>
    <n v="12"/>
    <n v="30"/>
    <n v="16"/>
    <n v="14"/>
    <n v="17"/>
    <n v="15"/>
    <n v="11"/>
    <n v="16"/>
    <n v="39"/>
    <n v="15"/>
    <n v="10"/>
    <n v="22"/>
    <n v="23"/>
    <n v="13"/>
    <n v="34"/>
    <n v="20"/>
    <n v="18"/>
    <n v="15"/>
    <n v="20"/>
    <n v="12"/>
    <n v="21"/>
    <n v="41"/>
    <n v="20"/>
    <n v="12"/>
  </r>
  <r>
    <x v="113"/>
    <n v="16"/>
    <n v="16"/>
    <n v="10"/>
    <n v="26"/>
    <n v="14"/>
    <n v="12"/>
    <n v="14"/>
    <n v="13"/>
    <n v="10"/>
    <n v="14"/>
    <n v="33"/>
    <n v="13"/>
    <n v="9"/>
    <n v="17"/>
    <n v="18"/>
    <n v="10"/>
    <n v="26"/>
    <n v="15"/>
    <n v="14"/>
    <n v="11"/>
    <n v="15"/>
    <n v="9"/>
    <n v="16"/>
    <n v="31"/>
    <n v="15"/>
    <n v="9"/>
  </r>
  <r>
    <x v="114"/>
    <n v="14"/>
    <n v="14"/>
    <n v="9"/>
    <n v="23"/>
    <n v="12"/>
    <n v="11"/>
    <n v="12"/>
    <n v="11"/>
    <n v="9"/>
    <n v="12"/>
    <n v="29"/>
    <n v="11"/>
    <n v="8"/>
    <n v="16"/>
    <n v="16"/>
    <n v="9"/>
    <n v="24"/>
    <n v="14"/>
    <n v="13"/>
    <n v="11"/>
    <n v="14"/>
    <n v="9"/>
    <n v="15"/>
    <n v="29"/>
    <n v="14"/>
    <n v="9"/>
  </r>
  <r>
    <x v="115"/>
    <n v="15"/>
    <n v="15"/>
    <n v="10"/>
    <n v="24"/>
    <n v="13"/>
    <n v="12"/>
    <n v="13"/>
    <n v="12"/>
    <n v="9"/>
    <n v="13"/>
    <n v="31"/>
    <n v="12"/>
    <n v="8"/>
    <n v="17"/>
    <n v="17"/>
    <n v="10"/>
    <n v="25"/>
    <n v="15"/>
    <n v="13"/>
    <n v="11"/>
    <n v="15"/>
    <n v="9"/>
    <n v="16"/>
    <n v="31"/>
    <n v="15"/>
    <n v="9"/>
  </r>
  <r>
    <x v="116"/>
    <n v="15"/>
    <n v="15"/>
    <n v="10"/>
    <n v="24"/>
    <n v="13"/>
    <n v="12"/>
    <n v="13"/>
    <n v="12"/>
    <n v="9"/>
    <n v="13"/>
    <n v="31"/>
    <n v="12"/>
    <n v="8"/>
    <n v="17"/>
    <n v="17"/>
    <n v="10"/>
    <n v="25"/>
    <n v="15"/>
    <n v="13"/>
    <n v="11"/>
    <n v="15"/>
    <n v="9"/>
    <n v="16"/>
    <n v="31"/>
    <n v="15"/>
    <n v="9"/>
  </r>
  <r>
    <x v="117"/>
    <n v="15"/>
    <n v="15"/>
    <n v="10"/>
    <n v="24"/>
    <n v="13"/>
    <n v="12"/>
    <n v="13"/>
    <n v="12"/>
    <n v="9"/>
    <n v="13"/>
    <n v="31"/>
    <n v="12"/>
    <n v="8"/>
    <n v="17"/>
    <n v="17"/>
    <n v="10"/>
    <n v="25"/>
    <n v="15"/>
    <n v="13"/>
    <n v="11"/>
    <n v="15"/>
    <n v="9"/>
    <n v="16"/>
    <n v="31"/>
    <n v="15"/>
    <n v="9"/>
  </r>
  <r>
    <x v="118"/>
    <n v="15"/>
    <n v="15"/>
    <n v="10"/>
    <n v="24"/>
    <n v="13"/>
    <n v="12"/>
    <n v="13"/>
    <n v="12"/>
    <n v="9"/>
    <n v="13"/>
    <n v="31"/>
    <n v="12"/>
    <n v="8"/>
    <n v="17"/>
    <n v="17"/>
    <n v="10"/>
    <n v="25"/>
    <n v="15"/>
    <n v="13"/>
    <n v="11"/>
    <n v="15"/>
    <n v="9"/>
    <n v="16"/>
    <n v="31"/>
    <n v="15"/>
    <n v="9"/>
  </r>
  <r>
    <x v="119"/>
    <n v="31"/>
    <n v="31"/>
    <n v="20"/>
    <n v="50"/>
    <n v="26"/>
    <n v="23"/>
    <n v="27"/>
    <n v="25"/>
    <n v="18"/>
    <n v="26"/>
    <n v="63"/>
    <n v="25"/>
    <n v="17"/>
    <n v="37"/>
    <n v="38"/>
    <n v="22"/>
    <n v="56"/>
    <n v="33"/>
    <n v="30"/>
    <n v="25"/>
    <n v="33"/>
    <n v="20"/>
    <n v="35"/>
    <n v="68"/>
    <n v="33"/>
    <n v="2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x v="0"/>
    <n v="1"/>
    <n v="1"/>
    <n v="1"/>
    <n v="1"/>
    <n v="1"/>
    <n v="1"/>
    <n v="1"/>
    <n v="1"/>
    <n v="1"/>
    <x v="0"/>
    <n v="1"/>
    <n v="1"/>
    <x v="0"/>
  </r>
  <r>
    <x v="1"/>
    <n v="16"/>
    <n v="16"/>
    <n v="10"/>
    <n v="25"/>
    <n v="14"/>
    <n v="12"/>
    <n v="14"/>
    <n v="13"/>
    <n v="10"/>
    <x v="1"/>
    <n v="32"/>
    <n v="13"/>
    <x v="1"/>
  </r>
  <r>
    <x v="2"/>
    <n v="5"/>
    <n v="5"/>
    <n v="3"/>
    <n v="7"/>
    <n v="4"/>
    <n v="3"/>
    <n v="4"/>
    <n v="4"/>
    <n v="3"/>
    <x v="2"/>
    <n v="9"/>
    <n v="4"/>
    <x v="2"/>
  </r>
  <r>
    <x v="3"/>
    <n v="8"/>
    <n v="8"/>
    <n v="5"/>
    <n v="13"/>
    <n v="7"/>
    <n v="6"/>
    <n v="7"/>
    <n v="6"/>
    <n v="5"/>
    <x v="3"/>
    <n v="16"/>
    <n v="6"/>
    <x v="3"/>
  </r>
  <r>
    <x v="4"/>
    <n v="10"/>
    <n v="10"/>
    <n v="6"/>
    <n v="16"/>
    <n v="8"/>
    <n v="7"/>
    <n v="9"/>
    <n v="8"/>
    <n v="6"/>
    <x v="4"/>
    <n v="20"/>
    <n v="8"/>
    <x v="4"/>
  </r>
  <r>
    <x v="5"/>
    <n v="10"/>
    <n v="10"/>
    <n v="6"/>
    <n v="15"/>
    <n v="8"/>
    <n v="7"/>
    <n v="8"/>
    <n v="8"/>
    <n v="6"/>
    <x v="4"/>
    <n v="19"/>
    <n v="8"/>
    <x v="5"/>
  </r>
  <r>
    <x v="6"/>
    <n v="7"/>
    <n v="7"/>
    <n v="5"/>
    <n v="11"/>
    <n v="6"/>
    <n v="5"/>
    <n v="6"/>
    <n v="6"/>
    <n v="4"/>
    <x v="5"/>
    <n v="14"/>
    <n v="6"/>
    <x v="3"/>
  </r>
  <r>
    <x v="7"/>
    <n v="8"/>
    <n v="8"/>
    <n v="5"/>
    <n v="13"/>
    <n v="7"/>
    <n v="6"/>
    <n v="7"/>
    <n v="6"/>
    <n v="5"/>
    <x v="3"/>
    <n v="16"/>
    <n v="6"/>
    <x v="3"/>
  </r>
  <r>
    <x v="8"/>
    <n v="8"/>
    <n v="8"/>
    <n v="5"/>
    <n v="13"/>
    <n v="7"/>
    <n v="6"/>
    <n v="7"/>
    <n v="6"/>
    <n v="5"/>
    <x v="3"/>
    <n v="16"/>
    <n v="6"/>
    <x v="3"/>
  </r>
  <r>
    <x v="9"/>
    <n v="8"/>
    <n v="8"/>
    <n v="5"/>
    <n v="13"/>
    <n v="7"/>
    <n v="6"/>
    <n v="7"/>
    <n v="6"/>
    <n v="5"/>
    <x v="3"/>
    <n v="16"/>
    <n v="6"/>
    <x v="3"/>
  </r>
  <r>
    <x v="10"/>
    <n v="8"/>
    <n v="8"/>
    <n v="5"/>
    <n v="13"/>
    <n v="7"/>
    <n v="6"/>
    <n v="7"/>
    <n v="6"/>
    <n v="5"/>
    <x v="3"/>
    <n v="16"/>
    <n v="6"/>
    <x v="3"/>
  </r>
  <r>
    <x v="11"/>
    <n v="16"/>
    <n v="16"/>
    <n v="10"/>
    <n v="25"/>
    <n v="14"/>
    <n v="12"/>
    <n v="14"/>
    <n v="13"/>
    <n v="10"/>
    <x v="1"/>
    <n v="32"/>
    <n v="13"/>
    <x v="1"/>
  </r>
  <r>
    <x v="12"/>
    <n v="10"/>
    <n v="10"/>
    <n v="6"/>
    <n v="16"/>
    <n v="8"/>
    <n v="7"/>
    <n v="9"/>
    <n v="8"/>
    <n v="6"/>
    <x v="4"/>
    <n v="20"/>
    <n v="8"/>
    <x v="5"/>
  </r>
  <r>
    <x v="13"/>
    <n v="13"/>
    <n v="14"/>
    <n v="9"/>
    <n v="21"/>
    <n v="11"/>
    <n v="10"/>
    <n v="12"/>
    <n v="11"/>
    <n v="8"/>
    <x v="6"/>
    <n v="27"/>
    <n v="11"/>
    <x v="6"/>
  </r>
  <r>
    <x v="14"/>
    <n v="6"/>
    <n v="6"/>
    <n v="4"/>
    <n v="9"/>
    <n v="5"/>
    <n v="5"/>
    <n v="5"/>
    <n v="5"/>
    <n v="4"/>
    <x v="7"/>
    <n v="12"/>
    <n v="5"/>
    <x v="2"/>
  </r>
  <r>
    <x v="15"/>
    <n v="9"/>
    <n v="9"/>
    <n v="6"/>
    <n v="14"/>
    <n v="8"/>
    <n v="7"/>
    <n v="8"/>
    <n v="7"/>
    <n v="5"/>
    <x v="3"/>
    <n v="18"/>
    <n v="7"/>
    <x v="5"/>
  </r>
  <r>
    <x v="16"/>
    <n v="12"/>
    <n v="12"/>
    <n v="8"/>
    <n v="19"/>
    <n v="10"/>
    <n v="9"/>
    <n v="11"/>
    <n v="10"/>
    <n v="7"/>
    <x v="8"/>
    <n v="25"/>
    <n v="10"/>
    <x v="6"/>
  </r>
  <r>
    <x v="17"/>
    <n v="7"/>
    <n v="7"/>
    <n v="5"/>
    <n v="11"/>
    <n v="6"/>
    <n v="6"/>
    <n v="6"/>
    <n v="6"/>
    <n v="4"/>
    <x v="5"/>
    <n v="14"/>
    <n v="6"/>
    <x v="3"/>
  </r>
  <r>
    <x v="18"/>
    <n v="9"/>
    <n v="9"/>
    <n v="6"/>
    <n v="14"/>
    <n v="8"/>
    <n v="7"/>
    <n v="8"/>
    <n v="7"/>
    <n v="5"/>
    <x v="3"/>
    <n v="18"/>
    <n v="7"/>
    <x v="5"/>
  </r>
  <r>
    <x v="19"/>
    <n v="9"/>
    <n v="9"/>
    <n v="6"/>
    <n v="14"/>
    <n v="8"/>
    <n v="7"/>
    <n v="8"/>
    <n v="7"/>
    <n v="5"/>
    <x v="3"/>
    <n v="18"/>
    <n v="7"/>
    <x v="5"/>
  </r>
  <r>
    <x v="20"/>
    <n v="9"/>
    <n v="9"/>
    <n v="6"/>
    <n v="14"/>
    <n v="8"/>
    <n v="7"/>
    <n v="8"/>
    <n v="7"/>
    <n v="5"/>
    <x v="3"/>
    <n v="18"/>
    <n v="7"/>
    <x v="5"/>
  </r>
  <r>
    <x v="21"/>
    <n v="9"/>
    <n v="9"/>
    <n v="6"/>
    <n v="14"/>
    <n v="8"/>
    <n v="7"/>
    <n v="8"/>
    <n v="7"/>
    <n v="5"/>
    <x v="3"/>
    <n v="18"/>
    <n v="7"/>
    <x v="5"/>
  </r>
  <r>
    <x v="22"/>
    <n v="9"/>
    <n v="9"/>
    <n v="6"/>
    <n v="14"/>
    <n v="8"/>
    <n v="7"/>
    <n v="8"/>
    <n v="7"/>
    <n v="5"/>
    <x v="3"/>
    <n v="18"/>
    <n v="7"/>
    <x v="5"/>
  </r>
  <r>
    <x v="23"/>
    <n v="18"/>
    <n v="18"/>
    <n v="11"/>
    <n v="28"/>
    <n v="15"/>
    <n v="13"/>
    <n v="15"/>
    <n v="14"/>
    <n v="11"/>
    <x v="9"/>
    <n v="36"/>
    <n v="14"/>
    <x v="7"/>
  </r>
  <r>
    <x v="24"/>
    <n v="6"/>
    <n v="6"/>
    <n v="4"/>
    <n v="10"/>
    <n v="5"/>
    <n v="5"/>
    <n v="6"/>
    <n v="5"/>
    <n v="4"/>
    <x v="7"/>
    <n v="13"/>
    <n v="5"/>
    <x v="3"/>
  </r>
  <r>
    <x v="25"/>
    <n v="20"/>
    <n v="20"/>
    <n v="13"/>
    <n v="31"/>
    <n v="17"/>
    <n v="15"/>
    <n v="17"/>
    <n v="15"/>
    <n v="12"/>
    <x v="10"/>
    <n v="39"/>
    <n v="16"/>
    <x v="8"/>
  </r>
  <r>
    <x v="26"/>
    <n v="5"/>
    <n v="5"/>
    <n v="4"/>
    <n v="8"/>
    <n v="5"/>
    <n v="4"/>
    <n v="5"/>
    <n v="4"/>
    <n v="3"/>
    <x v="7"/>
    <n v="10"/>
    <n v="4"/>
    <x v="2"/>
  </r>
  <r>
    <x v="27"/>
    <n v="10"/>
    <n v="10"/>
    <n v="6"/>
    <n v="15"/>
    <n v="8"/>
    <n v="7"/>
    <n v="8"/>
    <n v="8"/>
    <n v="6"/>
    <x v="4"/>
    <n v="19"/>
    <n v="8"/>
    <x v="5"/>
  </r>
  <r>
    <x v="28"/>
    <n v="13"/>
    <n v="14"/>
    <n v="9"/>
    <n v="21"/>
    <n v="11"/>
    <n v="10"/>
    <n v="12"/>
    <n v="11"/>
    <n v="8"/>
    <x v="6"/>
    <n v="27"/>
    <n v="11"/>
    <x v="6"/>
  </r>
  <r>
    <x v="29"/>
    <n v="10"/>
    <n v="10"/>
    <n v="6"/>
    <n v="15"/>
    <n v="8"/>
    <n v="7"/>
    <n v="8"/>
    <n v="8"/>
    <n v="6"/>
    <x v="4"/>
    <n v="19"/>
    <n v="8"/>
    <x v="5"/>
  </r>
  <r>
    <x v="30"/>
    <n v="9"/>
    <n v="9"/>
    <n v="6"/>
    <n v="14"/>
    <n v="8"/>
    <n v="7"/>
    <n v="8"/>
    <n v="7"/>
    <n v="5"/>
    <x v="4"/>
    <n v="18"/>
    <n v="7"/>
    <x v="5"/>
  </r>
  <r>
    <x v="31"/>
    <n v="10"/>
    <n v="10"/>
    <n v="6"/>
    <n v="15"/>
    <n v="8"/>
    <n v="7"/>
    <n v="8"/>
    <n v="8"/>
    <n v="6"/>
    <x v="4"/>
    <n v="19"/>
    <n v="8"/>
    <x v="5"/>
  </r>
  <r>
    <x v="32"/>
    <n v="10"/>
    <n v="10"/>
    <n v="6"/>
    <n v="15"/>
    <n v="8"/>
    <n v="7"/>
    <n v="8"/>
    <n v="8"/>
    <n v="6"/>
    <x v="4"/>
    <n v="19"/>
    <n v="8"/>
    <x v="5"/>
  </r>
  <r>
    <x v="33"/>
    <n v="10"/>
    <n v="10"/>
    <n v="6"/>
    <n v="15"/>
    <n v="8"/>
    <n v="7"/>
    <n v="8"/>
    <n v="8"/>
    <n v="6"/>
    <x v="4"/>
    <n v="19"/>
    <n v="8"/>
    <x v="5"/>
  </r>
  <r>
    <x v="34"/>
    <n v="10"/>
    <n v="10"/>
    <n v="6"/>
    <n v="15"/>
    <n v="8"/>
    <n v="7"/>
    <n v="8"/>
    <n v="8"/>
    <n v="6"/>
    <x v="4"/>
    <n v="19"/>
    <n v="8"/>
    <x v="5"/>
  </r>
  <r>
    <x v="35"/>
    <n v="19"/>
    <n v="19"/>
    <n v="12"/>
    <n v="31"/>
    <n v="16"/>
    <n v="14"/>
    <n v="17"/>
    <n v="15"/>
    <n v="12"/>
    <x v="10"/>
    <n v="39"/>
    <n v="16"/>
    <x v="8"/>
  </r>
  <r>
    <x v="36"/>
    <n v="12"/>
    <n v="12"/>
    <n v="7"/>
    <n v="18"/>
    <n v="10"/>
    <n v="9"/>
    <n v="10"/>
    <n v="9"/>
    <n v="7"/>
    <x v="8"/>
    <n v="23"/>
    <n v="9"/>
    <x v="4"/>
  </r>
  <r>
    <x v="37"/>
    <n v="16"/>
    <n v="16"/>
    <n v="10"/>
    <n v="25"/>
    <n v="14"/>
    <n v="12"/>
    <n v="14"/>
    <n v="13"/>
    <n v="10"/>
    <x v="1"/>
    <n v="32"/>
    <n v="13"/>
    <x v="1"/>
  </r>
  <r>
    <x v="38"/>
    <n v="7"/>
    <n v="7"/>
    <n v="5"/>
    <n v="11"/>
    <n v="6"/>
    <n v="5"/>
    <n v="6"/>
    <n v="6"/>
    <n v="4"/>
    <x v="5"/>
    <n v="14"/>
    <n v="6"/>
    <x v="3"/>
  </r>
  <r>
    <x v="39"/>
    <n v="10"/>
    <n v="11"/>
    <n v="7"/>
    <n v="16"/>
    <n v="9"/>
    <n v="8"/>
    <n v="9"/>
    <n v="8"/>
    <n v="6"/>
    <x v="11"/>
    <n v="21"/>
    <n v="8"/>
    <x v="4"/>
  </r>
  <r>
    <x v="40"/>
    <n v="15"/>
    <n v="15"/>
    <n v="9"/>
    <n v="23"/>
    <n v="12"/>
    <n v="11"/>
    <n v="13"/>
    <n v="12"/>
    <n v="9"/>
    <x v="12"/>
    <n v="29"/>
    <n v="12"/>
    <x v="9"/>
  </r>
  <r>
    <x v="41"/>
    <n v="10"/>
    <n v="10"/>
    <n v="7"/>
    <n v="16"/>
    <n v="9"/>
    <n v="8"/>
    <n v="9"/>
    <n v="8"/>
    <n v="6"/>
    <x v="11"/>
    <n v="21"/>
    <n v="8"/>
    <x v="4"/>
  </r>
  <r>
    <x v="42"/>
    <n v="10"/>
    <n v="10"/>
    <n v="6"/>
    <n v="15"/>
    <n v="8"/>
    <n v="7"/>
    <n v="8"/>
    <n v="8"/>
    <n v="6"/>
    <x v="4"/>
    <n v="19"/>
    <n v="8"/>
    <x v="5"/>
  </r>
  <r>
    <x v="43"/>
    <n v="10"/>
    <n v="11"/>
    <n v="7"/>
    <n v="16"/>
    <n v="9"/>
    <n v="8"/>
    <n v="9"/>
    <n v="8"/>
    <n v="6"/>
    <x v="11"/>
    <n v="21"/>
    <n v="8"/>
    <x v="4"/>
  </r>
  <r>
    <x v="44"/>
    <n v="10"/>
    <n v="11"/>
    <n v="7"/>
    <n v="16"/>
    <n v="9"/>
    <n v="8"/>
    <n v="9"/>
    <n v="8"/>
    <n v="6"/>
    <x v="11"/>
    <n v="21"/>
    <n v="8"/>
    <x v="4"/>
  </r>
  <r>
    <x v="45"/>
    <n v="10"/>
    <n v="11"/>
    <n v="7"/>
    <n v="16"/>
    <n v="9"/>
    <n v="8"/>
    <n v="9"/>
    <n v="8"/>
    <n v="6"/>
    <x v="11"/>
    <n v="21"/>
    <n v="8"/>
    <x v="4"/>
  </r>
  <r>
    <x v="46"/>
    <n v="10"/>
    <n v="11"/>
    <n v="7"/>
    <n v="16"/>
    <n v="9"/>
    <n v="8"/>
    <n v="9"/>
    <n v="8"/>
    <n v="6"/>
    <x v="11"/>
    <n v="21"/>
    <n v="8"/>
    <x v="4"/>
  </r>
  <r>
    <x v="47"/>
    <n v="21"/>
    <n v="21"/>
    <n v="14"/>
    <n v="33"/>
    <n v="18"/>
    <n v="16"/>
    <n v="18"/>
    <n v="17"/>
    <n v="13"/>
    <x v="13"/>
    <n v="43"/>
    <n v="17"/>
    <x v="8"/>
  </r>
  <r>
    <x v="48"/>
    <n v="12"/>
    <n v="12"/>
    <n v="8"/>
    <n v="20"/>
    <n v="11"/>
    <n v="9"/>
    <n v="11"/>
    <n v="10"/>
    <n v="7"/>
    <x v="8"/>
    <n v="25"/>
    <n v="10"/>
    <x v="6"/>
  </r>
  <r>
    <x v="49"/>
    <n v="17"/>
    <n v="17"/>
    <n v="11"/>
    <n v="27"/>
    <n v="15"/>
    <n v="13"/>
    <n v="15"/>
    <n v="14"/>
    <n v="10"/>
    <x v="9"/>
    <n v="35"/>
    <n v="14"/>
    <x v="1"/>
  </r>
  <r>
    <x v="50"/>
    <n v="8"/>
    <n v="8"/>
    <n v="5"/>
    <n v="12"/>
    <n v="7"/>
    <n v="6"/>
    <n v="7"/>
    <n v="6"/>
    <n v="5"/>
    <x v="3"/>
    <n v="15"/>
    <n v="6"/>
    <x v="3"/>
  </r>
  <r>
    <x v="51"/>
    <n v="15"/>
    <n v="15"/>
    <n v="9"/>
    <n v="23"/>
    <n v="12"/>
    <n v="11"/>
    <n v="13"/>
    <n v="12"/>
    <n v="9"/>
    <x v="12"/>
    <n v="30"/>
    <n v="12"/>
    <x v="9"/>
  </r>
  <r>
    <x v="52"/>
    <n v="13"/>
    <n v="13"/>
    <n v="8"/>
    <n v="20"/>
    <n v="11"/>
    <n v="9"/>
    <n v="11"/>
    <n v="10"/>
    <n v="8"/>
    <x v="6"/>
    <n v="25"/>
    <n v="10"/>
    <x v="6"/>
  </r>
  <r>
    <x v="53"/>
    <n v="12"/>
    <n v="12"/>
    <n v="8"/>
    <n v="19"/>
    <n v="10"/>
    <n v="9"/>
    <n v="10"/>
    <n v="10"/>
    <n v="7"/>
    <x v="8"/>
    <n v="24"/>
    <n v="10"/>
    <x v="6"/>
  </r>
  <r>
    <x v="54"/>
    <n v="10"/>
    <n v="11"/>
    <n v="7"/>
    <n v="16"/>
    <n v="9"/>
    <n v="8"/>
    <n v="9"/>
    <n v="8"/>
    <n v="6"/>
    <x v="11"/>
    <n v="21"/>
    <n v="8"/>
    <x v="4"/>
  </r>
  <r>
    <x v="55"/>
    <n v="11"/>
    <n v="11"/>
    <n v="7"/>
    <n v="18"/>
    <n v="10"/>
    <n v="8"/>
    <n v="10"/>
    <n v="9"/>
    <n v="7"/>
    <x v="8"/>
    <n v="23"/>
    <n v="9"/>
    <x v="4"/>
  </r>
  <r>
    <x v="56"/>
    <n v="11"/>
    <n v="11"/>
    <n v="7"/>
    <n v="18"/>
    <n v="10"/>
    <n v="8"/>
    <n v="10"/>
    <n v="9"/>
    <n v="7"/>
    <x v="8"/>
    <n v="23"/>
    <n v="9"/>
    <x v="4"/>
  </r>
  <r>
    <x v="57"/>
    <n v="11"/>
    <n v="11"/>
    <n v="7"/>
    <n v="18"/>
    <n v="10"/>
    <n v="8"/>
    <n v="10"/>
    <n v="9"/>
    <n v="7"/>
    <x v="8"/>
    <n v="23"/>
    <n v="9"/>
    <x v="4"/>
  </r>
  <r>
    <x v="58"/>
    <n v="11"/>
    <n v="11"/>
    <n v="7"/>
    <n v="18"/>
    <n v="10"/>
    <n v="8"/>
    <n v="10"/>
    <n v="9"/>
    <n v="7"/>
    <x v="8"/>
    <n v="23"/>
    <n v="9"/>
    <x v="4"/>
  </r>
  <r>
    <x v="59"/>
    <n v="23"/>
    <n v="23"/>
    <n v="15"/>
    <n v="36"/>
    <n v="19"/>
    <n v="17"/>
    <n v="20"/>
    <n v="18"/>
    <n v="14"/>
    <x v="14"/>
    <n v="46"/>
    <n v="18"/>
    <x v="10"/>
  </r>
  <r>
    <x v="60"/>
    <n v="8"/>
    <n v="8"/>
    <n v="5"/>
    <n v="12"/>
    <n v="7"/>
    <n v="6"/>
    <n v="7"/>
    <n v="6"/>
    <n v="5"/>
    <x v="3"/>
    <n v="15"/>
    <n v="6"/>
    <x v="3"/>
  </r>
  <r>
    <x v="61"/>
    <n v="25"/>
    <n v="25"/>
    <n v="16"/>
    <n v="39"/>
    <n v="21"/>
    <n v="18"/>
    <n v="21"/>
    <n v="19"/>
    <n v="15"/>
    <x v="15"/>
    <n v="50"/>
    <n v="20"/>
    <x v="11"/>
  </r>
  <r>
    <x v="62"/>
    <n v="7"/>
    <n v="7"/>
    <n v="4"/>
    <n v="10"/>
    <n v="6"/>
    <n v="5"/>
    <n v="6"/>
    <n v="5"/>
    <n v="4"/>
    <x v="5"/>
    <n v="13"/>
    <n v="5"/>
    <x v="3"/>
  </r>
  <r>
    <x v="63"/>
    <n v="12"/>
    <n v="12"/>
    <n v="8"/>
    <n v="19"/>
    <n v="10"/>
    <n v="9"/>
    <n v="11"/>
    <n v="10"/>
    <n v="7"/>
    <x v="8"/>
    <n v="24"/>
    <n v="10"/>
    <x v="6"/>
  </r>
  <r>
    <x v="64"/>
    <n v="15"/>
    <n v="15"/>
    <n v="10"/>
    <n v="24"/>
    <n v="13"/>
    <n v="11"/>
    <n v="13"/>
    <n v="12"/>
    <n v="9"/>
    <x v="16"/>
    <n v="30"/>
    <n v="12"/>
    <x v="9"/>
  </r>
  <r>
    <x v="65"/>
    <n v="13"/>
    <n v="13"/>
    <n v="8"/>
    <n v="20"/>
    <n v="11"/>
    <n v="10"/>
    <n v="11"/>
    <n v="10"/>
    <n v="8"/>
    <x v="6"/>
    <n v="26"/>
    <n v="10"/>
    <x v="6"/>
  </r>
  <r>
    <x v="66"/>
    <n v="11"/>
    <n v="11"/>
    <n v="7"/>
    <n v="18"/>
    <n v="10"/>
    <n v="8"/>
    <n v="10"/>
    <n v="9"/>
    <n v="7"/>
    <x v="8"/>
    <n v="22"/>
    <n v="9"/>
    <x v="4"/>
  </r>
  <r>
    <x v="67"/>
    <n v="12"/>
    <n v="12"/>
    <n v="8"/>
    <n v="19"/>
    <n v="10"/>
    <n v="9"/>
    <n v="11"/>
    <n v="10"/>
    <n v="7"/>
    <x v="8"/>
    <n v="24"/>
    <n v="10"/>
    <x v="6"/>
  </r>
  <r>
    <x v="68"/>
    <n v="12"/>
    <n v="12"/>
    <n v="8"/>
    <n v="19"/>
    <n v="10"/>
    <n v="9"/>
    <n v="11"/>
    <n v="10"/>
    <n v="7"/>
    <x v="8"/>
    <n v="24"/>
    <n v="10"/>
    <x v="6"/>
  </r>
  <r>
    <x v="69"/>
    <n v="12"/>
    <n v="12"/>
    <n v="8"/>
    <n v="19"/>
    <n v="10"/>
    <n v="9"/>
    <n v="11"/>
    <n v="10"/>
    <n v="7"/>
    <x v="8"/>
    <n v="24"/>
    <n v="10"/>
    <x v="6"/>
  </r>
  <r>
    <x v="70"/>
    <n v="12"/>
    <n v="12"/>
    <n v="8"/>
    <n v="19"/>
    <n v="10"/>
    <n v="9"/>
    <n v="11"/>
    <n v="10"/>
    <n v="7"/>
    <x v="8"/>
    <n v="24"/>
    <n v="10"/>
    <x v="6"/>
  </r>
  <r>
    <x v="71"/>
    <n v="24"/>
    <n v="25"/>
    <n v="16"/>
    <n v="39"/>
    <n v="21"/>
    <n v="18"/>
    <n v="21"/>
    <n v="19"/>
    <n v="14"/>
    <x v="15"/>
    <n v="50"/>
    <n v="20"/>
    <x v="11"/>
  </r>
  <r>
    <x v="72"/>
    <n v="14"/>
    <n v="14"/>
    <n v="9"/>
    <n v="22"/>
    <n v="12"/>
    <n v="10"/>
    <n v="12"/>
    <n v="11"/>
    <n v="8"/>
    <x v="12"/>
    <n v="28"/>
    <n v="11"/>
    <x v="9"/>
  </r>
  <r>
    <x v="73"/>
    <n v="20"/>
    <n v="20"/>
    <n v="13"/>
    <n v="31"/>
    <n v="17"/>
    <n v="15"/>
    <n v="17"/>
    <n v="16"/>
    <n v="12"/>
    <x v="17"/>
    <n v="40"/>
    <n v="16"/>
    <x v="8"/>
  </r>
  <r>
    <x v="74"/>
    <n v="13"/>
    <n v="13"/>
    <n v="8"/>
    <n v="20"/>
    <n v="11"/>
    <n v="10"/>
    <n v="11"/>
    <n v="10"/>
    <n v="8"/>
    <x v="6"/>
    <n v="26"/>
    <n v="10"/>
    <x v="6"/>
  </r>
  <r>
    <x v="75"/>
    <n v="11"/>
    <n v="11"/>
    <n v="7"/>
    <n v="18"/>
    <n v="10"/>
    <n v="8"/>
    <n v="10"/>
    <n v="9"/>
    <n v="7"/>
    <x v="8"/>
    <n v="22"/>
    <n v="9"/>
    <x v="4"/>
  </r>
  <r>
    <x v="76"/>
    <n v="16"/>
    <n v="16"/>
    <n v="10"/>
    <n v="26"/>
    <n v="14"/>
    <n v="12"/>
    <n v="14"/>
    <n v="13"/>
    <n v="10"/>
    <x v="1"/>
    <n v="33"/>
    <n v="13"/>
    <x v="1"/>
  </r>
  <r>
    <x v="77"/>
    <n v="14"/>
    <n v="14"/>
    <n v="9"/>
    <n v="22"/>
    <n v="12"/>
    <n v="10"/>
    <n v="12"/>
    <n v="11"/>
    <n v="8"/>
    <x v="12"/>
    <n v="28"/>
    <n v="11"/>
    <x v="9"/>
  </r>
  <r>
    <x v="78"/>
    <n v="12"/>
    <n v="12"/>
    <n v="8"/>
    <n v="19"/>
    <n v="10"/>
    <n v="9"/>
    <n v="10"/>
    <n v="10"/>
    <n v="7"/>
    <x v="8"/>
    <n v="24"/>
    <n v="10"/>
    <x v="6"/>
  </r>
  <r>
    <x v="79"/>
    <n v="13"/>
    <n v="13"/>
    <n v="8"/>
    <n v="20"/>
    <n v="11"/>
    <n v="10"/>
    <n v="11"/>
    <n v="10"/>
    <n v="8"/>
    <x v="6"/>
    <n v="26"/>
    <n v="10"/>
    <x v="6"/>
  </r>
  <r>
    <x v="80"/>
    <n v="13"/>
    <n v="13"/>
    <n v="8"/>
    <n v="20"/>
    <n v="11"/>
    <n v="10"/>
    <n v="11"/>
    <n v="10"/>
    <n v="8"/>
    <x v="6"/>
    <n v="26"/>
    <n v="10"/>
    <x v="6"/>
  </r>
  <r>
    <x v="81"/>
    <n v="13"/>
    <n v="13"/>
    <n v="8"/>
    <n v="20"/>
    <n v="11"/>
    <n v="10"/>
    <n v="11"/>
    <n v="10"/>
    <n v="8"/>
    <x v="6"/>
    <n v="26"/>
    <n v="10"/>
    <x v="6"/>
  </r>
  <r>
    <x v="82"/>
    <n v="13"/>
    <n v="13"/>
    <n v="8"/>
    <n v="20"/>
    <n v="11"/>
    <n v="10"/>
    <n v="11"/>
    <n v="10"/>
    <n v="8"/>
    <x v="6"/>
    <n v="26"/>
    <n v="10"/>
    <x v="6"/>
  </r>
  <r>
    <x v="83"/>
    <n v="26"/>
    <n v="26"/>
    <n v="17"/>
    <n v="42"/>
    <n v="22"/>
    <n v="19"/>
    <n v="23"/>
    <n v="21"/>
    <n v="15"/>
    <x v="18"/>
    <n v="53"/>
    <n v="21"/>
    <x v="12"/>
  </r>
  <r>
    <x v="84"/>
    <n v="9"/>
    <n v="9"/>
    <n v="6"/>
    <n v="13"/>
    <n v="7"/>
    <n v="7"/>
    <n v="8"/>
    <n v="7"/>
    <n v="5"/>
    <x v="3"/>
    <n v="17"/>
    <n v="7"/>
    <x v="5"/>
  </r>
  <r>
    <x v="85"/>
    <n v="28"/>
    <n v="28"/>
    <n v="18"/>
    <n v="45"/>
    <n v="24"/>
    <n v="21"/>
    <n v="24"/>
    <n v="22"/>
    <n v="17"/>
    <x v="19"/>
    <n v="57"/>
    <n v="22"/>
    <x v="13"/>
  </r>
  <r>
    <x v="86"/>
    <n v="12"/>
    <n v="12"/>
    <n v="8"/>
    <n v="18"/>
    <n v="10"/>
    <n v="9"/>
    <n v="10"/>
    <n v="9"/>
    <n v="7"/>
    <x v="8"/>
    <n v="23"/>
    <n v="9"/>
    <x v="4"/>
  </r>
  <r>
    <x v="87"/>
    <n v="12"/>
    <n v="12"/>
    <n v="8"/>
    <n v="19"/>
    <n v="10"/>
    <n v="9"/>
    <n v="10"/>
    <n v="10"/>
    <n v="7"/>
    <x v="8"/>
    <n v="24"/>
    <n v="10"/>
    <x v="6"/>
  </r>
  <r>
    <x v="88"/>
    <n v="17"/>
    <n v="17"/>
    <n v="11"/>
    <n v="27"/>
    <n v="15"/>
    <n v="13"/>
    <n v="15"/>
    <n v="14"/>
    <n v="10"/>
    <x v="1"/>
    <n v="35"/>
    <n v="14"/>
    <x v="1"/>
  </r>
  <r>
    <x v="89"/>
    <n v="15"/>
    <n v="15"/>
    <n v="9"/>
    <n v="23"/>
    <n v="12"/>
    <n v="11"/>
    <n v="13"/>
    <n v="12"/>
    <n v="9"/>
    <x v="12"/>
    <n v="29"/>
    <n v="12"/>
    <x v="9"/>
  </r>
  <r>
    <x v="90"/>
    <n v="13"/>
    <n v="13"/>
    <n v="8"/>
    <n v="20"/>
    <n v="11"/>
    <n v="10"/>
    <n v="11"/>
    <n v="10"/>
    <n v="8"/>
    <x v="6"/>
    <n v="26"/>
    <n v="10"/>
    <x v="6"/>
  </r>
  <r>
    <x v="91"/>
    <n v="14"/>
    <n v="14"/>
    <n v="9"/>
    <n v="22"/>
    <n v="12"/>
    <n v="10"/>
    <n v="12"/>
    <n v="11"/>
    <n v="8"/>
    <x v="12"/>
    <n v="28"/>
    <n v="11"/>
    <x v="9"/>
  </r>
  <r>
    <x v="92"/>
    <n v="14"/>
    <n v="14"/>
    <n v="9"/>
    <n v="22"/>
    <n v="12"/>
    <n v="10"/>
    <n v="12"/>
    <n v="11"/>
    <n v="8"/>
    <x v="12"/>
    <n v="28"/>
    <n v="11"/>
    <x v="9"/>
  </r>
  <r>
    <x v="93"/>
    <n v="14"/>
    <n v="14"/>
    <n v="9"/>
    <n v="22"/>
    <n v="12"/>
    <n v="10"/>
    <n v="12"/>
    <n v="11"/>
    <n v="8"/>
    <x v="12"/>
    <n v="28"/>
    <n v="11"/>
    <x v="9"/>
  </r>
  <r>
    <x v="94"/>
    <n v="14"/>
    <n v="14"/>
    <n v="9"/>
    <n v="22"/>
    <n v="12"/>
    <n v="10"/>
    <n v="12"/>
    <n v="11"/>
    <n v="8"/>
    <x v="12"/>
    <n v="28"/>
    <n v="11"/>
    <x v="9"/>
  </r>
  <r>
    <x v="95"/>
    <n v="28"/>
    <n v="28"/>
    <n v="18"/>
    <n v="44"/>
    <n v="24"/>
    <n v="21"/>
    <n v="24"/>
    <n v="22"/>
    <n v="16"/>
    <x v="20"/>
    <n v="57"/>
    <n v="22"/>
    <x v="13"/>
  </r>
  <r>
    <x v="96"/>
    <n v="9"/>
    <n v="9"/>
    <n v="6"/>
    <n v="14"/>
    <n v="8"/>
    <n v="7"/>
    <n v="8"/>
    <n v="7"/>
    <n v="5"/>
    <x v="4"/>
    <n v="18"/>
    <n v="7"/>
    <x v="5"/>
  </r>
  <r>
    <x v="97"/>
    <n v="30"/>
    <n v="30"/>
    <n v="19"/>
    <n v="47"/>
    <n v="25"/>
    <n v="22"/>
    <n v="26"/>
    <n v="23"/>
    <n v="18"/>
    <x v="21"/>
    <n v="60"/>
    <n v="24"/>
    <x v="14"/>
  </r>
  <r>
    <x v="98"/>
    <n v="12"/>
    <n v="12"/>
    <n v="8"/>
    <n v="20"/>
    <n v="11"/>
    <n v="9"/>
    <n v="11"/>
    <n v="10"/>
    <n v="7"/>
    <x v="8"/>
    <n v="25"/>
    <n v="10"/>
    <x v="6"/>
  </r>
  <r>
    <x v="99"/>
    <n v="13"/>
    <n v="13"/>
    <n v="8"/>
    <n v="20"/>
    <n v="11"/>
    <n v="9"/>
    <n v="11"/>
    <n v="10"/>
    <n v="8"/>
    <x v="6"/>
    <n v="25"/>
    <n v="10"/>
    <x v="6"/>
  </r>
  <r>
    <x v="100"/>
    <n v="18"/>
    <n v="18"/>
    <n v="12"/>
    <n v="29"/>
    <n v="15"/>
    <n v="14"/>
    <n v="16"/>
    <n v="14"/>
    <n v="11"/>
    <x v="9"/>
    <n v="37"/>
    <n v="15"/>
    <x v="7"/>
  </r>
  <r>
    <x v="101"/>
    <n v="15"/>
    <n v="15"/>
    <n v="10"/>
    <n v="24"/>
    <n v="13"/>
    <n v="12"/>
    <n v="13"/>
    <n v="12"/>
    <n v="9"/>
    <x v="16"/>
    <n v="31"/>
    <n v="12"/>
    <x v="9"/>
  </r>
  <r>
    <x v="102"/>
    <n v="14"/>
    <n v="14"/>
    <n v="9"/>
    <n v="21"/>
    <n v="11"/>
    <n v="10"/>
    <n v="12"/>
    <n v="11"/>
    <n v="8"/>
    <x v="6"/>
    <n v="27"/>
    <n v="11"/>
    <x v="6"/>
  </r>
  <r>
    <x v="103"/>
    <n v="15"/>
    <n v="15"/>
    <n v="9"/>
    <n v="23"/>
    <n v="12"/>
    <n v="11"/>
    <n v="13"/>
    <n v="12"/>
    <n v="9"/>
    <x v="12"/>
    <n v="29"/>
    <n v="12"/>
    <x v="9"/>
  </r>
  <r>
    <x v="104"/>
    <n v="15"/>
    <n v="15"/>
    <n v="9"/>
    <n v="23"/>
    <n v="12"/>
    <n v="11"/>
    <n v="13"/>
    <n v="12"/>
    <n v="9"/>
    <x v="12"/>
    <n v="29"/>
    <n v="12"/>
    <x v="9"/>
  </r>
  <r>
    <x v="105"/>
    <n v="15"/>
    <n v="15"/>
    <n v="9"/>
    <n v="23"/>
    <n v="12"/>
    <n v="11"/>
    <n v="13"/>
    <n v="12"/>
    <n v="9"/>
    <x v="12"/>
    <n v="29"/>
    <n v="12"/>
    <x v="9"/>
  </r>
  <r>
    <x v="106"/>
    <n v="15"/>
    <n v="15"/>
    <n v="9"/>
    <n v="23"/>
    <n v="12"/>
    <n v="11"/>
    <n v="13"/>
    <n v="12"/>
    <n v="9"/>
    <x v="12"/>
    <n v="29"/>
    <n v="12"/>
    <x v="9"/>
  </r>
  <r>
    <x v="107"/>
    <n v="30"/>
    <n v="30"/>
    <n v="19"/>
    <n v="47"/>
    <n v="25"/>
    <n v="22"/>
    <n v="26"/>
    <n v="23"/>
    <n v="17"/>
    <x v="21"/>
    <n v="60"/>
    <n v="24"/>
    <x v="14"/>
  </r>
  <r>
    <x v="108"/>
    <n v="16"/>
    <n v="17"/>
    <n v="11"/>
    <n v="26"/>
    <n v="14"/>
    <n v="12"/>
    <n v="14"/>
    <n v="13"/>
    <n v="10"/>
    <x v="1"/>
    <n v="33"/>
    <n v="13"/>
    <x v="1"/>
  </r>
  <r>
    <x v="109"/>
    <n v="26"/>
    <n v="26"/>
    <n v="17"/>
    <n v="41"/>
    <n v="22"/>
    <n v="19"/>
    <n v="23"/>
    <n v="21"/>
    <n v="15"/>
    <x v="18"/>
    <n v="53"/>
    <n v="21"/>
    <x v="12"/>
  </r>
  <r>
    <x v="110"/>
    <n v="9"/>
    <n v="9"/>
    <n v="6"/>
    <n v="15"/>
    <n v="8"/>
    <n v="7"/>
    <n v="8"/>
    <n v="8"/>
    <n v="6"/>
    <x v="4"/>
    <n v="19"/>
    <n v="8"/>
    <x v="5"/>
  </r>
  <r>
    <x v="111"/>
    <n v="15"/>
    <n v="15"/>
    <n v="10"/>
    <n v="24"/>
    <n v="13"/>
    <n v="12"/>
    <n v="13"/>
    <n v="12"/>
    <n v="9"/>
    <x v="16"/>
    <n v="31"/>
    <n v="12"/>
    <x v="9"/>
  </r>
  <r>
    <x v="112"/>
    <n v="19"/>
    <n v="19"/>
    <n v="12"/>
    <n v="30"/>
    <n v="16"/>
    <n v="14"/>
    <n v="17"/>
    <n v="15"/>
    <n v="11"/>
    <x v="10"/>
    <n v="39"/>
    <n v="15"/>
    <x v="7"/>
  </r>
  <r>
    <x v="113"/>
    <n v="16"/>
    <n v="16"/>
    <n v="10"/>
    <n v="26"/>
    <n v="14"/>
    <n v="12"/>
    <n v="14"/>
    <n v="13"/>
    <n v="10"/>
    <x v="1"/>
    <n v="33"/>
    <n v="13"/>
    <x v="1"/>
  </r>
  <r>
    <x v="114"/>
    <n v="14"/>
    <n v="14"/>
    <n v="9"/>
    <n v="23"/>
    <n v="12"/>
    <n v="11"/>
    <n v="12"/>
    <n v="11"/>
    <n v="9"/>
    <x v="12"/>
    <n v="29"/>
    <n v="11"/>
    <x v="9"/>
  </r>
  <r>
    <x v="115"/>
    <n v="15"/>
    <n v="15"/>
    <n v="10"/>
    <n v="24"/>
    <n v="13"/>
    <n v="12"/>
    <n v="13"/>
    <n v="12"/>
    <n v="9"/>
    <x v="16"/>
    <n v="31"/>
    <n v="12"/>
    <x v="9"/>
  </r>
  <r>
    <x v="116"/>
    <n v="15"/>
    <n v="15"/>
    <n v="10"/>
    <n v="24"/>
    <n v="13"/>
    <n v="12"/>
    <n v="13"/>
    <n v="12"/>
    <n v="9"/>
    <x v="16"/>
    <n v="31"/>
    <n v="12"/>
    <x v="9"/>
  </r>
  <r>
    <x v="117"/>
    <n v="15"/>
    <n v="15"/>
    <n v="10"/>
    <n v="24"/>
    <n v="13"/>
    <n v="12"/>
    <n v="13"/>
    <n v="12"/>
    <n v="9"/>
    <x v="16"/>
    <n v="31"/>
    <n v="12"/>
    <x v="9"/>
  </r>
  <r>
    <x v="118"/>
    <n v="15"/>
    <n v="15"/>
    <n v="10"/>
    <n v="24"/>
    <n v="13"/>
    <n v="12"/>
    <n v="13"/>
    <n v="12"/>
    <n v="9"/>
    <x v="16"/>
    <n v="31"/>
    <n v="12"/>
    <x v="9"/>
  </r>
  <r>
    <x v="119"/>
    <n v="31"/>
    <n v="31"/>
    <n v="20"/>
    <n v="50"/>
    <n v="26"/>
    <n v="23"/>
    <n v="27"/>
    <n v="25"/>
    <n v="18"/>
    <x v="22"/>
    <n v="63"/>
    <n v="25"/>
    <x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57A6AF-16BB-4F3B-9ED4-F00B5D36323D}" name="PivotTable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M5" firstHeaderRow="0" firstDataRow="1" firstDataCol="0" rowPageCount="2" colPageCount="1"/>
  <pivotFields count="16">
    <pivotField axis="axisPage" numFmtId="171" showAll="0">
      <items count="15">
        <item x="0"/>
        <item x="1"/>
        <item x="2"/>
        <item x="3"/>
        <item x="4"/>
        <item x="5"/>
        <item x="6"/>
        <item x="7"/>
        <item x="8"/>
        <item x="9"/>
        <item x="10"/>
        <item x="11"/>
        <item x="12"/>
        <item x="1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items count="24">
        <item x="0"/>
        <item x="2"/>
        <item x="7"/>
        <item x="5"/>
        <item x="3"/>
        <item x="4"/>
        <item x="11"/>
        <item x="8"/>
        <item x="6"/>
        <item x="12"/>
        <item x="16"/>
        <item x="1"/>
        <item x="9"/>
        <item x="10"/>
        <item x="17"/>
        <item x="13"/>
        <item x="14"/>
        <item x="15"/>
        <item x="18"/>
        <item x="20"/>
        <item x="19"/>
        <item x="21"/>
        <item x="22"/>
        <item t="default"/>
      </items>
    </pivotField>
    <pivotField dataField="1" showAll="0"/>
    <pivotField dataField="1" showAll="0"/>
    <pivotField dataField="1" showAll="0"/>
    <pivotField showAll="0" defaultSubtotal="0">
      <items count="6">
        <item x="0"/>
        <item x="1"/>
        <item x="2"/>
        <item x="3"/>
        <item x="4"/>
        <item x="5"/>
      </items>
    </pivotField>
    <pivotField axis="axisPage" showAll="0" defaultSubtotal="0">
      <items count="12">
        <item x="0"/>
        <item x="1"/>
        <item x="2"/>
        <item x="3"/>
        <item x="4"/>
        <item x="5"/>
        <item x="6"/>
        <item x="7"/>
        <item x="8"/>
        <item x="9"/>
        <item x="10"/>
        <item x="11"/>
      </items>
    </pivotField>
  </pivotFields>
  <rowItems count="1">
    <i/>
  </rowItems>
  <colFields count="1">
    <field x="-2"/>
  </colFields>
  <colItems count="13">
    <i>
      <x/>
    </i>
    <i i="1">
      <x v="1"/>
    </i>
    <i i="2">
      <x v="2"/>
    </i>
    <i i="3">
      <x v="3"/>
    </i>
    <i i="4">
      <x v="4"/>
    </i>
    <i i="5">
      <x v="5"/>
    </i>
    <i i="6">
      <x v="6"/>
    </i>
    <i i="7">
      <x v="7"/>
    </i>
    <i i="8">
      <x v="8"/>
    </i>
    <i i="9">
      <x v="9"/>
    </i>
    <i i="10">
      <x v="10"/>
    </i>
    <i i="11">
      <x v="11"/>
    </i>
    <i i="12">
      <x v="12"/>
    </i>
  </colItems>
  <pageFields count="2">
    <pageField fld="0" item="2" hier="-1"/>
    <pageField fld="15" item="1" hier="-1"/>
  </pageFields>
  <dataFields count="13">
    <dataField name="30ml  Blue" fld="1" baseField="0" baseItem="0"/>
    <dataField name="30ml  Black" fld="2" baseField="0" baseItem="0"/>
    <dataField name="30ml  Christmas" fld="3" baseField="0" baseItem="0"/>
    <dataField name="30ml  Diamond" fld="4" baseField="0" baseItem="0"/>
    <dataField name="30ml  Elegance" fld="5" baseField="0" baseItem="0"/>
    <dataField name="30ml  Fancy" fld="6" baseField="0" baseItem="0"/>
    <dataField name="30ml  Love" fld="7" baseField="0" baseItem="0"/>
    <dataField name="30ml  Romance" fld="8" baseField="0" baseItem="0"/>
    <dataField name="30ml  Sahara" fld="9" baseField="0" baseItem="0"/>
    <dataField name="30ml  Sensual" fld="10" baseField="0" baseItem="0"/>
    <dataField name="30ml  Sexy" fld="11" baseField="0" baseItem="0"/>
    <dataField name="30ml  Vogue" fld="12" baseField="0" baseItem="0"/>
    <dataField name="30ml  Warm" fld="13" baseField="0" baseItem="0"/>
  </dataFields>
  <formats count="13">
    <format dxfId="68">
      <pivotArea type="all" dataOnly="0" outline="0" fieldPosition="0"/>
    </format>
    <format dxfId="67">
      <pivotArea outline="0" collapsedLevelsAreSubtotals="1" fieldPosition="0"/>
    </format>
    <format dxfId="66">
      <pivotArea dataOnly="0" labelOnly="1" outline="0" fieldPosition="0">
        <references count="1">
          <reference field="4294967294" count="13">
            <x v="0"/>
            <x v="1"/>
            <x v="2"/>
            <x v="3"/>
            <x v="4"/>
            <x v="5"/>
            <x v="6"/>
            <x v="7"/>
            <x v="8"/>
            <x v="9"/>
            <x v="10"/>
            <x v="11"/>
            <x v="12"/>
          </reference>
        </references>
      </pivotArea>
    </format>
    <format dxfId="65">
      <pivotArea dataOnly="0" labelOnly="1" outline="0" fieldPosition="0">
        <references count="1">
          <reference field="4294967294" count="13">
            <x v="0"/>
            <x v="1"/>
            <x v="2"/>
            <x v="3"/>
            <x v="4"/>
            <x v="5"/>
            <x v="6"/>
            <x v="7"/>
            <x v="8"/>
            <x v="9"/>
            <x v="10"/>
            <x v="11"/>
            <x v="12"/>
          </reference>
        </references>
      </pivotArea>
    </format>
    <format dxfId="64">
      <pivotArea type="all" dataOnly="0" outline="0" fieldPosition="0"/>
    </format>
    <format dxfId="63">
      <pivotArea outline="0" collapsedLevelsAreSubtotals="1" fieldPosition="0"/>
    </format>
    <format dxfId="62">
      <pivotArea dataOnly="0" labelOnly="1" outline="0" fieldPosition="0">
        <references count="1">
          <reference field="4294967294" count="13">
            <x v="0"/>
            <x v="1"/>
            <x v="2"/>
            <x v="3"/>
            <x v="4"/>
            <x v="5"/>
            <x v="6"/>
            <x v="7"/>
            <x v="8"/>
            <x v="9"/>
            <x v="10"/>
            <x v="11"/>
            <x v="12"/>
          </reference>
        </references>
      </pivotArea>
    </format>
    <format dxfId="61">
      <pivotArea type="all" dataOnly="0" outline="0" fieldPosition="0"/>
    </format>
    <format dxfId="60">
      <pivotArea outline="0" collapsedLevelsAreSubtotals="1" fieldPosition="0"/>
    </format>
    <format dxfId="59">
      <pivotArea outline="0" collapsedLevelsAreSubtotals="1" fieldPosition="0"/>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13">
            <x v="0"/>
            <x v="1"/>
            <x v="2"/>
            <x v="3"/>
            <x v="4"/>
            <x v="5"/>
            <x v="6"/>
            <x v="7"/>
            <x v="8"/>
            <x v="9"/>
            <x v="10"/>
            <x v="11"/>
            <x v="12"/>
          </reference>
        </references>
      </pivotArea>
    </format>
  </formats>
  <chartFormats count="13">
    <chartFormat chart="1" format="13" series="1">
      <pivotArea type="data" outline="0" fieldPosition="0">
        <references count="1">
          <reference field="4294967294" count="1" selected="0">
            <x v="0"/>
          </reference>
        </references>
      </pivotArea>
    </chartFormat>
    <chartFormat chart="1" format="14" series="1">
      <pivotArea type="data" outline="0" fieldPosition="0">
        <references count="1">
          <reference field="4294967294" count="1" selected="0">
            <x v="1"/>
          </reference>
        </references>
      </pivotArea>
    </chartFormat>
    <chartFormat chart="1" format="15" series="1">
      <pivotArea type="data" outline="0" fieldPosition="0">
        <references count="1">
          <reference field="4294967294" count="1" selected="0">
            <x v="2"/>
          </reference>
        </references>
      </pivotArea>
    </chartFormat>
    <chartFormat chart="1" format="16" series="1">
      <pivotArea type="data" outline="0" fieldPosition="0">
        <references count="1">
          <reference field="4294967294" count="1" selected="0">
            <x v="3"/>
          </reference>
        </references>
      </pivotArea>
    </chartFormat>
    <chartFormat chart="1" format="17" series="1">
      <pivotArea type="data" outline="0" fieldPosition="0">
        <references count="1">
          <reference field="4294967294" count="1" selected="0">
            <x v="4"/>
          </reference>
        </references>
      </pivotArea>
    </chartFormat>
    <chartFormat chart="1" format="18" series="1">
      <pivotArea type="data" outline="0" fieldPosition="0">
        <references count="1">
          <reference field="4294967294" count="1" selected="0">
            <x v="5"/>
          </reference>
        </references>
      </pivotArea>
    </chartFormat>
    <chartFormat chart="1" format="19" series="1">
      <pivotArea type="data" outline="0" fieldPosition="0">
        <references count="1">
          <reference field="4294967294" count="1" selected="0">
            <x v="6"/>
          </reference>
        </references>
      </pivotArea>
    </chartFormat>
    <chartFormat chart="1" format="20" series="1">
      <pivotArea type="data" outline="0" fieldPosition="0">
        <references count="1">
          <reference field="4294967294" count="1" selected="0">
            <x v="7"/>
          </reference>
        </references>
      </pivotArea>
    </chartFormat>
    <chartFormat chart="1" format="21" series="1">
      <pivotArea type="data" outline="0" fieldPosition="0">
        <references count="1">
          <reference field="4294967294" count="1" selected="0">
            <x v="8"/>
          </reference>
        </references>
      </pivotArea>
    </chartFormat>
    <chartFormat chart="1" format="22" series="1">
      <pivotArea type="data" outline="0" fieldPosition="0">
        <references count="1">
          <reference field="4294967294" count="1" selected="0">
            <x v="9"/>
          </reference>
        </references>
      </pivotArea>
    </chartFormat>
    <chartFormat chart="1" format="23" series="1">
      <pivotArea type="data" outline="0" fieldPosition="0">
        <references count="1">
          <reference field="4294967294" count="1" selected="0">
            <x v="10"/>
          </reference>
        </references>
      </pivotArea>
    </chartFormat>
    <chartFormat chart="1" format="24" series="1">
      <pivotArea type="data" outline="0" fieldPosition="0">
        <references count="1">
          <reference field="4294967294" count="1" selected="0">
            <x v="11"/>
          </reference>
        </references>
      </pivotArea>
    </chartFormat>
    <chartFormat chart="1" format="25" series="1">
      <pivotArea type="data" outline="0" fieldPosition="0">
        <references count="1">
          <reference field="4294967294"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7B06AD-7902-4213-913D-D7419EEFD8B4}" name="PivotTable1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28:M29" firstHeaderRow="0" firstDataRow="1" firstDataCol="0" rowPageCount="2" colPageCount="1"/>
  <pivotFields count="29">
    <pivotField axis="axisPage" numFmtId="171"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items count="7">
        <item sd="0" x="0"/>
        <item sd="0" x="1"/>
        <item sd="0" x="2"/>
        <item sd="0" x="3"/>
        <item sd="0" x="4"/>
        <item sd="0" x="5"/>
        <item t="default"/>
      </items>
    </pivotField>
    <pivotField axis="axisPage" showAll="0">
      <items count="13">
        <item sd="0" x="0"/>
        <item sd="0" x="1"/>
        <item sd="0" x="2"/>
        <item sd="0" x="3"/>
        <item sd="0" x="4"/>
        <item sd="0" x="5"/>
        <item sd="0" x="6"/>
        <item sd="0" x="7"/>
        <item sd="0" x="8"/>
        <item sd="0" x="9"/>
        <item sd="0" x="10"/>
        <item sd="0" x="11"/>
        <item t="default"/>
      </items>
    </pivotField>
  </pivotFields>
  <rowItems count="1">
    <i/>
  </rowItems>
  <colFields count="1">
    <field x="-2"/>
  </colFields>
  <colItems count="13">
    <i>
      <x/>
    </i>
    <i i="1">
      <x v="1"/>
    </i>
    <i i="2">
      <x v="2"/>
    </i>
    <i i="3">
      <x v="3"/>
    </i>
    <i i="4">
      <x v="4"/>
    </i>
    <i i="5">
      <x v="5"/>
    </i>
    <i i="6">
      <x v="6"/>
    </i>
    <i i="7">
      <x v="7"/>
    </i>
    <i i="8">
      <x v="8"/>
    </i>
    <i i="9">
      <x v="9"/>
    </i>
    <i i="10">
      <x v="10"/>
    </i>
    <i i="11">
      <x v="11"/>
    </i>
    <i i="12">
      <x v="12"/>
    </i>
  </colItems>
  <pageFields count="2">
    <pageField fld="28" item="1" hier="-1"/>
    <pageField fld="0" item="6" hier="-1"/>
  </pageFields>
  <dataFields count="13">
    <dataField name="50ml  Blue" fld="14" baseField="0" baseItem="0"/>
    <dataField name="50ml  Black" fld="15" baseField="0" baseItem="0"/>
    <dataField name="50ml  Christmas" fld="16" baseField="0" baseItem="0"/>
    <dataField name="50ml  Diamond" fld="17" baseField="0" baseItem="0"/>
    <dataField name="50ml  Elegance" fld="18" baseField="0" baseItem="0"/>
    <dataField name="50ml  Fancy" fld="19" baseField="0" baseItem="0"/>
    <dataField name="50ml  Love" fld="20" baseField="0" baseItem="0"/>
    <dataField name="50ml  Romance" fld="21" baseField="0" baseItem="0"/>
    <dataField name="50ml  Sahara" fld="22" baseField="0" baseItem="0"/>
    <dataField name="50ml  Sensual" fld="23" baseField="0" baseItem="0"/>
    <dataField name=" 50ml  Sexy" fld="24" baseField="0" baseItem="0"/>
    <dataField name="50ml  Vogue" fld="25" baseField="0" baseItem="0"/>
    <dataField name="50ml  Warm" fld="26" baseField="0" baseItem="0"/>
  </dataFields>
  <formats count="8">
    <format dxfId="76">
      <pivotArea type="all" dataOnly="0" outline="0" fieldPosition="0"/>
    </format>
    <format dxfId="75">
      <pivotArea outline="0" collapsedLevelsAreSubtotals="1" fieldPosition="0"/>
    </format>
    <format dxfId="74">
      <pivotArea dataOnly="0" labelOnly="1" outline="0" fieldPosition="0">
        <references count="1">
          <reference field="4294967294" count="13">
            <x v="0"/>
            <x v="1"/>
            <x v="2"/>
            <x v="3"/>
            <x v="4"/>
            <x v="5"/>
            <x v="6"/>
            <x v="7"/>
            <x v="8"/>
            <x v="9"/>
            <x v="10"/>
            <x v="11"/>
            <x v="12"/>
          </reference>
        </references>
      </pivotArea>
    </format>
    <format dxfId="73">
      <pivotArea field="28" type="button" dataOnly="0" labelOnly="1" outline="0" axis="axisPage" fieldPosition="0"/>
    </format>
    <format dxfId="72">
      <pivotArea outline="0" collapsedLevelsAreSubtotals="1" fieldPosition="0"/>
    </format>
    <format dxfId="71">
      <pivotArea type="all" dataOnly="0" outline="0" fieldPosition="0"/>
    </format>
    <format dxfId="70">
      <pivotArea outline="0" collapsedLevelsAreSubtotals="1" fieldPosition="0"/>
    </format>
    <format dxfId="69">
      <pivotArea dataOnly="0" labelOnly="1" outline="0" fieldPosition="0">
        <references count="1">
          <reference field="4294967294" count="13">
            <x v="0"/>
            <x v="1"/>
            <x v="2"/>
            <x v="3"/>
            <x v="4"/>
            <x v="5"/>
            <x v="6"/>
            <x v="7"/>
            <x v="8"/>
            <x v="9"/>
            <x v="10"/>
            <x v="11"/>
            <x v="12"/>
          </reference>
        </references>
      </pivotArea>
    </format>
  </formats>
  <chartFormats count="14">
    <chartFormat chart="1" format="13" series="1">
      <pivotArea type="data" outline="0" fieldPosition="0">
        <references count="1">
          <reference field="4294967294" count="1" selected="0">
            <x v="0"/>
          </reference>
        </references>
      </pivotArea>
    </chartFormat>
    <chartFormat chart="1" format="14" series="1">
      <pivotArea type="data" outline="0" fieldPosition="0">
        <references count="1">
          <reference field="4294967294" count="1" selected="0">
            <x v="1"/>
          </reference>
        </references>
      </pivotArea>
    </chartFormat>
    <chartFormat chart="1" format="15" series="1">
      <pivotArea type="data" outline="0" fieldPosition="0">
        <references count="1">
          <reference field="4294967294" count="1" selected="0">
            <x v="2"/>
          </reference>
        </references>
      </pivotArea>
    </chartFormat>
    <chartFormat chart="1" format="16" series="1">
      <pivotArea type="data" outline="0" fieldPosition="0">
        <references count="1">
          <reference field="4294967294" count="1" selected="0">
            <x v="3"/>
          </reference>
        </references>
      </pivotArea>
    </chartFormat>
    <chartFormat chart="1" format="17" series="1">
      <pivotArea type="data" outline="0" fieldPosition="0">
        <references count="1">
          <reference field="4294967294" count="1" selected="0">
            <x v="4"/>
          </reference>
        </references>
      </pivotArea>
    </chartFormat>
    <chartFormat chart="1" format="18" series="1">
      <pivotArea type="data" outline="0" fieldPosition="0">
        <references count="1">
          <reference field="4294967294" count="1" selected="0">
            <x v="5"/>
          </reference>
        </references>
      </pivotArea>
    </chartFormat>
    <chartFormat chart="1" format="19" series="1">
      <pivotArea type="data" outline="0" fieldPosition="0">
        <references count="1">
          <reference field="4294967294" count="1" selected="0">
            <x v="6"/>
          </reference>
        </references>
      </pivotArea>
    </chartFormat>
    <chartFormat chart="1" format="20" series="1">
      <pivotArea type="data" outline="0" fieldPosition="0">
        <references count="1">
          <reference field="4294967294" count="1" selected="0">
            <x v="7"/>
          </reference>
        </references>
      </pivotArea>
    </chartFormat>
    <chartFormat chart="1" format="21" series="1">
      <pivotArea type="data" outline="0" fieldPosition="0">
        <references count="1">
          <reference field="4294967294" count="1" selected="0">
            <x v="8"/>
          </reference>
        </references>
      </pivotArea>
    </chartFormat>
    <chartFormat chart="1" format="22" series="1">
      <pivotArea type="data" outline="0" fieldPosition="0">
        <references count="1">
          <reference field="4294967294" count="1" selected="0">
            <x v="9"/>
          </reference>
        </references>
      </pivotArea>
    </chartFormat>
    <chartFormat chart="1" format="23" series="1">
      <pivotArea type="data" outline="0" fieldPosition="0">
        <references count="1">
          <reference field="4294967294" count="1" selected="0">
            <x v="10"/>
          </reference>
        </references>
      </pivotArea>
    </chartFormat>
    <chartFormat chart="1" format="24" series="1">
      <pivotArea type="data" outline="0" fieldPosition="0">
        <references count="1">
          <reference field="4294967294" count="1" selected="0">
            <x v="11"/>
          </reference>
        </references>
      </pivotArea>
    </chartFormat>
    <chartFormat chart="1" format="25" series="1">
      <pivotArea type="data" outline="0" fieldPosition="0">
        <references count="1">
          <reference field="4294967294" count="1" selected="0">
            <x v="12"/>
          </reference>
        </references>
      </pivotArea>
    </chartFormat>
    <chartFormat chart="1" format="26">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C41C6B-2882-4714-B797-6E281C3CF52F}" name="PivotTable1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52:D53" firstHeaderRow="0" firstDataRow="1" firstDataCol="0" rowPageCount="2" colPageCount="1"/>
  <pivotFields count="33">
    <pivotField axis="axisPage"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items count="36">
        <item x="0"/>
        <item x="12"/>
        <item x="1"/>
        <item x="4"/>
        <item x="7"/>
        <item x="24"/>
        <item x="15"/>
        <item x="5"/>
        <item x="9"/>
        <item x="18"/>
        <item x="14"/>
        <item x="2"/>
        <item x="30"/>
        <item x="3"/>
        <item x="10"/>
        <item x="8"/>
        <item x="19"/>
        <item x="17"/>
        <item x="13"/>
        <item x="25"/>
        <item x="22"/>
        <item x="27"/>
        <item x="6"/>
        <item x="29"/>
        <item x="11"/>
        <item x="16"/>
        <item x="20"/>
        <item x="21"/>
        <item x="23"/>
        <item x="26"/>
        <item x="28"/>
        <item x="31"/>
        <item x="32"/>
        <item x="33"/>
        <item x="34"/>
        <item t="default"/>
      </items>
    </pivotField>
    <pivotField showAll="0">
      <items count="7">
        <item sd="0" x="0"/>
        <item sd="0" x="1"/>
        <item sd="0" x="2"/>
        <item sd="0" x="3"/>
        <item sd="0" x="4"/>
        <item sd="0" x="5"/>
        <item t="default"/>
      </items>
    </pivotField>
    <pivotField axis="axisPage" showAll="0">
      <items count="13">
        <item sd="0" x="0"/>
        <item sd="0" x="1"/>
        <item sd="0" x="2"/>
        <item sd="0" x="3"/>
        <item sd="0" x="4"/>
        <item sd="0" x="5"/>
        <item sd="0" x="6"/>
        <item sd="0" x="7"/>
        <item sd="0" x="8"/>
        <item sd="0" x="9"/>
        <item sd="0" x="10"/>
        <item sd="0" x="11"/>
        <item t="default"/>
      </items>
    </pivotField>
  </pivotFields>
  <rowItems count="1">
    <i/>
  </rowItems>
  <colFields count="1">
    <field x="-2"/>
  </colFields>
  <colItems count="4">
    <i>
      <x/>
    </i>
    <i i="1">
      <x v="1"/>
    </i>
    <i i="2">
      <x v="2"/>
    </i>
    <i i="3">
      <x v="3"/>
    </i>
  </colItems>
  <pageFields count="2">
    <pageField fld="0" item="5" hier="-1"/>
    <pageField fld="32" item="1" hier="-1"/>
  </pageFields>
  <dataFields count="4">
    <dataField name="100ml  Romance Body Mist" fld="30" baseField="0" baseItem="1"/>
    <dataField name=" 100ml  Fancy Body Mist" fld="29" baseField="0" baseItem="1"/>
    <dataField name="100ml  Diamond Body Mist" fld="27" baseField="0" baseItem="2"/>
    <dataField name="100ml  Elegance Body Mist" fld="28" baseField="0" baseItem="3"/>
  </dataFields>
  <formats count="9">
    <format dxfId="85">
      <pivotArea type="all" dataOnly="0" outline="0" fieldPosition="0"/>
    </format>
    <format dxfId="84">
      <pivotArea outline="0" collapsedLevelsAreSubtotals="1" fieldPosition="0"/>
    </format>
    <format dxfId="83">
      <pivotArea dataOnly="0" labelOnly="1" outline="0" fieldPosition="0">
        <references count="1">
          <reference field="4294967294" count="4">
            <x v="0"/>
            <x v="1"/>
            <x v="2"/>
            <x v="3"/>
          </reference>
        </references>
      </pivotArea>
    </format>
    <format dxfId="82">
      <pivotArea field="0" type="button" dataOnly="0" labelOnly="1" outline="0" axis="axisPage" fieldPosition="0"/>
    </format>
    <format dxfId="81">
      <pivotArea outline="0" collapsedLevelsAreSubtotals="1" fieldPosition="0">
        <references count="1">
          <reference field="4294967294" count="1" selected="0">
            <x v="3"/>
          </reference>
        </references>
      </pivotArea>
    </format>
    <format dxfId="80">
      <pivotArea outline="0" collapsedLevelsAreSubtotals="1" fieldPosition="0"/>
    </format>
    <format dxfId="79">
      <pivotArea type="all" dataOnly="0" outline="0" fieldPosition="0"/>
    </format>
    <format dxfId="78">
      <pivotArea outline="0" collapsedLevelsAreSubtotals="1" fieldPosition="0"/>
    </format>
    <format dxfId="77">
      <pivotArea dataOnly="0" labelOnly="1" outline="0" fieldPosition="0">
        <references count="1">
          <reference field="4294967294" count="4">
            <x v="0"/>
            <x v="1"/>
            <x v="2"/>
            <x v="3"/>
          </reference>
        </references>
      </pivotArea>
    </format>
  </format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5EB1E1-12C1-EF4A-B494-F30A78A43DCD}"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S3:AE7" firstHeaderRow="0" firstDataRow="1" firstDataCol="1" rowPageCount="1" colPageCount="1"/>
  <pivotFields count="14">
    <pivotField axis="axisPage" multipleItemSelectionAllowed="1" showAll="0">
      <items count="6">
        <item h="1" x="0"/>
        <item x="1"/>
        <item h="1" x="2"/>
        <item h="1" x="3"/>
        <item h="1" x="4"/>
        <item t="default"/>
      </items>
    </pivotField>
    <pivotField axis="axisRow" showAll="0">
      <items count="4">
        <item x="2"/>
        <item x="0"/>
        <item x="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1"/>
  </rowFields>
  <rowItems count="4">
    <i>
      <x/>
    </i>
    <i>
      <x v="1"/>
    </i>
    <i>
      <x v="2"/>
    </i>
    <i t="grand">
      <x/>
    </i>
  </rowItems>
  <colFields count="1">
    <field x="-2"/>
  </colFields>
  <colItems count="12">
    <i>
      <x/>
    </i>
    <i i="1">
      <x v="1"/>
    </i>
    <i i="2">
      <x v="2"/>
    </i>
    <i i="3">
      <x v="3"/>
    </i>
    <i i="4">
      <x v="4"/>
    </i>
    <i i="5">
      <x v="5"/>
    </i>
    <i i="6">
      <x v="6"/>
    </i>
    <i i="7">
      <x v="7"/>
    </i>
    <i i="8">
      <x v="8"/>
    </i>
    <i i="9">
      <x v="9"/>
    </i>
    <i i="10">
      <x v="10"/>
    </i>
    <i i="11">
      <x v="11"/>
    </i>
  </colItems>
  <pageFields count="1">
    <pageField fld="0" hier="-1"/>
  </pageFields>
  <dataFields count="12">
    <dataField name="Sum of Jan" fld="2" baseField="0" baseItem="0"/>
    <dataField name="Sum of Feb" fld="3" baseField="0" baseItem="0"/>
    <dataField name="Sum of Mar" fld="4" baseField="0" baseItem="0"/>
    <dataField name="Sum of Apr" fld="5" baseField="0" baseItem="0"/>
    <dataField name="Sum of May" fld="6" baseField="0" baseItem="0"/>
    <dataField name="Sum of Jun" fld="7" baseField="0" baseItem="0"/>
    <dataField name="Sum of Jul" fld="8" baseField="0" baseItem="0"/>
    <dataField name="Sum of Aug" fld="9" baseField="0" baseItem="0"/>
    <dataField name="Sum of Sep" fld="10" baseField="0" baseItem="0"/>
    <dataField name="Sum of Oct" fld="11" baseField="0" baseItem="0"/>
    <dataField name="Sum of Nov" fld="12" baseField="0" baseItem="0"/>
    <dataField name="Sum of Dec" fld="13" baseField="0" baseItem="0"/>
  </dataFields>
  <formats count="6">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fieldPosition="0">
        <references count="1">
          <reference field="1" count="0"/>
        </references>
      </pivotArea>
    </format>
    <format dxfId="11">
      <pivotArea dataOnly="0" labelOnly="1" grandRow="1" outline="0" fieldPosition="0"/>
    </format>
    <format dxfId="10">
      <pivotArea dataOnly="0" labelOnly="1" outline="0" fieldPosition="0">
        <references count="1">
          <reference field="4294967294" count="12">
            <x v="0"/>
            <x v="1"/>
            <x v="2"/>
            <x v="3"/>
            <x v="4"/>
            <x v="5"/>
            <x v="6"/>
            <x v="7"/>
            <x v="8"/>
            <x v="9"/>
            <x v="10"/>
            <x v="11"/>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0" format="9" series="1">
      <pivotArea type="data" outline="0" fieldPosition="0">
        <references count="1">
          <reference field="4294967294" count="1" selected="0">
            <x v="9"/>
          </reference>
        </references>
      </pivotArea>
    </chartFormat>
    <chartFormat chart="0" format="10" series="1">
      <pivotArea type="data" outline="0" fieldPosition="0">
        <references count="1">
          <reference field="4294967294" count="1" selected="0">
            <x v="10"/>
          </reference>
        </references>
      </pivotArea>
    </chartFormat>
    <chartFormat chart="0" format="11" series="1">
      <pivotArea type="data" outline="0" fieldPosition="0">
        <references count="1">
          <reference field="429496729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63278-D7AD-4CF8-95BF-F4267D0EEDCD}">
  <sheetPr codeName="Sheet1">
    <tabColor rgb="FF002060"/>
  </sheetPr>
  <dimension ref="A1:V52"/>
  <sheetViews>
    <sheetView showGridLines="0" showRowColHeaders="0" zoomScale="76" zoomScaleNormal="120" zoomScalePageLayoutView="120" workbookViewId="0">
      <selection activeCell="U18" sqref="U18"/>
    </sheetView>
  </sheetViews>
  <sheetFormatPr defaultColWidth="8" defaultRowHeight="13" x14ac:dyDescent="0.3"/>
  <cols>
    <col min="1" max="1" width="0.58203125" style="8" customWidth="1"/>
    <col min="2" max="10" width="7.83203125" style="8" customWidth="1"/>
    <col min="11" max="12" width="0.58203125" style="8" customWidth="1"/>
    <col min="13" max="21" width="7.83203125" style="8" customWidth="1"/>
    <col min="22" max="23" width="0.58203125" style="8" customWidth="1"/>
    <col min="24" max="16384" width="8" style="8"/>
  </cols>
  <sheetData>
    <row r="1" spans="1:22" ht="15.75" customHeight="1" x14ac:dyDescent="0.3">
      <c r="A1" s="29"/>
      <c r="B1" s="28" t="s">
        <v>11</v>
      </c>
      <c r="C1" s="27"/>
      <c r="D1" s="27"/>
      <c r="E1" s="27"/>
      <c r="F1" s="27"/>
      <c r="G1" s="27"/>
      <c r="H1" s="27"/>
      <c r="I1" s="27"/>
      <c r="J1" s="26"/>
      <c r="K1" s="25"/>
      <c r="L1" s="24"/>
      <c r="M1" s="23"/>
      <c r="N1" s="22"/>
      <c r="O1" s="22"/>
      <c r="P1" s="22"/>
      <c r="Q1" s="22"/>
      <c r="R1" s="22"/>
      <c r="S1" s="22"/>
      <c r="T1" s="22"/>
      <c r="U1" s="22"/>
      <c r="V1" s="21"/>
    </row>
    <row r="2" spans="1:22" ht="14.25" customHeight="1" x14ac:dyDescent="0.3">
      <c r="A2" s="20"/>
      <c r="B2" s="16" t="s">
        <v>10</v>
      </c>
      <c r="C2" s="16"/>
      <c r="D2" s="16"/>
      <c r="E2" s="16"/>
      <c r="F2" s="16"/>
      <c r="G2" s="16"/>
      <c r="H2" s="16"/>
      <c r="I2" s="16"/>
      <c r="J2" s="16"/>
      <c r="L2" s="15"/>
      <c r="M2" s="14"/>
      <c r="N2" s="14"/>
      <c r="O2" s="14"/>
      <c r="P2" s="14"/>
      <c r="Q2" s="14"/>
      <c r="R2" s="14"/>
      <c r="S2" s="14"/>
      <c r="T2" s="14"/>
      <c r="U2" s="14"/>
      <c r="V2" s="13"/>
    </row>
    <row r="3" spans="1:22" ht="14.25" customHeight="1" x14ac:dyDescent="0.3">
      <c r="B3" s="528" t="s">
        <v>36</v>
      </c>
      <c r="C3" s="528"/>
      <c r="D3" s="528"/>
      <c r="E3" s="528"/>
      <c r="F3" s="528"/>
      <c r="G3" s="528"/>
      <c r="H3" s="528"/>
      <c r="I3" s="528"/>
      <c r="J3" s="528"/>
      <c r="L3" s="15"/>
      <c r="M3" s="14"/>
      <c r="N3" s="14"/>
      <c r="O3" s="14"/>
      <c r="P3" s="14"/>
      <c r="Q3" s="14"/>
      <c r="R3" s="14"/>
      <c r="S3" s="14"/>
      <c r="T3" s="14"/>
      <c r="U3" s="14"/>
      <c r="V3" s="13"/>
    </row>
    <row r="4" spans="1:22" ht="14.25" customHeight="1" x14ac:dyDescent="0.3">
      <c r="B4" s="528"/>
      <c r="C4" s="528"/>
      <c r="D4" s="528"/>
      <c r="E4" s="528"/>
      <c r="F4" s="528"/>
      <c r="G4" s="528"/>
      <c r="H4" s="528"/>
      <c r="I4" s="528"/>
      <c r="J4" s="528"/>
      <c r="L4" s="15"/>
      <c r="M4" s="14"/>
      <c r="N4" s="14"/>
      <c r="O4" s="14"/>
      <c r="P4" s="14"/>
      <c r="Q4" s="14"/>
      <c r="R4" s="14"/>
      <c r="S4" s="14"/>
      <c r="T4" s="14"/>
      <c r="U4" s="14"/>
      <c r="V4" s="13"/>
    </row>
    <row r="5" spans="1:22" ht="14.25" customHeight="1" x14ac:dyDescent="0.3">
      <c r="B5" s="528"/>
      <c r="C5" s="528"/>
      <c r="D5" s="528"/>
      <c r="E5" s="528"/>
      <c r="F5" s="528"/>
      <c r="G5" s="528"/>
      <c r="H5" s="528"/>
      <c r="I5" s="528"/>
      <c r="J5" s="528"/>
      <c r="L5" s="15"/>
      <c r="M5" s="14"/>
      <c r="N5" s="14"/>
      <c r="O5" s="14"/>
      <c r="P5" s="14"/>
      <c r="Q5" s="14"/>
      <c r="R5" s="14"/>
      <c r="S5" s="14"/>
      <c r="T5" s="14"/>
      <c r="U5" s="14"/>
      <c r="V5" s="13"/>
    </row>
    <row r="6" spans="1:22" ht="14.25" customHeight="1" x14ac:dyDescent="0.3">
      <c r="B6" s="528"/>
      <c r="C6" s="528"/>
      <c r="D6" s="528"/>
      <c r="E6" s="528"/>
      <c r="F6" s="528"/>
      <c r="G6" s="528"/>
      <c r="H6" s="528"/>
      <c r="I6" s="528"/>
      <c r="J6" s="528"/>
      <c r="L6" s="15"/>
      <c r="M6" s="14"/>
      <c r="N6" s="14"/>
      <c r="O6" s="14"/>
      <c r="P6" s="14"/>
      <c r="Q6" s="14"/>
      <c r="R6" s="14"/>
      <c r="S6" s="14"/>
      <c r="T6" s="14"/>
      <c r="U6" s="14"/>
      <c r="V6" s="13"/>
    </row>
    <row r="7" spans="1:22" ht="14.25" customHeight="1" x14ac:dyDescent="0.3">
      <c r="B7" s="528"/>
      <c r="C7" s="528"/>
      <c r="D7" s="528"/>
      <c r="E7" s="528"/>
      <c r="F7" s="528"/>
      <c r="G7" s="528"/>
      <c r="H7" s="528"/>
      <c r="I7" s="528"/>
      <c r="J7" s="528"/>
      <c r="L7" s="15"/>
      <c r="M7" s="14"/>
      <c r="N7" s="14"/>
      <c r="O7" s="14"/>
      <c r="P7" s="14"/>
      <c r="Q7" s="14"/>
      <c r="R7" s="14"/>
      <c r="S7" s="14"/>
      <c r="T7" s="14"/>
      <c r="U7" s="14"/>
      <c r="V7" s="13"/>
    </row>
    <row r="8" spans="1:22" ht="14.25" customHeight="1" x14ac:dyDescent="0.3">
      <c r="B8" s="528"/>
      <c r="C8" s="528"/>
      <c r="D8" s="528"/>
      <c r="E8" s="528"/>
      <c r="F8" s="528"/>
      <c r="G8" s="528"/>
      <c r="H8" s="528"/>
      <c r="I8" s="528"/>
      <c r="J8" s="528"/>
      <c r="L8" s="15"/>
      <c r="M8" s="14"/>
      <c r="N8" s="14"/>
      <c r="O8" s="14"/>
      <c r="P8" s="14"/>
      <c r="Q8" s="14"/>
      <c r="R8" s="14"/>
      <c r="S8" s="14"/>
      <c r="T8" s="14"/>
      <c r="U8" s="14"/>
      <c r="V8" s="13"/>
    </row>
    <row r="9" spans="1:22" ht="14.25" customHeight="1" x14ac:dyDescent="0.3">
      <c r="C9" s="19"/>
      <c r="D9" s="19"/>
      <c r="E9" s="19"/>
      <c r="F9" s="19"/>
      <c r="G9" s="19"/>
      <c r="H9" s="19"/>
      <c r="I9" s="19"/>
      <c r="J9" s="19"/>
      <c r="L9" s="15"/>
      <c r="M9" s="14"/>
      <c r="N9" s="14"/>
      <c r="O9" s="14"/>
      <c r="P9" s="14"/>
      <c r="Q9" s="14"/>
      <c r="R9" s="14"/>
      <c r="S9" s="14"/>
      <c r="T9" s="14"/>
      <c r="U9" s="14"/>
      <c r="V9" s="13"/>
    </row>
    <row r="10" spans="1:22" ht="14.25" customHeight="1" x14ac:dyDescent="0.3">
      <c r="B10" s="528" t="s">
        <v>518</v>
      </c>
      <c r="C10" s="528"/>
      <c r="D10" s="528"/>
      <c r="E10" s="528"/>
      <c r="F10" s="528"/>
      <c r="G10" s="528"/>
      <c r="H10" s="528"/>
      <c r="I10" s="528"/>
      <c r="J10" s="528"/>
      <c r="L10" s="15"/>
      <c r="M10" s="526" t="s">
        <v>897</v>
      </c>
      <c r="N10" s="14"/>
      <c r="O10" s="14"/>
      <c r="P10" s="14"/>
      <c r="Q10" s="14"/>
      <c r="R10" s="14"/>
      <c r="S10" s="14"/>
      <c r="T10" s="14"/>
      <c r="U10" s="14"/>
      <c r="V10" s="13"/>
    </row>
    <row r="11" spans="1:22" ht="14.25" customHeight="1" x14ac:dyDescent="0.3">
      <c r="B11" s="528"/>
      <c r="C11" s="528"/>
      <c r="D11" s="528"/>
      <c r="E11" s="528"/>
      <c r="F11" s="528"/>
      <c r="G11" s="528"/>
      <c r="H11" s="528"/>
      <c r="I11" s="528"/>
      <c r="J11" s="528"/>
      <c r="L11" s="15"/>
      <c r="M11" s="525"/>
      <c r="N11" s="14"/>
      <c r="O11" s="14"/>
      <c r="P11" s="14"/>
      <c r="Q11" s="14"/>
      <c r="R11" s="14"/>
      <c r="S11" s="14"/>
      <c r="T11" s="14"/>
      <c r="U11" s="14"/>
      <c r="V11" s="13"/>
    </row>
    <row r="12" spans="1:22" ht="14.25" customHeight="1" x14ac:dyDescent="0.3">
      <c r="B12" s="528"/>
      <c r="C12" s="528"/>
      <c r="D12" s="528"/>
      <c r="E12" s="528"/>
      <c r="F12" s="528"/>
      <c r="G12" s="528"/>
      <c r="H12" s="528"/>
      <c r="I12" s="528"/>
      <c r="J12" s="528"/>
      <c r="L12" s="15"/>
      <c r="M12" s="14"/>
      <c r="N12" s="14"/>
      <c r="O12" s="14"/>
      <c r="P12" s="14"/>
      <c r="Q12" s="14"/>
      <c r="R12" s="14"/>
      <c r="S12" s="14"/>
      <c r="T12" s="14"/>
      <c r="U12" s="14"/>
      <c r="V12" s="13"/>
    </row>
    <row r="13" spans="1:22" ht="14.25" customHeight="1" x14ac:dyDescent="0.3">
      <c r="B13" s="528"/>
      <c r="C13" s="528"/>
      <c r="D13" s="528"/>
      <c r="E13" s="528"/>
      <c r="F13" s="528"/>
      <c r="G13" s="528"/>
      <c r="H13" s="528"/>
      <c r="I13" s="528"/>
      <c r="J13" s="528"/>
      <c r="L13" s="15"/>
      <c r="M13" s="14"/>
      <c r="N13" s="14"/>
      <c r="O13" s="14"/>
      <c r="P13" s="14"/>
      <c r="Q13" s="14"/>
      <c r="R13" s="14"/>
      <c r="S13" s="14"/>
      <c r="T13" s="14"/>
      <c r="U13" s="14"/>
      <c r="V13" s="13"/>
    </row>
    <row r="14" spans="1:22" ht="14.25" customHeight="1" x14ac:dyDescent="0.3">
      <c r="B14" s="528"/>
      <c r="C14" s="528"/>
      <c r="D14" s="528"/>
      <c r="E14" s="528"/>
      <c r="F14" s="528"/>
      <c r="G14" s="528"/>
      <c r="H14" s="528"/>
      <c r="I14" s="528"/>
      <c r="J14" s="528"/>
      <c r="L14" s="15"/>
      <c r="M14" s="14"/>
      <c r="N14" s="14"/>
      <c r="O14" s="14"/>
      <c r="P14" s="14"/>
      <c r="Q14" s="14"/>
      <c r="R14" s="14"/>
      <c r="S14" s="14"/>
      <c r="T14" s="14"/>
      <c r="U14" s="14"/>
      <c r="V14" s="13"/>
    </row>
    <row r="15" spans="1:22" ht="14.25" customHeight="1" x14ac:dyDescent="0.3">
      <c r="B15" s="528"/>
      <c r="C15" s="528"/>
      <c r="D15" s="528"/>
      <c r="E15" s="528"/>
      <c r="F15" s="528"/>
      <c r="G15" s="528"/>
      <c r="H15" s="528"/>
      <c r="I15" s="528"/>
      <c r="J15" s="528"/>
      <c r="L15" s="15"/>
      <c r="M15" s="14"/>
      <c r="N15" s="14"/>
      <c r="O15" s="14"/>
      <c r="P15" s="14"/>
      <c r="Q15" s="14"/>
      <c r="R15" s="14"/>
      <c r="S15" s="14"/>
      <c r="T15" s="14"/>
      <c r="U15" s="14"/>
      <c r="V15" s="13"/>
    </row>
    <row r="16" spans="1:22" ht="14.25" customHeight="1" x14ac:dyDescent="0.3">
      <c r="B16" s="528"/>
      <c r="C16" s="528"/>
      <c r="D16" s="528"/>
      <c r="E16" s="528"/>
      <c r="F16" s="528"/>
      <c r="G16" s="528"/>
      <c r="H16" s="528"/>
      <c r="I16" s="528"/>
      <c r="J16" s="528"/>
      <c r="L16" s="15"/>
      <c r="M16" s="14"/>
      <c r="N16" s="14"/>
      <c r="O16" s="14"/>
      <c r="P16" s="14"/>
      <c r="Q16" s="14"/>
      <c r="R16" s="14"/>
      <c r="S16" s="14"/>
      <c r="T16" s="14"/>
      <c r="U16" s="14"/>
      <c r="V16" s="13"/>
    </row>
    <row r="17" spans="2:22" ht="14.25" customHeight="1" x14ac:dyDescent="0.3">
      <c r="B17" s="19"/>
      <c r="D17" s="19"/>
      <c r="E17" s="19"/>
      <c r="F17" s="527" t="s">
        <v>895</v>
      </c>
      <c r="G17" s="19"/>
      <c r="H17" s="19"/>
      <c r="I17" s="19"/>
      <c r="J17" s="19"/>
      <c r="L17" s="15"/>
      <c r="M17" s="14"/>
      <c r="N17" s="14"/>
      <c r="O17" s="14"/>
      <c r="P17" s="14"/>
      <c r="Q17" s="14"/>
      <c r="R17" s="14"/>
      <c r="S17" s="14"/>
      <c r="T17" s="14"/>
      <c r="U17" s="14"/>
      <c r="V17" s="13"/>
    </row>
    <row r="18" spans="2:22" ht="14.25" customHeight="1" x14ac:dyDescent="0.3">
      <c r="F18" s="8" t="s">
        <v>896</v>
      </c>
      <c r="L18" s="15"/>
      <c r="M18" s="14"/>
      <c r="N18" s="17"/>
      <c r="O18" s="14"/>
      <c r="P18" s="14"/>
      <c r="Q18" s="14"/>
      <c r="R18" s="14"/>
      <c r="S18" s="14"/>
      <c r="T18" s="14"/>
      <c r="U18" s="14"/>
      <c r="V18" s="13"/>
    </row>
    <row r="19" spans="2:22" ht="14.25" customHeight="1" x14ac:dyDescent="0.3">
      <c r="L19" s="15"/>
      <c r="M19" s="14"/>
      <c r="N19" s="18"/>
      <c r="O19" s="14"/>
      <c r="P19" s="14"/>
      <c r="Q19" s="14"/>
      <c r="R19" s="14"/>
      <c r="S19" s="14"/>
      <c r="T19" s="14"/>
      <c r="U19" s="14"/>
      <c r="V19" s="13"/>
    </row>
    <row r="20" spans="2:22" ht="14.25" customHeight="1" x14ac:dyDescent="0.3">
      <c r="L20" s="15"/>
      <c r="M20" s="14"/>
      <c r="N20" s="17"/>
      <c r="O20" s="14"/>
      <c r="P20" s="14"/>
      <c r="Q20" s="14"/>
      <c r="R20" s="14"/>
      <c r="S20" s="14"/>
      <c r="T20" s="14"/>
      <c r="U20" s="14"/>
      <c r="V20" s="13"/>
    </row>
    <row r="21" spans="2:22" ht="14.25" customHeight="1" x14ac:dyDescent="0.3">
      <c r="L21" s="15"/>
      <c r="M21" s="14"/>
      <c r="N21" s="14"/>
      <c r="O21" s="14"/>
      <c r="P21" s="14"/>
      <c r="Q21" s="14"/>
      <c r="R21" s="14"/>
      <c r="S21" s="14"/>
      <c r="T21" s="14"/>
      <c r="U21" s="14"/>
      <c r="V21" s="13"/>
    </row>
    <row r="22" spans="2:22" ht="14.25" customHeight="1" x14ac:dyDescent="0.3">
      <c r="L22" s="15"/>
      <c r="M22" s="14"/>
      <c r="N22" s="14"/>
      <c r="O22" s="14"/>
      <c r="P22" s="14"/>
      <c r="Q22" s="14"/>
      <c r="R22" s="14"/>
      <c r="S22" s="14"/>
      <c r="T22" s="14"/>
      <c r="U22" s="14"/>
      <c r="V22" s="13"/>
    </row>
    <row r="23" spans="2:22" ht="14.25" customHeight="1" x14ac:dyDescent="0.3">
      <c r="B23" s="16"/>
      <c r="C23" s="16"/>
      <c r="D23" s="16"/>
      <c r="E23" s="16"/>
      <c r="F23" s="16"/>
      <c r="G23" s="16"/>
      <c r="H23" s="16"/>
      <c r="I23" s="16"/>
      <c r="J23" s="16"/>
      <c r="L23" s="15"/>
      <c r="M23" s="14"/>
      <c r="N23" s="14"/>
      <c r="O23" s="14"/>
      <c r="P23" s="14"/>
      <c r="Q23" s="14"/>
      <c r="R23" s="14"/>
      <c r="S23" s="14"/>
      <c r="T23" s="14"/>
      <c r="U23" s="14"/>
      <c r="V23" s="13"/>
    </row>
    <row r="24" spans="2:22" ht="14.25" customHeight="1" x14ac:dyDescent="0.3">
      <c r="B24" s="16"/>
      <c r="C24" s="16"/>
      <c r="D24" s="16"/>
      <c r="E24" s="16"/>
      <c r="F24" s="16"/>
      <c r="G24" s="16"/>
      <c r="H24" s="16"/>
      <c r="I24" s="16"/>
      <c r="J24" s="16"/>
      <c r="L24" s="15"/>
      <c r="M24" s="14"/>
      <c r="N24" s="14"/>
      <c r="O24" s="14"/>
      <c r="P24" s="14"/>
      <c r="Q24" s="14"/>
      <c r="R24" s="14"/>
      <c r="S24" s="14"/>
      <c r="T24" s="14"/>
      <c r="U24" s="14"/>
      <c r="V24" s="13"/>
    </row>
    <row r="25" spans="2:22" ht="14.25" customHeight="1" x14ac:dyDescent="0.3">
      <c r="B25" s="16"/>
      <c r="C25" s="16"/>
      <c r="D25" s="16"/>
      <c r="E25" s="16"/>
      <c r="F25" s="16"/>
      <c r="G25" s="16"/>
      <c r="H25" s="16"/>
      <c r="I25" s="16"/>
      <c r="J25" s="16"/>
      <c r="L25" s="15"/>
      <c r="M25" s="14"/>
      <c r="N25" s="14"/>
      <c r="O25" s="14"/>
      <c r="P25" s="14"/>
      <c r="Q25" s="14"/>
      <c r="R25" s="14"/>
      <c r="S25" s="14"/>
      <c r="T25" s="14"/>
      <c r="U25" s="14"/>
      <c r="V25" s="13"/>
    </row>
    <row r="26" spans="2:22" ht="14.25" customHeight="1" x14ac:dyDescent="0.3">
      <c r="B26" s="16"/>
      <c r="C26" s="16"/>
      <c r="D26" s="16"/>
      <c r="E26" s="16"/>
      <c r="F26" s="16"/>
      <c r="G26" s="16"/>
      <c r="H26" s="16"/>
      <c r="I26" s="16"/>
      <c r="J26" s="16"/>
      <c r="L26" s="15"/>
      <c r="M26" s="14"/>
      <c r="N26" s="14"/>
      <c r="O26" s="14"/>
      <c r="P26" s="14"/>
      <c r="Q26" s="14"/>
      <c r="R26" s="14"/>
      <c r="S26" s="14"/>
      <c r="T26" s="14"/>
      <c r="U26" s="14"/>
      <c r="V26" s="13"/>
    </row>
    <row r="27" spans="2:22" ht="14.25" customHeight="1" x14ac:dyDescent="0.3">
      <c r="B27" s="16"/>
      <c r="C27" s="16"/>
      <c r="D27" s="16"/>
      <c r="E27" s="16"/>
      <c r="F27" s="16"/>
      <c r="G27" s="16"/>
      <c r="H27" s="16"/>
      <c r="I27" s="16"/>
      <c r="J27" s="16"/>
      <c r="L27" s="15"/>
      <c r="M27" s="14"/>
      <c r="N27" s="14"/>
      <c r="O27" s="14"/>
      <c r="P27" s="14"/>
      <c r="Q27" s="14"/>
      <c r="R27" s="14"/>
      <c r="S27" s="14"/>
      <c r="T27" s="14"/>
      <c r="U27" s="14"/>
      <c r="V27" s="13"/>
    </row>
    <row r="28" spans="2:22" ht="14.25" customHeight="1" x14ac:dyDescent="0.3">
      <c r="B28" s="16"/>
      <c r="C28" s="16"/>
      <c r="D28" s="16"/>
      <c r="E28" s="16"/>
      <c r="F28" s="16"/>
      <c r="G28" s="16"/>
      <c r="H28" s="16"/>
      <c r="I28" s="16"/>
      <c r="J28" s="16"/>
      <c r="L28" s="15"/>
      <c r="M28" s="14"/>
      <c r="N28" s="14"/>
      <c r="O28" s="14"/>
      <c r="P28" s="14"/>
      <c r="Q28" s="14"/>
      <c r="R28" s="14"/>
      <c r="S28" s="14"/>
      <c r="T28" s="14"/>
      <c r="U28" s="14"/>
      <c r="V28" s="13"/>
    </row>
    <row r="29" spans="2:22" ht="14.25" customHeight="1" x14ac:dyDescent="0.3">
      <c r="L29" s="15"/>
      <c r="M29" s="14"/>
      <c r="N29" s="14"/>
      <c r="O29" s="14"/>
      <c r="P29" s="14"/>
      <c r="Q29" s="14"/>
      <c r="R29" s="14"/>
      <c r="S29" s="14"/>
      <c r="T29" s="14"/>
      <c r="U29" s="14"/>
      <c r="V29" s="13"/>
    </row>
    <row r="30" spans="2:22" ht="14.25" customHeight="1" x14ac:dyDescent="0.3">
      <c r="L30" s="15"/>
      <c r="M30" s="14"/>
      <c r="N30" s="14"/>
      <c r="O30" s="14"/>
      <c r="P30" s="14"/>
      <c r="Q30" s="14"/>
      <c r="R30" s="14"/>
      <c r="S30" s="14"/>
      <c r="T30" s="14"/>
      <c r="U30" s="14"/>
      <c r="V30" s="13"/>
    </row>
    <row r="31" spans="2:22" ht="14.25" customHeight="1" x14ac:dyDescent="0.3">
      <c r="L31" s="15"/>
      <c r="M31" s="14"/>
      <c r="N31" s="14"/>
      <c r="O31" s="14"/>
      <c r="P31" s="14"/>
      <c r="Q31" s="14"/>
      <c r="R31" s="14"/>
      <c r="S31" s="14"/>
      <c r="T31" s="14"/>
      <c r="U31" s="14"/>
      <c r="V31" s="13"/>
    </row>
    <row r="32" spans="2:22" ht="14.25" customHeight="1" x14ac:dyDescent="0.3">
      <c r="L32" s="15"/>
      <c r="M32" s="14"/>
      <c r="N32" s="14"/>
      <c r="O32" s="14"/>
      <c r="P32" s="14"/>
      <c r="Q32" s="14"/>
      <c r="R32" s="14"/>
      <c r="S32" s="14"/>
      <c r="T32" s="14"/>
      <c r="U32" s="14"/>
      <c r="V32" s="13"/>
    </row>
    <row r="33" spans="12:22" ht="14.25" customHeight="1" x14ac:dyDescent="0.3">
      <c r="L33" s="15"/>
      <c r="M33" s="14"/>
      <c r="N33" s="14"/>
      <c r="O33" s="14"/>
      <c r="P33" s="14"/>
      <c r="Q33" s="14"/>
      <c r="R33" s="14"/>
      <c r="S33" s="14"/>
      <c r="T33" s="14"/>
      <c r="U33" s="14"/>
      <c r="V33" s="13"/>
    </row>
    <row r="34" spans="12:22" ht="14.25" customHeight="1" x14ac:dyDescent="0.3">
      <c r="L34" s="15"/>
      <c r="M34" s="14"/>
      <c r="N34" s="14"/>
      <c r="O34" s="14"/>
      <c r="P34" s="14"/>
      <c r="Q34" s="14"/>
      <c r="R34" s="14"/>
      <c r="S34" s="14"/>
      <c r="T34" s="14"/>
      <c r="U34" s="14"/>
      <c r="V34" s="13"/>
    </row>
    <row r="35" spans="12:22" ht="14.25" customHeight="1" x14ac:dyDescent="0.3">
      <c r="L35" s="15"/>
      <c r="M35" s="14"/>
      <c r="N35" s="14"/>
      <c r="O35" s="14"/>
      <c r="P35" s="14"/>
      <c r="Q35" s="14"/>
      <c r="R35" s="14"/>
      <c r="S35" s="14"/>
      <c r="T35" s="14"/>
      <c r="U35" s="14"/>
      <c r="V35" s="13"/>
    </row>
    <row r="36" spans="12:22" ht="14.25" customHeight="1" x14ac:dyDescent="0.3">
      <c r="L36" s="15"/>
      <c r="M36" s="14"/>
      <c r="N36" s="14"/>
      <c r="O36" s="14"/>
      <c r="P36" s="14"/>
      <c r="Q36" s="14"/>
      <c r="R36" s="14"/>
      <c r="S36" s="14"/>
      <c r="T36" s="14"/>
      <c r="U36" s="14"/>
      <c r="V36" s="13"/>
    </row>
    <row r="37" spans="12:22" ht="14.25" customHeight="1" x14ac:dyDescent="0.3">
      <c r="L37" s="15"/>
      <c r="M37" s="14"/>
      <c r="N37" s="14"/>
      <c r="O37" s="14"/>
      <c r="P37" s="14"/>
      <c r="Q37" s="14"/>
      <c r="R37" s="14"/>
      <c r="S37" s="14"/>
      <c r="T37" s="14"/>
      <c r="U37" s="14"/>
      <c r="V37" s="13"/>
    </row>
    <row r="38" spans="12:22" ht="14.25" customHeight="1" x14ac:dyDescent="0.3">
      <c r="L38" s="15"/>
      <c r="M38" s="14"/>
      <c r="N38" s="14"/>
      <c r="O38" s="14"/>
      <c r="P38" s="14"/>
      <c r="Q38" s="14"/>
      <c r="R38" s="14"/>
      <c r="S38" s="14"/>
      <c r="T38" s="14"/>
      <c r="U38" s="14"/>
      <c r="V38" s="13"/>
    </row>
    <row r="39" spans="12:22" ht="14.25" customHeight="1" x14ac:dyDescent="0.3">
      <c r="L39" s="15"/>
      <c r="M39" s="14"/>
      <c r="N39" s="14"/>
      <c r="O39" s="14"/>
      <c r="P39" s="14"/>
      <c r="Q39" s="14"/>
      <c r="R39" s="14"/>
      <c r="S39" s="14"/>
      <c r="T39" s="14"/>
      <c r="U39" s="14"/>
      <c r="V39" s="13"/>
    </row>
    <row r="40" spans="12:22" ht="14.25" customHeight="1" x14ac:dyDescent="0.3">
      <c r="L40" s="15"/>
      <c r="M40" s="14"/>
      <c r="N40" s="14"/>
      <c r="O40" s="14"/>
      <c r="P40" s="14"/>
      <c r="Q40" s="14"/>
      <c r="R40" s="14"/>
      <c r="S40" s="14"/>
      <c r="T40" s="14"/>
      <c r="U40" s="14"/>
      <c r="V40" s="13"/>
    </row>
    <row r="41" spans="12:22" ht="14.25" customHeight="1" x14ac:dyDescent="0.3">
      <c r="L41" s="15"/>
      <c r="M41" s="14"/>
      <c r="N41" s="14"/>
      <c r="O41" s="14"/>
      <c r="P41" s="14"/>
      <c r="Q41" s="14"/>
      <c r="R41" s="14"/>
      <c r="S41" s="14"/>
      <c r="T41" s="14"/>
      <c r="U41" s="14"/>
      <c r="V41" s="13"/>
    </row>
    <row r="42" spans="12:22" ht="14.25" customHeight="1" x14ac:dyDescent="0.3">
      <c r="L42" s="15"/>
      <c r="M42" s="14"/>
      <c r="N42" s="14"/>
      <c r="O42" s="14"/>
      <c r="P42" s="14"/>
      <c r="Q42" s="14"/>
      <c r="R42" s="14"/>
      <c r="S42" s="14"/>
      <c r="T42" s="14"/>
      <c r="U42" s="14"/>
      <c r="V42" s="13"/>
    </row>
    <row r="43" spans="12:22" ht="14.25" customHeight="1" x14ac:dyDescent="0.3">
      <c r="L43" s="15"/>
      <c r="M43" s="14"/>
      <c r="N43" s="14"/>
      <c r="O43" s="14"/>
      <c r="P43" s="14"/>
      <c r="Q43" s="14"/>
      <c r="R43" s="14"/>
      <c r="S43" s="14"/>
      <c r="T43" s="14"/>
      <c r="U43" s="14"/>
      <c r="V43" s="13"/>
    </row>
    <row r="44" spans="12:22" ht="14.25" customHeight="1" x14ac:dyDescent="0.3">
      <c r="L44" s="15"/>
      <c r="M44" s="14"/>
      <c r="N44" s="14"/>
      <c r="O44" s="14"/>
      <c r="P44" s="14"/>
      <c r="Q44" s="14"/>
      <c r="R44" s="14"/>
      <c r="S44" s="14"/>
      <c r="T44" s="14"/>
      <c r="U44" s="14"/>
      <c r="V44" s="13"/>
    </row>
    <row r="45" spans="12:22" ht="14.25" customHeight="1" x14ac:dyDescent="0.3">
      <c r="L45" s="15"/>
      <c r="M45" s="14"/>
      <c r="N45" s="14"/>
      <c r="O45" s="14"/>
      <c r="P45" s="14"/>
      <c r="Q45" s="14"/>
      <c r="R45" s="14"/>
      <c r="S45" s="14"/>
      <c r="T45" s="14"/>
      <c r="U45" s="14"/>
      <c r="V45" s="13"/>
    </row>
    <row r="46" spans="12:22" ht="14.25" customHeight="1" x14ac:dyDescent="0.3">
      <c r="L46" s="15"/>
      <c r="M46" s="14"/>
      <c r="N46" s="14"/>
      <c r="O46" s="14"/>
      <c r="P46" s="14"/>
      <c r="Q46" s="14"/>
      <c r="R46" s="14"/>
      <c r="S46" s="14"/>
      <c r="T46" s="14"/>
      <c r="U46" s="14"/>
      <c r="V46" s="13"/>
    </row>
    <row r="47" spans="12:22" ht="14.25" customHeight="1" x14ac:dyDescent="0.3">
      <c r="L47" s="15"/>
      <c r="M47" s="14"/>
      <c r="N47" s="14"/>
      <c r="O47" s="14"/>
      <c r="P47" s="14"/>
      <c r="Q47" s="14"/>
      <c r="R47" s="14"/>
      <c r="S47" s="14"/>
      <c r="T47" s="14"/>
      <c r="U47" s="14"/>
      <c r="V47" s="13"/>
    </row>
    <row r="48" spans="12:22" ht="14.25" customHeight="1" x14ac:dyDescent="0.3">
      <c r="L48" s="15"/>
      <c r="M48" s="14"/>
      <c r="N48" s="14"/>
      <c r="O48" s="14"/>
      <c r="P48" s="14"/>
      <c r="Q48" s="14"/>
      <c r="R48" s="14"/>
      <c r="S48" s="14"/>
      <c r="T48" s="14"/>
      <c r="U48" s="14"/>
      <c r="V48" s="13"/>
    </row>
    <row r="49" spans="2:22" ht="14.25" customHeight="1" x14ac:dyDescent="0.3">
      <c r="L49" s="15"/>
      <c r="M49" s="14"/>
      <c r="N49" s="14"/>
      <c r="O49" s="14"/>
      <c r="P49" s="14"/>
      <c r="Q49" s="14"/>
      <c r="R49" s="14"/>
      <c r="S49" s="14"/>
      <c r="T49" s="14"/>
      <c r="U49" s="14"/>
      <c r="V49" s="13"/>
    </row>
    <row r="50" spans="2:22" ht="14.25" customHeight="1" x14ac:dyDescent="0.3">
      <c r="L50" s="15"/>
      <c r="M50" s="14"/>
      <c r="N50" s="14"/>
      <c r="O50" s="14"/>
      <c r="P50" s="14"/>
      <c r="Q50" s="14"/>
      <c r="R50" s="14"/>
      <c r="S50" s="14"/>
      <c r="T50" s="14"/>
      <c r="U50" s="14"/>
      <c r="V50" s="13"/>
    </row>
    <row r="51" spans="2:22" ht="14.25" customHeight="1" x14ac:dyDescent="0.3">
      <c r="B51" s="12"/>
      <c r="C51" s="12"/>
      <c r="D51" s="12"/>
      <c r="E51" s="12"/>
      <c r="F51" s="12"/>
      <c r="G51" s="12"/>
      <c r="H51" s="12"/>
      <c r="I51" s="12"/>
      <c r="J51" s="12"/>
      <c r="L51" s="15"/>
      <c r="M51" s="14"/>
      <c r="N51" s="14"/>
      <c r="O51" s="14"/>
      <c r="P51" s="14"/>
      <c r="Q51" s="14"/>
      <c r="R51" s="14"/>
      <c r="S51" s="14"/>
      <c r="T51" s="14"/>
      <c r="U51" s="14"/>
      <c r="V51" s="13"/>
    </row>
    <row r="52" spans="2:22" ht="14.25" customHeight="1" x14ac:dyDescent="0.3">
      <c r="B52" s="12"/>
      <c r="C52" s="12"/>
      <c r="D52" s="12"/>
      <c r="E52" s="12"/>
      <c r="F52" s="12"/>
      <c r="G52" s="12"/>
      <c r="H52" s="12"/>
      <c r="I52" s="12"/>
      <c r="J52" s="12"/>
      <c r="L52" s="11"/>
      <c r="M52" s="10"/>
      <c r="N52" s="10"/>
      <c r="O52" s="10"/>
      <c r="P52" s="10"/>
      <c r="Q52" s="10"/>
      <c r="R52" s="10"/>
      <c r="S52" s="10"/>
      <c r="T52" s="10"/>
      <c r="U52" s="10"/>
      <c r="V52" s="9"/>
    </row>
  </sheetData>
  <mergeCells count="2">
    <mergeCell ref="B3:J8"/>
    <mergeCell ref="B10:J16"/>
  </mergeCells>
  <pageMargins left="0.74803149606299213" right="0.74803149606299213" top="0.74803149606299213" bottom="0.74803149606299213" header="0.31496062992125984" footer="0.31496062992125984"/>
  <pageSetup paperSize="9" orientation="portrait"/>
  <headerFooter alignWithMargins="0">
    <oddFooter>&amp;L&amp;"-,Regular"LeongTY&amp;R&amp;"-,Regular"&amp;F/&amp;A</oddFooter>
  </headerFooter>
  <colBreaks count="2" manualBreakCount="2">
    <brk id="11" max="1048575" man="1"/>
    <brk id="22"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DashBoard">
                <anchor moveWithCells="1" sizeWithCells="1">
                  <from>
                    <xdr:col>12</xdr:col>
                    <xdr:colOff>50800</xdr:colOff>
                    <xdr:row>10</xdr:row>
                    <xdr:rowOff>38100</xdr:rowOff>
                  </from>
                  <to>
                    <xdr:col>15</xdr:col>
                    <xdr:colOff>88900</xdr:colOff>
                    <xdr:row>11</xdr:row>
                    <xdr:rowOff>50800</xdr:rowOff>
                  </to>
                </anchor>
              </controlPr>
            </control>
          </mc:Choice>
        </mc:AlternateContent>
        <mc:AlternateContent xmlns:mc="http://schemas.openxmlformats.org/markup-compatibility/2006">
          <mc:Choice Requires="x14">
            <control shapeId="1027" r:id="rId4" name="Button 3">
              <controlPr defaultSize="0" print="0" autoFill="0" autoPict="0" macro="[0]!Order_Summary">
                <anchor moveWithCells="1" sizeWithCells="1">
                  <from>
                    <xdr:col>12</xdr:col>
                    <xdr:colOff>44450</xdr:colOff>
                    <xdr:row>11</xdr:row>
                    <xdr:rowOff>63500</xdr:rowOff>
                  </from>
                  <to>
                    <xdr:col>15</xdr:col>
                    <xdr:colOff>82550</xdr:colOff>
                    <xdr:row>12</xdr:row>
                    <xdr:rowOff>76200</xdr:rowOff>
                  </to>
                </anchor>
              </controlPr>
            </control>
          </mc:Choice>
        </mc:AlternateContent>
        <mc:AlternateContent xmlns:mc="http://schemas.openxmlformats.org/markup-compatibility/2006">
          <mc:Choice Requires="x14">
            <control shapeId="1028" r:id="rId5" name="Button 4">
              <controlPr defaultSize="0" print="0" autoFill="0" autoPict="0" macro="[0]!Overall_Influence">
                <anchor moveWithCells="1" sizeWithCells="1">
                  <from>
                    <xdr:col>12</xdr:col>
                    <xdr:colOff>50800</xdr:colOff>
                    <xdr:row>12</xdr:row>
                    <xdr:rowOff>88900</xdr:rowOff>
                  </from>
                  <to>
                    <xdr:col>15</xdr:col>
                    <xdr:colOff>88900</xdr:colOff>
                    <xdr:row>13</xdr:row>
                    <xdr:rowOff>101600</xdr:rowOff>
                  </to>
                </anchor>
              </controlPr>
            </control>
          </mc:Choice>
        </mc:AlternateContent>
        <mc:AlternateContent xmlns:mc="http://schemas.openxmlformats.org/markup-compatibility/2006">
          <mc:Choice Requires="x14">
            <control shapeId="1029" r:id="rId6" name="Button 5">
              <controlPr defaultSize="0" print="0" autoFill="0" autoPict="0" macro="[0]!Black_Box">
                <anchor moveWithCells="1" sizeWithCells="1">
                  <from>
                    <xdr:col>12</xdr:col>
                    <xdr:colOff>44450</xdr:colOff>
                    <xdr:row>13</xdr:row>
                    <xdr:rowOff>114300</xdr:rowOff>
                  </from>
                  <to>
                    <xdr:col>15</xdr:col>
                    <xdr:colOff>82550</xdr:colOff>
                    <xdr:row>14</xdr:row>
                    <xdr:rowOff>127000</xdr:rowOff>
                  </to>
                </anchor>
              </controlPr>
            </control>
          </mc:Choice>
        </mc:AlternateContent>
        <mc:AlternateContent xmlns:mc="http://schemas.openxmlformats.org/markup-compatibility/2006">
          <mc:Choice Requires="x14">
            <control shapeId="1030" r:id="rId7" name="Button 6">
              <controlPr defaultSize="0" print="0" autoFill="0" autoPict="0" macro="[0]!Influence_Profits">
                <anchor moveWithCells="1" sizeWithCells="1">
                  <from>
                    <xdr:col>12</xdr:col>
                    <xdr:colOff>50800</xdr:colOff>
                    <xdr:row>14</xdr:row>
                    <xdr:rowOff>146050</xdr:rowOff>
                  </from>
                  <to>
                    <xdr:col>15</xdr:col>
                    <xdr:colOff>88900</xdr:colOff>
                    <xdr:row>15</xdr:row>
                    <xdr:rowOff>158750</xdr:rowOff>
                  </to>
                </anchor>
              </controlPr>
            </control>
          </mc:Choice>
        </mc:AlternateContent>
        <mc:AlternateContent xmlns:mc="http://schemas.openxmlformats.org/markup-compatibility/2006">
          <mc:Choice Requires="x14">
            <control shapeId="1031" r:id="rId8" name="Button 7">
              <controlPr defaultSize="0" print="0" autoFill="0" autoPict="0" macro="[0]!Past_Inputs">
                <anchor moveWithCells="1" sizeWithCells="1">
                  <from>
                    <xdr:col>12</xdr:col>
                    <xdr:colOff>50800</xdr:colOff>
                    <xdr:row>15</xdr:row>
                    <xdr:rowOff>165100</xdr:rowOff>
                  </from>
                  <to>
                    <xdr:col>15</xdr:col>
                    <xdr:colOff>88900</xdr:colOff>
                    <xdr:row>17</xdr:row>
                    <xdr:rowOff>0</xdr:rowOff>
                  </to>
                </anchor>
              </controlPr>
            </control>
          </mc:Choice>
        </mc:AlternateContent>
        <mc:AlternateContent xmlns:mc="http://schemas.openxmlformats.org/markup-compatibility/2006">
          <mc:Choice Requires="x14">
            <control shapeId="1032" r:id="rId9" name="Button 8">
              <controlPr defaultSize="0" print="0" autoFill="0" autoPict="0" macro="[0]!Marketing_Effects">
                <anchor moveWithCells="1" sizeWithCells="1">
                  <from>
                    <xdr:col>12</xdr:col>
                    <xdr:colOff>50800</xdr:colOff>
                    <xdr:row>17</xdr:row>
                    <xdr:rowOff>12700</xdr:rowOff>
                  </from>
                  <to>
                    <xdr:col>15</xdr:col>
                    <xdr:colOff>88900</xdr:colOff>
                    <xdr:row>18</xdr:row>
                    <xdr:rowOff>25400</xdr:rowOff>
                  </to>
                </anchor>
              </controlPr>
            </control>
          </mc:Choice>
        </mc:AlternateContent>
        <mc:AlternateContent xmlns:mc="http://schemas.openxmlformats.org/markup-compatibility/2006">
          <mc:Choice Requires="x14">
            <control shapeId="1033" r:id="rId10" name="Button 9">
              <controlPr defaultSize="0" print="0" autoFill="0" autoPict="0" macro="[0]!Sensitivity">
                <anchor moveWithCells="1" sizeWithCells="1">
                  <from>
                    <xdr:col>12</xdr:col>
                    <xdr:colOff>50800</xdr:colOff>
                    <xdr:row>18</xdr:row>
                    <xdr:rowOff>38100</xdr:rowOff>
                  </from>
                  <to>
                    <xdr:col>15</xdr:col>
                    <xdr:colOff>88900</xdr:colOff>
                    <xdr:row>19</xdr:row>
                    <xdr:rowOff>50800</xdr:rowOff>
                  </to>
                </anchor>
              </controlPr>
            </control>
          </mc:Choice>
        </mc:AlternateContent>
        <mc:AlternateContent xmlns:mc="http://schemas.openxmlformats.org/markup-compatibility/2006">
          <mc:Choice Requires="x14">
            <control shapeId="1034" r:id="rId11" name="Button 10">
              <controlPr defaultSize="0" print="0" autoFill="0" autoPict="0" macro="[0]!PED">
                <anchor moveWithCells="1" sizeWithCells="1">
                  <from>
                    <xdr:col>12</xdr:col>
                    <xdr:colOff>44450</xdr:colOff>
                    <xdr:row>19</xdr:row>
                    <xdr:rowOff>57150</xdr:rowOff>
                  </from>
                  <to>
                    <xdr:col>15</xdr:col>
                    <xdr:colOff>82550</xdr:colOff>
                    <xdr:row>20</xdr:row>
                    <xdr:rowOff>69850</xdr:rowOff>
                  </to>
                </anchor>
              </controlPr>
            </control>
          </mc:Choice>
        </mc:AlternateContent>
        <mc:AlternateContent xmlns:mc="http://schemas.openxmlformats.org/markup-compatibility/2006">
          <mc:Choice Requires="x14">
            <control shapeId="1035" r:id="rId12" name="Button 11">
              <controlPr defaultSize="0" print="0" autoFill="0" autoPict="0" macro="[0]!TradeOff">
                <anchor moveWithCells="1" sizeWithCells="1">
                  <from>
                    <xdr:col>12</xdr:col>
                    <xdr:colOff>50800</xdr:colOff>
                    <xdr:row>20</xdr:row>
                    <xdr:rowOff>82550</xdr:rowOff>
                  </from>
                  <to>
                    <xdr:col>15</xdr:col>
                    <xdr:colOff>88900</xdr:colOff>
                    <xdr:row>21</xdr:row>
                    <xdr:rowOff>101600</xdr:rowOff>
                  </to>
                </anchor>
              </controlPr>
            </control>
          </mc:Choice>
        </mc:AlternateContent>
        <mc:AlternateContent xmlns:mc="http://schemas.openxmlformats.org/markup-compatibility/2006">
          <mc:Choice Requires="x14">
            <control shapeId="1036" r:id="rId13" name="Button 12">
              <controlPr defaultSize="0" print="0" autoFill="0" autoPict="0" macro="[0]!Sensitivity_PED">
                <anchor moveWithCells="1" sizeWithCells="1">
                  <from>
                    <xdr:col>12</xdr:col>
                    <xdr:colOff>44450</xdr:colOff>
                    <xdr:row>21</xdr:row>
                    <xdr:rowOff>114300</xdr:rowOff>
                  </from>
                  <to>
                    <xdr:col>15</xdr:col>
                    <xdr:colOff>82550</xdr:colOff>
                    <xdr:row>22</xdr:row>
                    <xdr:rowOff>127000</xdr:rowOff>
                  </to>
                </anchor>
              </controlPr>
            </control>
          </mc:Choice>
        </mc:AlternateContent>
        <mc:AlternateContent xmlns:mc="http://schemas.openxmlformats.org/markup-compatibility/2006">
          <mc:Choice Requires="x14">
            <control shapeId="1037" r:id="rId14" name="Button 13">
              <controlPr defaultSize="0" print="0" autoFill="0" autoPict="0" macro="[0]!Solver">
                <anchor moveWithCells="1" sizeWithCells="1">
                  <from>
                    <xdr:col>12</xdr:col>
                    <xdr:colOff>44450</xdr:colOff>
                    <xdr:row>22</xdr:row>
                    <xdr:rowOff>120650</xdr:rowOff>
                  </from>
                  <to>
                    <xdr:col>15</xdr:col>
                    <xdr:colOff>82550</xdr:colOff>
                    <xdr:row>23</xdr:row>
                    <xdr:rowOff>133350</xdr:rowOff>
                  </to>
                </anchor>
              </controlPr>
            </control>
          </mc:Choice>
        </mc:AlternateContent>
        <mc:AlternateContent xmlns:mc="http://schemas.openxmlformats.org/markup-compatibility/2006">
          <mc:Choice Requires="x14">
            <control shapeId="1038" r:id="rId15" name="Button 14">
              <controlPr defaultSize="0" print="0" autoFill="0" autoPict="0" macro="[0]!Influence_Valuation">
                <anchor moveWithCells="1" sizeWithCells="1">
                  <from>
                    <xdr:col>15</xdr:col>
                    <xdr:colOff>190500</xdr:colOff>
                    <xdr:row>10</xdr:row>
                    <xdr:rowOff>31750</xdr:rowOff>
                  </from>
                  <to>
                    <xdr:col>18</xdr:col>
                    <xdr:colOff>228600</xdr:colOff>
                    <xdr:row>11</xdr:row>
                    <xdr:rowOff>44450</xdr:rowOff>
                  </to>
                </anchor>
              </controlPr>
            </control>
          </mc:Choice>
        </mc:AlternateContent>
        <mc:AlternateContent xmlns:mc="http://schemas.openxmlformats.org/markup-compatibility/2006">
          <mc:Choice Requires="x14">
            <control shapeId="1039" r:id="rId16" name="Button 15">
              <controlPr defaultSize="0" print="0" autoFill="0" autoPict="0" macro="[0]!Growth_Projection">
                <anchor moveWithCells="1" sizeWithCells="1">
                  <from>
                    <xdr:col>15</xdr:col>
                    <xdr:colOff>196850</xdr:colOff>
                    <xdr:row>11</xdr:row>
                    <xdr:rowOff>57150</xdr:rowOff>
                  </from>
                  <to>
                    <xdr:col>18</xdr:col>
                    <xdr:colOff>234950</xdr:colOff>
                    <xdr:row>12</xdr:row>
                    <xdr:rowOff>69850</xdr:rowOff>
                  </to>
                </anchor>
              </controlPr>
            </control>
          </mc:Choice>
        </mc:AlternateContent>
        <mc:AlternateContent xmlns:mc="http://schemas.openxmlformats.org/markup-compatibility/2006">
          <mc:Choice Requires="x14">
            <control shapeId="1040" r:id="rId17" name="Button 16">
              <controlPr defaultSize="0" print="0" autoFill="0" autoPict="0">
                <anchor moveWithCells="1" sizeWithCells="1">
                  <from>
                    <xdr:col>15</xdr:col>
                    <xdr:colOff>190500</xdr:colOff>
                    <xdr:row>12</xdr:row>
                    <xdr:rowOff>76200</xdr:rowOff>
                  </from>
                  <to>
                    <xdr:col>18</xdr:col>
                    <xdr:colOff>228600</xdr:colOff>
                    <xdr:row>13</xdr:row>
                    <xdr:rowOff>88900</xdr:rowOff>
                  </to>
                </anchor>
              </controlPr>
            </control>
          </mc:Choice>
        </mc:AlternateContent>
        <mc:AlternateContent xmlns:mc="http://schemas.openxmlformats.org/markup-compatibility/2006">
          <mc:Choice Requires="x14">
            <control shapeId="1041" r:id="rId18" name="Button 17">
              <controlPr defaultSize="0" print="0" autoFill="0" autoPict="0" macro="[0]!Expansion">
                <anchor moveWithCells="1" sizeWithCells="1">
                  <from>
                    <xdr:col>15</xdr:col>
                    <xdr:colOff>196850</xdr:colOff>
                    <xdr:row>13</xdr:row>
                    <xdr:rowOff>101600</xdr:rowOff>
                  </from>
                  <to>
                    <xdr:col>18</xdr:col>
                    <xdr:colOff>234950</xdr:colOff>
                    <xdr:row>14</xdr:row>
                    <xdr:rowOff>114300</xdr:rowOff>
                  </to>
                </anchor>
              </controlPr>
            </control>
          </mc:Choice>
        </mc:AlternateContent>
        <mc:AlternateContent xmlns:mc="http://schemas.openxmlformats.org/markup-compatibility/2006">
          <mc:Choice Requires="x14">
            <control shapeId="1042" r:id="rId19" name="Button 18">
              <controlPr defaultSize="0" print="0" autoFill="0" autoPict="0" macro="[0]!Influence_Inventory">
                <anchor moveWithCells="1" sizeWithCells="1">
                  <from>
                    <xdr:col>15</xdr:col>
                    <xdr:colOff>196850</xdr:colOff>
                    <xdr:row>14</xdr:row>
                    <xdr:rowOff>120650</xdr:rowOff>
                  </from>
                  <to>
                    <xdr:col>18</xdr:col>
                    <xdr:colOff>234950</xdr:colOff>
                    <xdr:row>15</xdr:row>
                    <xdr:rowOff>133350</xdr:rowOff>
                  </to>
                </anchor>
              </controlPr>
            </control>
          </mc:Choice>
        </mc:AlternateContent>
        <mc:AlternateContent xmlns:mc="http://schemas.openxmlformats.org/markup-compatibility/2006">
          <mc:Choice Requires="x14">
            <control shapeId="1043" r:id="rId20" name="Button 19">
              <controlPr defaultSize="0" print="0" autoFill="0" autoPict="0" macro="[0]!Seasonality_Analysis">
                <anchor moveWithCells="1" sizeWithCells="1">
                  <from>
                    <xdr:col>15</xdr:col>
                    <xdr:colOff>196850</xdr:colOff>
                    <xdr:row>15</xdr:row>
                    <xdr:rowOff>139700</xdr:rowOff>
                  </from>
                  <to>
                    <xdr:col>18</xdr:col>
                    <xdr:colOff>234950</xdr:colOff>
                    <xdr:row>16</xdr:row>
                    <xdr:rowOff>152400</xdr:rowOff>
                  </to>
                </anchor>
              </controlPr>
            </control>
          </mc:Choice>
        </mc:AlternateContent>
        <mc:AlternateContent xmlns:mc="http://schemas.openxmlformats.org/markup-compatibility/2006">
          <mc:Choice Requires="x14">
            <control shapeId="1044" r:id="rId21" name="Button 20">
              <controlPr defaultSize="0" print="0" autoFill="0" autoPict="0" macro="[0]!Forecasting_30ml">
                <anchor moveWithCells="1" sizeWithCells="1">
                  <from>
                    <xdr:col>15</xdr:col>
                    <xdr:colOff>196850</xdr:colOff>
                    <xdr:row>16</xdr:row>
                    <xdr:rowOff>158750</xdr:rowOff>
                  </from>
                  <to>
                    <xdr:col>18</xdr:col>
                    <xdr:colOff>234950</xdr:colOff>
                    <xdr:row>17</xdr:row>
                    <xdr:rowOff>171450</xdr:rowOff>
                  </to>
                </anchor>
              </controlPr>
            </control>
          </mc:Choice>
        </mc:AlternateContent>
        <mc:AlternateContent xmlns:mc="http://schemas.openxmlformats.org/markup-compatibility/2006">
          <mc:Choice Requires="x14">
            <control shapeId="1045" r:id="rId22" name="Button 21">
              <controlPr defaultSize="0" print="0" autoFill="0" autoPict="0" macro="[0]!Forecasting_50ml">
                <anchor moveWithCells="1" sizeWithCells="1">
                  <from>
                    <xdr:col>15</xdr:col>
                    <xdr:colOff>190500</xdr:colOff>
                    <xdr:row>18</xdr:row>
                    <xdr:rowOff>12700</xdr:rowOff>
                  </from>
                  <to>
                    <xdr:col>18</xdr:col>
                    <xdr:colOff>228600</xdr:colOff>
                    <xdr:row>19</xdr:row>
                    <xdr:rowOff>19050</xdr:rowOff>
                  </to>
                </anchor>
              </controlPr>
            </control>
          </mc:Choice>
        </mc:AlternateContent>
        <mc:AlternateContent xmlns:mc="http://schemas.openxmlformats.org/markup-compatibility/2006">
          <mc:Choice Requires="x14">
            <control shapeId="1046" r:id="rId23" name="Button 22">
              <controlPr defaultSize="0" print="0" autoFill="0" autoPict="0" macro="[0]!Forecasting_100ml">
                <anchor moveWithCells="1" sizeWithCells="1">
                  <from>
                    <xdr:col>15</xdr:col>
                    <xdr:colOff>196850</xdr:colOff>
                    <xdr:row>19</xdr:row>
                    <xdr:rowOff>31750</xdr:rowOff>
                  </from>
                  <to>
                    <xdr:col>18</xdr:col>
                    <xdr:colOff>234950</xdr:colOff>
                    <xdr:row>20</xdr:row>
                    <xdr:rowOff>44450</xdr:rowOff>
                  </to>
                </anchor>
              </controlPr>
            </control>
          </mc:Choice>
        </mc:AlternateContent>
        <mc:AlternateContent xmlns:mc="http://schemas.openxmlformats.org/markup-compatibility/2006">
          <mc:Choice Requires="x14">
            <control shapeId="1047" r:id="rId24" name="Button 23">
              <controlPr defaultSize="0" print="0" autoFill="0" autoPict="0" macro="[0]!Fractions">
                <anchor moveWithCells="1" sizeWithCells="1">
                  <from>
                    <xdr:col>15</xdr:col>
                    <xdr:colOff>190500</xdr:colOff>
                    <xdr:row>20</xdr:row>
                    <xdr:rowOff>63500</xdr:rowOff>
                  </from>
                  <to>
                    <xdr:col>18</xdr:col>
                    <xdr:colOff>228600</xdr:colOff>
                    <xdr:row>21</xdr:row>
                    <xdr:rowOff>76200</xdr:rowOff>
                  </to>
                </anchor>
              </controlPr>
            </control>
          </mc:Choice>
        </mc:AlternateContent>
        <mc:AlternateContent xmlns:mc="http://schemas.openxmlformats.org/markup-compatibility/2006">
          <mc:Choice Requires="x14">
            <control shapeId="1048" r:id="rId25" name="Button 24">
              <controlPr defaultSize="0" print="0" autoFill="0" autoPict="0" macro="[0]!Order_Quantity">
                <anchor moveWithCells="1" sizeWithCells="1">
                  <from>
                    <xdr:col>15</xdr:col>
                    <xdr:colOff>196850</xdr:colOff>
                    <xdr:row>21</xdr:row>
                    <xdr:rowOff>88900</xdr:rowOff>
                  </from>
                  <to>
                    <xdr:col>18</xdr:col>
                    <xdr:colOff>234950</xdr:colOff>
                    <xdr:row>22</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03D5D-CEF4-4BDF-9033-C8F8C74A765A}">
  <sheetPr codeName="Sheet2">
    <tabColor theme="8" tint="0.39997558519241921"/>
  </sheetPr>
  <dimension ref="A1:I39"/>
  <sheetViews>
    <sheetView showGridLines="0" zoomScale="55" zoomScaleNormal="55" workbookViewId="0">
      <selection activeCell="D26" sqref="D26"/>
    </sheetView>
  </sheetViews>
  <sheetFormatPr defaultColWidth="11" defaultRowHeight="15.5" x14ac:dyDescent="0.35"/>
  <cols>
    <col min="1" max="1" width="41.33203125" style="82" customWidth="1"/>
    <col min="2" max="2" width="37" style="82" customWidth="1"/>
    <col min="3" max="3" width="4.33203125" customWidth="1"/>
    <col min="4" max="4" width="76.33203125" bestFit="1" customWidth="1"/>
    <col min="5" max="5" width="50.58203125" customWidth="1"/>
    <col min="6" max="6" width="59.08203125" customWidth="1"/>
    <col min="7" max="8" width="30.83203125" customWidth="1"/>
  </cols>
  <sheetData>
    <row r="1" spans="1:9" ht="16" customHeight="1" x14ac:dyDescent="0.35">
      <c r="A1" s="529" t="s">
        <v>894</v>
      </c>
      <c r="B1" s="529"/>
      <c r="C1" s="529"/>
      <c r="D1" s="529"/>
      <c r="E1" s="529"/>
      <c r="F1" s="529"/>
      <c r="G1" s="529"/>
      <c r="H1" s="422"/>
      <c r="I1" s="421"/>
    </row>
    <row r="2" spans="1:9" ht="16" customHeight="1" x14ac:dyDescent="0.35">
      <c r="A2" s="529"/>
      <c r="B2" s="529"/>
      <c r="C2" s="529"/>
      <c r="D2" s="529"/>
      <c r="E2" s="529"/>
      <c r="F2" s="529"/>
      <c r="G2" s="529"/>
      <c r="H2" s="422"/>
      <c r="I2" s="421"/>
    </row>
    <row r="3" spans="1:9" ht="16" customHeight="1" x14ac:dyDescent="0.35">
      <c r="A3" s="529"/>
      <c r="B3" s="529"/>
      <c r="C3" s="529"/>
      <c r="D3" s="529"/>
      <c r="E3" s="529"/>
      <c r="F3" s="529"/>
      <c r="G3" s="529"/>
      <c r="H3" s="422"/>
      <c r="I3" s="421"/>
    </row>
    <row r="4" spans="1:9" ht="16" customHeight="1" x14ac:dyDescent="0.35">
      <c r="A4" s="530" t="s">
        <v>893</v>
      </c>
      <c r="B4" s="423"/>
      <c r="C4" s="420"/>
      <c r="D4" s="531" t="s">
        <v>892</v>
      </c>
      <c r="E4" s="418"/>
      <c r="G4" s="418"/>
      <c r="H4" s="418"/>
      <c r="I4" s="418"/>
    </row>
    <row r="5" spans="1:9" ht="16" customHeight="1" x14ac:dyDescent="0.35">
      <c r="A5" s="530"/>
      <c r="B5" s="423"/>
      <c r="C5" s="420"/>
      <c r="D5" s="531"/>
      <c r="E5" s="418"/>
      <c r="G5" s="418"/>
      <c r="H5" s="418"/>
      <c r="I5" s="418"/>
    </row>
    <row r="6" spans="1:9" ht="16" customHeight="1" x14ac:dyDescent="0.5">
      <c r="A6" s="419" t="s">
        <v>891</v>
      </c>
      <c r="C6" s="415"/>
      <c r="D6" s="419" t="s">
        <v>890</v>
      </c>
      <c r="H6" s="418"/>
    </row>
    <row r="7" spans="1:9" x14ac:dyDescent="0.35">
      <c r="C7" s="318"/>
      <c r="E7" t="s">
        <v>889</v>
      </c>
    </row>
    <row r="8" spans="1:9" ht="21" x14ac:dyDescent="0.5">
      <c r="A8" s="454" t="s">
        <v>898</v>
      </c>
      <c r="B8" s="442"/>
      <c r="C8" s="318"/>
      <c r="D8" s="454" t="s">
        <v>888</v>
      </c>
      <c r="E8" s="417">
        <v>2022</v>
      </c>
    </row>
    <row r="9" spans="1:9" x14ac:dyDescent="0.35">
      <c r="A9" s="448" t="s">
        <v>116</v>
      </c>
      <c r="B9" s="443">
        <v>56</v>
      </c>
      <c r="C9" s="318"/>
      <c r="D9" s="450" t="s">
        <v>46</v>
      </c>
      <c r="E9" s="443">
        <f ca="1">LOOKUP(E8,'Expansion Plans (Monte Carlo)'!D11:R11,'Expansion Plans (Monte Carlo)'!D34:R34)</f>
        <v>579846.59706289542</v>
      </c>
    </row>
    <row r="10" spans="1:9" x14ac:dyDescent="0.35">
      <c r="A10" s="448" t="s">
        <v>118</v>
      </c>
      <c r="B10" s="443">
        <v>82</v>
      </c>
      <c r="C10" s="416"/>
      <c r="D10" s="450" t="s">
        <v>887</v>
      </c>
      <c r="E10" s="443">
        <f ca="1">LOOKUP(E8,'Expansion Plans (Monte Carlo)'!D11:R11,'Expansion Plans (Monte Carlo)'!D36:R36)</f>
        <v>419312.21475629497</v>
      </c>
    </row>
    <row r="11" spans="1:9" x14ac:dyDescent="0.35">
      <c r="A11" s="449" t="s">
        <v>886</v>
      </c>
      <c r="B11" s="444">
        <v>18</v>
      </c>
      <c r="C11" s="318"/>
      <c r="D11" s="450" t="s">
        <v>885</v>
      </c>
      <c r="E11" s="443">
        <f ca="1">LOOKUP(E8,'Expansion Plans (Monte Carlo)'!D11:R11,'Expansion Plans (Monte Carlo)'!D37:R37)</f>
        <v>128427.50584528032</v>
      </c>
    </row>
    <row r="12" spans="1:9" x14ac:dyDescent="0.35">
      <c r="A12" s="455"/>
      <c r="C12" s="318"/>
      <c r="D12" s="453" t="s">
        <v>884</v>
      </c>
      <c r="E12" s="458">
        <f ca="1">E11/E9</f>
        <v>0.2214853143845387</v>
      </c>
    </row>
    <row r="13" spans="1:9" ht="21" x14ac:dyDescent="0.5">
      <c r="A13" s="454" t="s">
        <v>883</v>
      </c>
      <c r="B13" s="442"/>
      <c r="C13" s="318"/>
      <c r="D13" s="82"/>
      <c r="E13" s="82"/>
    </row>
    <row r="14" spans="1:9" ht="21" x14ac:dyDescent="0.5">
      <c r="A14" s="450" t="s">
        <v>15</v>
      </c>
      <c r="B14" s="443">
        <v>24000</v>
      </c>
      <c r="C14" s="415"/>
      <c r="D14" s="454" t="s">
        <v>880</v>
      </c>
      <c r="E14" s="442"/>
    </row>
    <row r="15" spans="1:9" x14ac:dyDescent="0.35">
      <c r="A15" s="450" t="s">
        <v>16</v>
      </c>
      <c r="B15" s="443">
        <v>3326.92</v>
      </c>
      <c r="C15" s="318"/>
      <c r="D15" s="450" t="s">
        <v>879</v>
      </c>
      <c r="E15" s="456">
        <f>'Expansion Plans (Monte Carlo)'!T48</f>
        <v>0.34928284767356321</v>
      </c>
    </row>
    <row r="16" spans="1:9" x14ac:dyDescent="0.35">
      <c r="A16" s="450" t="s">
        <v>882</v>
      </c>
      <c r="B16" s="443">
        <v>25688</v>
      </c>
      <c r="C16" s="318"/>
      <c r="D16" s="450" t="s">
        <v>877</v>
      </c>
      <c r="E16" s="456">
        <f>'Expansion Plans (Monte Carlo)'!S44</f>
        <v>0.36249590546595556</v>
      </c>
    </row>
    <row r="17" spans="1:5" x14ac:dyDescent="0.35">
      <c r="A17" s="450" t="s">
        <v>881</v>
      </c>
      <c r="B17" s="443">
        <v>10860</v>
      </c>
      <c r="C17" s="318"/>
      <c r="D17" s="453" t="s">
        <v>875</v>
      </c>
      <c r="E17" s="457">
        <f>'Expansion Plans (Monte Carlo)'!S54</f>
        <v>0.97660289586260474</v>
      </c>
    </row>
    <row r="18" spans="1:5" x14ac:dyDescent="0.35">
      <c r="A18" s="451" t="s">
        <v>73</v>
      </c>
      <c r="B18" s="443">
        <v>0</v>
      </c>
      <c r="C18" s="318"/>
    </row>
    <row r="19" spans="1:5" x14ac:dyDescent="0.35">
      <c r="A19" s="451" t="s">
        <v>12</v>
      </c>
      <c r="B19" s="443">
        <v>2586.17</v>
      </c>
      <c r="C19" s="318"/>
    </row>
    <row r="20" spans="1:5" x14ac:dyDescent="0.35">
      <c r="A20" s="452" t="s">
        <v>17</v>
      </c>
      <c r="B20" s="444">
        <f>SUM(B14:B19)</f>
        <v>66461.09</v>
      </c>
      <c r="C20" s="415"/>
    </row>
    <row r="21" spans="1:5" x14ac:dyDescent="0.35">
      <c r="C21" s="318"/>
    </row>
    <row r="22" spans="1:5" ht="21" x14ac:dyDescent="0.5">
      <c r="A22" s="454" t="s">
        <v>878</v>
      </c>
      <c r="B22" s="442"/>
      <c r="C22" s="318"/>
    </row>
    <row r="23" spans="1:5" x14ac:dyDescent="0.35">
      <c r="A23" s="450" t="s">
        <v>876</v>
      </c>
      <c r="B23" s="445">
        <v>0.294738</v>
      </c>
      <c r="C23" s="318"/>
    </row>
    <row r="24" spans="1:5" x14ac:dyDescent="0.35">
      <c r="A24" s="450" t="s">
        <v>874</v>
      </c>
      <c r="B24" s="445">
        <v>2.5891999999999998E-2</v>
      </c>
      <c r="C24" s="318"/>
    </row>
    <row r="25" spans="1:5" x14ac:dyDescent="0.35">
      <c r="A25" s="450" t="s">
        <v>873</v>
      </c>
      <c r="B25" s="443">
        <v>4.46</v>
      </c>
      <c r="C25" s="318"/>
    </row>
    <row r="26" spans="1:5" x14ac:dyDescent="0.35">
      <c r="A26" s="450" t="s">
        <v>872</v>
      </c>
      <c r="B26" s="443">
        <v>5.28</v>
      </c>
      <c r="C26" s="318"/>
    </row>
    <row r="27" spans="1:5" x14ac:dyDescent="0.35">
      <c r="A27" s="453" t="s">
        <v>871</v>
      </c>
      <c r="B27" s="444">
        <v>2.1800000000000002</v>
      </c>
      <c r="C27" s="318"/>
    </row>
    <row r="28" spans="1:5" x14ac:dyDescent="0.35">
      <c r="C28" s="318"/>
    </row>
    <row r="29" spans="1:5" ht="21" x14ac:dyDescent="0.5">
      <c r="A29" s="454" t="s">
        <v>99</v>
      </c>
      <c r="B29" s="442"/>
      <c r="C29" s="318"/>
    </row>
    <row r="30" spans="1:5" x14ac:dyDescent="0.35">
      <c r="A30" s="450" t="s">
        <v>870</v>
      </c>
      <c r="B30" s="446">
        <v>7.0000000000000007E-2</v>
      </c>
      <c r="C30" s="318"/>
    </row>
    <row r="31" spans="1:5" x14ac:dyDescent="0.35">
      <c r="A31" s="450" t="s">
        <v>869</v>
      </c>
      <c r="B31" s="446">
        <v>7.0000000000000007E-2</v>
      </c>
      <c r="C31" s="318"/>
    </row>
    <row r="32" spans="1:5" x14ac:dyDescent="0.35">
      <c r="A32" s="453" t="s">
        <v>868</v>
      </c>
      <c r="B32" s="447">
        <v>0.2</v>
      </c>
      <c r="C32" s="318"/>
    </row>
    <row r="33" spans="1:3" x14ac:dyDescent="0.35">
      <c r="C33" s="318"/>
    </row>
    <row r="34" spans="1:3" ht="21" x14ac:dyDescent="0.5">
      <c r="A34" s="454" t="s">
        <v>867</v>
      </c>
      <c r="B34" s="442"/>
      <c r="C34" s="318"/>
    </row>
    <row r="35" spans="1:3" x14ac:dyDescent="0.35">
      <c r="A35" s="450" t="s">
        <v>88</v>
      </c>
      <c r="B35" s="417">
        <v>2018</v>
      </c>
      <c r="C35" s="318"/>
    </row>
    <row r="36" spans="1:3" x14ac:dyDescent="0.35">
      <c r="A36" s="450" t="s">
        <v>508</v>
      </c>
      <c r="B36" s="443">
        <v>5000000</v>
      </c>
      <c r="C36" s="318"/>
    </row>
    <row r="37" spans="1:3" x14ac:dyDescent="0.35">
      <c r="A37" s="453" t="s">
        <v>866</v>
      </c>
      <c r="B37" s="444">
        <v>100000000</v>
      </c>
      <c r="C37" s="318"/>
    </row>
    <row r="38" spans="1:3" x14ac:dyDescent="0.35">
      <c r="C38" s="318"/>
    </row>
    <row r="39" spans="1:3" x14ac:dyDescent="0.35">
      <c r="C39" s="318"/>
    </row>
  </sheetData>
  <mergeCells count="3">
    <mergeCell ref="A1:G3"/>
    <mergeCell ref="A4:A5"/>
    <mergeCell ref="D4:D5"/>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D5243AD-A99D-414C-B3DB-DE181D2F063F}">
          <x14:formula1>
            <xm:f>'Expansion Plans (Monte Carlo)'!$D$11:$R$11</xm:f>
          </x14:formula1>
          <xm:sqref>E8 B35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E970F-2713-49EB-977C-2A13C5968A3D}">
  <sheetPr codeName="Sheet5">
    <tabColor theme="8" tint="0.59999389629810485"/>
  </sheetPr>
  <dimension ref="A1:M70"/>
  <sheetViews>
    <sheetView showGridLines="0" zoomScale="62" workbookViewId="0">
      <selection activeCell="T23" sqref="T23"/>
    </sheetView>
  </sheetViews>
  <sheetFormatPr defaultRowHeight="15.5" x14ac:dyDescent="0.35"/>
  <cols>
    <col min="1" max="1" width="9.75" style="82" bestFit="1" customWidth="1"/>
    <col min="2" max="2" width="10.33203125" style="82" bestFit="1" customWidth="1"/>
    <col min="3" max="3" width="14.33203125" style="82" bestFit="1" customWidth="1"/>
    <col min="4" max="4" width="23.5" style="82" bestFit="1" customWidth="1"/>
    <col min="5" max="5" width="13.33203125" style="82" bestFit="1" customWidth="1"/>
    <col min="6" max="6" width="10.75" style="82" bestFit="1" customWidth="1"/>
    <col min="7" max="7" width="9.75" style="82" bestFit="1" customWidth="1"/>
    <col min="8" max="8" width="13.75" style="82" bestFit="1" customWidth="1"/>
    <col min="9" max="9" width="11.75" style="82" bestFit="1" customWidth="1"/>
    <col min="10" max="10" width="12.33203125" style="82" bestFit="1" customWidth="1"/>
    <col min="11" max="11" width="10.25" style="82" bestFit="1" customWidth="1"/>
    <col min="12" max="12" width="11.25" style="82" bestFit="1" customWidth="1"/>
    <col min="13" max="13" width="11.08203125" style="82" bestFit="1" customWidth="1"/>
    <col min="14" max="19" width="2.83203125" bestFit="1" customWidth="1"/>
    <col min="20" max="20" width="24.58203125" bestFit="1" customWidth="1"/>
    <col min="21" max="21" width="6.75" bestFit="1" customWidth="1"/>
    <col min="22" max="22" width="10.83203125" bestFit="1" customWidth="1"/>
    <col min="23" max="23" width="20.5" bestFit="1" customWidth="1"/>
    <col min="24" max="24" width="22.25" bestFit="1" customWidth="1"/>
    <col min="25" max="25" width="22" bestFit="1" customWidth="1"/>
  </cols>
  <sheetData>
    <row r="1" spans="1:13" x14ac:dyDescent="0.35">
      <c r="A1" s="428" t="s">
        <v>112</v>
      </c>
      <c r="B1" s="429" t="s">
        <v>77</v>
      </c>
      <c r="C1" s="430"/>
      <c r="D1" s="430"/>
      <c r="E1" s="430"/>
      <c r="F1" s="430"/>
      <c r="G1" s="430"/>
      <c r="H1" s="430"/>
      <c r="I1" s="430"/>
      <c r="J1" s="430"/>
      <c r="K1" s="430"/>
      <c r="L1" s="430"/>
      <c r="M1" s="431"/>
    </row>
    <row r="2" spans="1:13" x14ac:dyDescent="0.35">
      <c r="A2" s="432" t="s">
        <v>838</v>
      </c>
      <c r="B2" s="74" t="s">
        <v>837</v>
      </c>
      <c r="C2" s="426"/>
      <c r="D2" s="426"/>
      <c r="E2" s="426"/>
      <c r="F2" s="426"/>
      <c r="G2" s="426"/>
      <c r="H2" s="426"/>
      <c r="I2" s="426"/>
      <c r="J2" s="426"/>
      <c r="K2" s="426"/>
      <c r="L2" s="426"/>
      <c r="M2" s="433"/>
    </row>
    <row r="3" spans="1:13" x14ac:dyDescent="0.35">
      <c r="A3" s="434"/>
      <c r="B3" s="426"/>
      <c r="C3" s="426"/>
      <c r="D3" s="426"/>
      <c r="E3" s="426"/>
      <c r="F3" s="426"/>
      <c r="G3" s="426"/>
      <c r="H3" s="426"/>
      <c r="I3" s="426"/>
      <c r="J3" s="426"/>
      <c r="K3" s="426"/>
      <c r="L3" s="426"/>
      <c r="M3" s="433"/>
    </row>
    <row r="4" spans="1:13" x14ac:dyDescent="0.35">
      <c r="A4" s="432" t="s">
        <v>865</v>
      </c>
      <c r="B4" s="414" t="s">
        <v>864</v>
      </c>
      <c r="C4" s="414" t="s">
        <v>863</v>
      </c>
      <c r="D4" s="414" t="s">
        <v>862</v>
      </c>
      <c r="E4" s="414" t="s">
        <v>861</v>
      </c>
      <c r="F4" s="414" t="s">
        <v>860</v>
      </c>
      <c r="G4" s="414" t="s">
        <v>859</v>
      </c>
      <c r="H4" s="414" t="s">
        <v>858</v>
      </c>
      <c r="I4" s="414" t="s">
        <v>857</v>
      </c>
      <c r="J4" s="414" t="s">
        <v>856</v>
      </c>
      <c r="K4" s="414" t="s">
        <v>855</v>
      </c>
      <c r="L4" s="414" t="s">
        <v>854</v>
      </c>
      <c r="M4" s="435" t="s">
        <v>853</v>
      </c>
    </row>
    <row r="5" spans="1:13" x14ac:dyDescent="0.35">
      <c r="A5" s="436">
        <v>16</v>
      </c>
      <c r="B5" s="333">
        <v>16</v>
      </c>
      <c r="C5" s="333">
        <v>10</v>
      </c>
      <c r="D5" s="333">
        <v>25</v>
      </c>
      <c r="E5" s="333">
        <v>14</v>
      </c>
      <c r="F5" s="333">
        <v>12</v>
      </c>
      <c r="G5" s="333">
        <v>14</v>
      </c>
      <c r="H5" s="333">
        <v>13</v>
      </c>
      <c r="I5" s="333">
        <v>10</v>
      </c>
      <c r="J5" s="333">
        <v>14</v>
      </c>
      <c r="K5" s="333">
        <v>32</v>
      </c>
      <c r="L5" s="333">
        <v>13</v>
      </c>
      <c r="M5" s="437">
        <v>9</v>
      </c>
    </row>
    <row r="6" spans="1:13" x14ac:dyDescent="0.35">
      <c r="A6" s="434"/>
      <c r="B6" s="426"/>
      <c r="C6" s="426"/>
      <c r="D6" s="426"/>
      <c r="E6" s="426"/>
      <c r="F6" s="426"/>
      <c r="G6" s="426"/>
      <c r="H6" s="426"/>
      <c r="I6" s="426"/>
      <c r="J6" s="426"/>
      <c r="K6" s="426"/>
      <c r="L6" s="426"/>
      <c r="M6" s="433"/>
    </row>
    <row r="7" spans="1:13" x14ac:dyDescent="0.35">
      <c r="A7" s="438" t="s">
        <v>839</v>
      </c>
      <c r="B7" s="74">
        <f>SUM(A5:M5)</f>
        <v>198</v>
      </c>
      <c r="C7" s="426"/>
      <c r="D7" s="426"/>
      <c r="E7" s="426"/>
      <c r="F7" s="426"/>
      <c r="G7" s="426"/>
      <c r="H7" s="426"/>
      <c r="I7" s="426"/>
      <c r="J7" s="426"/>
      <c r="K7" s="426"/>
      <c r="L7" s="426"/>
      <c r="M7" s="433"/>
    </row>
    <row r="8" spans="1:13" x14ac:dyDescent="0.35">
      <c r="A8" s="434"/>
      <c r="B8" s="426"/>
      <c r="C8" s="426"/>
      <c r="D8" s="426"/>
      <c r="E8" s="426"/>
      <c r="F8" s="426"/>
      <c r="G8" s="426"/>
      <c r="H8" s="426"/>
      <c r="I8" s="426"/>
      <c r="J8" s="426"/>
      <c r="K8" s="426"/>
      <c r="L8" s="426"/>
      <c r="M8" s="433"/>
    </row>
    <row r="9" spans="1:13" x14ac:dyDescent="0.35">
      <c r="A9" s="434"/>
      <c r="B9" s="426"/>
      <c r="C9" s="426"/>
      <c r="D9" s="426"/>
      <c r="E9" s="426"/>
      <c r="F9" s="426"/>
      <c r="G9" s="426"/>
      <c r="H9" s="426"/>
      <c r="I9" s="426"/>
      <c r="J9" s="426"/>
      <c r="K9" s="426"/>
      <c r="L9" s="426"/>
      <c r="M9" s="433"/>
    </row>
    <row r="10" spans="1:13" x14ac:dyDescent="0.35">
      <c r="A10" s="434"/>
      <c r="B10" s="426"/>
      <c r="C10" s="426"/>
      <c r="D10" s="426"/>
      <c r="E10" s="426"/>
      <c r="F10" s="426"/>
      <c r="G10" s="426"/>
      <c r="H10" s="426"/>
      <c r="I10" s="426"/>
      <c r="J10" s="426"/>
      <c r="K10" s="426"/>
      <c r="L10" s="426"/>
      <c r="M10" s="433"/>
    </row>
    <row r="11" spans="1:13" x14ac:dyDescent="0.35">
      <c r="A11" s="434"/>
      <c r="B11" s="426"/>
      <c r="C11" s="426"/>
      <c r="D11" s="426"/>
      <c r="E11" s="426"/>
      <c r="F11" s="426"/>
      <c r="G11" s="426"/>
      <c r="H11" s="426"/>
      <c r="I11" s="426"/>
      <c r="J11" s="426"/>
      <c r="K11" s="426"/>
      <c r="L11" s="426"/>
      <c r="M11" s="433"/>
    </row>
    <row r="12" spans="1:13" x14ac:dyDescent="0.35">
      <c r="A12" s="434"/>
      <c r="B12" s="426"/>
      <c r="C12" s="426"/>
      <c r="D12" s="426"/>
      <c r="E12" s="426"/>
      <c r="F12" s="426"/>
      <c r="G12" s="426"/>
      <c r="H12" s="426"/>
      <c r="I12" s="426"/>
      <c r="J12" s="426"/>
      <c r="K12" s="426"/>
      <c r="L12" s="426"/>
      <c r="M12" s="433"/>
    </row>
    <row r="13" spans="1:13" x14ac:dyDescent="0.35">
      <c r="A13" s="434"/>
      <c r="B13" s="426"/>
      <c r="C13" s="426"/>
      <c r="D13" s="426"/>
      <c r="E13" s="426"/>
      <c r="F13" s="426"/>
      <c r="G13" s="426"/>
      <c r="H13" s="426"/>
      <c r="I13" s="426"/>
      <c r="J13" s="426"/>
      <c r="K13" s="426"/>
      <c r="L13" s="426"/>
      <c r="M13" s="433"/>
    </row>
    <row r="14" spans="1:13" x14ac:dyDescent="0.35">
      <c r="A14" s="434"/>
      <c r="B14" s="426"/>
      <c r="C14" s="426"/>
      <c r="D14" s="426"/>
      <c r="E14" s="426"/>
      <c r="F14" s="426"/>
      <c r="G14" s="426"/>
      <c r="H14" s="426"/>
      <c r="I14" s="426"/>
      <c r="J14" s="426"/>
      <c r="K14" s="426"/>
      <c r="L14" s="426"/>
      <c r="M14" s="433"/>
    </row>
    <row r="15" spans="1:13" x14ac:dyDescent="0.35">
      <c r="A15" s="434"/>
      <c r="B15" s="426"/>
      <c r="C15" s="426"/>
      <c r="D15" s="426"/>
      <c r="E15" s="426"/>
      <c r="F15" s="426"/>
      <c r="G15" s="426"/>
      <c r="H15" s="426"/>
      <c r="I15" s="426"/>
      <c r="J15" s="426"/>
      <c r="K15" s="426"/>
      <c r="L15" s="426"/>
      <c r="M15" s="433"/>
    </row>
    <row r="16" spans="1:13" x14ac:dyDescent="0.35">
      <c r="A16" s="434"/>
      <c r="B16" s="426"/>
      <c r="C16" s="426"/>
      <c r="D16" s="426"/>
      <c r="E16" s="426"/>
      <c r="F16" s="426"/>
      <c r="G16" s="426"/>
      <c r="H16" s="426"/>
      <c r="I16" s="426"/>
      <c r="J16" s="426"/>
      <c r="K16" s="426"/>
      <c r="L16" s="426"/>
      <c r="M16" s="433"/>
    </row>
    <row r="17" spans="1:13" x14ac:dyDescent="0.35">
      <c r="A17" s="434"/>
      <c r="B17" s="426"/>
      <c r="C17" s="426"/>
      <c r="D17" s="426"/>
      <c r="E17" s="426"/>
      <c r="F17" s="426"/>
      <c r="G17" s="426"/>
      <c r="H17" s="426"/>
      <c r="I17" s="426"/>
      <c r="J17" s="426"/>
      <c r="K17" s="426"/>
      <c r="L17" s="426"/>
      <c r="M17" s="433"/>
    </row>
    <row r="18" spans="1:13" x14ac:dyDescent="0.35">
      <c r="A18" s="434"/>
      <c r="B18" s="426"/>
      <c r="C18" s="426"/>
      <c r="D18" s="426"/>
      <c r="E18" s="426"/>
      <c r="F18" s="426"/>
      <c r="G18" s="426"/>
      <c r="H18" s="426"/>
      <c r="I18" s="426"/>
      <c r="J18" s="426"/>
      <c r="K18" s="426"/>
      <c r="L18" s="426"/>
      <c r="M18" s="433"/>
    </row>
    <row r="19" spans="1:13" x14ac:dyDescent="0.35">
      <c r="A19" s="434"/>
      <c r="B19" s="426"/>
      <c r="C19" s="426"/>
      <c r="D19" s="426"/>
      <c r="E19" s="426"/>
      <c r="F19" s="426"/>
      <c r="G19" s="426"/>
      <c r="H19" s="426"/>
      <c r="I19" s="426"/>
      <c r="J19" s="426"/>
      <c r="K19" s="426"/>
      <c r="L19" s="426"/>
      <c r="M19" s="433"/>
    </row>
    <row r="20" spans="1:13" x14ac:dyDescent="0.35">
      <c r="A20" s="434"/>
      <c r="B20" s="426"/>
      <c r="C20" s="426"/>
      <c r="D20" s="426"/>
      <c r="E20" s="426"/>
      <c r="F20" s="426"/>
      <c r="G20" s="426"/>
      <c r="H20" s="426"/>
      <c r="I20" s="426"/>
      <c r="J20" s="426"/>
      <c r="K20" s="426"/>
      <c r="L20" s="426"/>
      <c r="M20" s="433"/>
    </row>
    <row r="21" spans="1:13" x14ac:dyDescent="0.35">
      <c r="A21" s="434"/>
      <c r="B21" s="426"/>
      <c r="C21" s="426"/>
      <c r="D21" s="426"/>
      <c r="E21" s="426"/>
      <c r="F21" s="426"/>
      <c r="G21" s="426"/>
      <c r="H21" s="426"/>
      <c r="I21" s="426"/>
      <c r="J21" s="426"/>
      <c r="K21" s="426"/>
      <c r="L21" s="426"/>
      <c r="M21" s="433"/>
    </row>
    <row r="22" spans="1:13" ht="16" thickBot="1" x14ac:dyDescent="0.4">
      <c r="A22" s="439"/>
      <c r="B22" s="440"/>
      <c r="C22" s="440"/>
      <c r="D22" s="440"/>
      <c r="E22" s="440"/>
      <c r="F22" s="440"/>
      <c r="G22" s="440"/>
      <c r="H22" s="440"/>
      <c r="I22" s="440"/>
      <c r="J22" s="440"/>
      <c r="K22" s="440"/>
      <c r="L22" s="440"/>
      <c r="M22" s="441"/>
    </row>
    <row r="23" spans="1:13" s="33" customFormat="1" x14ac:dyDescent="0.35">
      <c r="A23" s="70"/>
      <c r="B23" s="70"/>
      <c r="C23" s="70"/>
      <c r="D23" s="70"/>
      <c r="E23" s="70"/>
      <c r="F23" s="70"/>
      <c r="G23" s="70"/>
      <c r="H23" s="70"/>
      <c r="I23" s="70"/>
      <c r="J23" s="70"/>
      <c r="K23" s="70"/>
      <c r="L23" s="70"/>
      <c r="M23" s="70"/>
    </row>
    <row r="24" spans="1:13" s="33" customFormat="1" ht="16" thickBot="1" x14ac:dyDescent="0.4">
      <c r="A24" s="70"/>
      <c r="B24" s="70"/>
      <c r="C24" s="70"/>
      <c r="D24" s="70"/>
      <c r="E24" s="70"/>
      <c r="F24" s="70"/>
      <c r="G24" s="70"/>
      <c r="H24" s="70"/>
      <c r="I24" s="70"/>
      <c r="J24" s="70"/>
      <c r="K24" s="70"/>
      <c r="L24" s="70"/>
      <c r="M24" s="70"/>
    </row>
    <row r="25" spans="1:13" x14ac:dyDescent="0.35">
      <c r="A25" s="428" t="s">
        <v>838</v>
      </c>
      <c r="B25" s="429" t="s">
        <v>837</v>
      </c>
      <c r="C25" s="430"/>
      <c r="D25" s="430"/>
      <c r="E25" s="430"/>
      <c r="F25" s="430"/>
      <c r="G25" s="430"/>
      <c r="H25" s="430"/>
      <c r="I25" s="430"/>
      <c r="J25" s="430"/>
      <c r="K25" s="430"/>
      <c r="L25" s="430"/>
      <c r="M25" s="431"/>
    </row>
    <row r="26" spans="1:13" x14ac:dyDescent="0.35">
      <c r="A26" s="432" t="s">
        <v>112</v>
      </c>
      <c r="B26" s="74" t="s">
        <v>81</v>
      </c>
      <c r="C26" s="426"/>
      <c r="D26" s="426"/>
      <c r="E26" s="426"/>
      <c r="F26" s="426"/>
      <c r="G26" s="426"/>
      <c r="H26" s="426"/>
      <c r="I26" s="426"/>
      <c r="J26" s="426"/>
      <c r="K26" s="426"/>
      <c r="L26" s="426"/>
      <c r="M26" s="433"/>
    </row>
    <row r="27" spans="1:13" x14ac:dyDescent="0.35">
      <c r="A27" s="434"/>
      <c r="B27" s="426"/>
      <c r="C27" s="426"/>
      <c r="D27" s="426"/>
      <c r="E27" s="426"/>
      <c r="F27" s="426"/>
      <c r="G27" s="426"/>
      <c r="H27" s="426"/>
      <c r="I27" s="426"/>
      <c r="J27" s="426"/>
      <c r="K27" s="426"/>
      <c r="L27" s="426"/>
      <c r="M27" s="433"/>
    </row>
    <row r="28" spans="1:13" x14ac:dyDescent="0.35">
      <c r="A28" s="432" t="s">
        <v>852</v>
      </c>
      <c r="B28" s="414" t="s">
        <v>851</v>
      </c>
      <c r="C28" s="414" t="s">
        <v>850</v>
      </c>
      <c r="D28" s="414" t="s">
        <v>849</v>
      </c>
      <c r="E28" s="414" t="s">
        <v>848</v>
      </c>
      <c r="F28" s="414" t="s">
        <v>847</v>
      </c>
      <c r="G28" s="414" t="s">
        <v>846</v>
      </c>
      <c r="H28" s="414" t="s">
        <v>845</v>
      </c>
      <c r="I28" s="414" t="s">
        <v>844</v>
      </c>
      <c r="J28" s="414" t="s">
        <v>843</v>
      </c>
      <c r="K28" s="414" t="s">
        <v>842</v>
      </c>
      <c r="L28" s="414" t="s">
        <v>841</v>
      </c>
      <c r="M28" s="435" t="s">
        <v>840</v>
      </c>
    </row>
    <row r="29" spans="1:13" x14ac:dyDescent="0.35">
      <c r="A29" s="436">
        <v>10</v>
      </c>
      <c r="B29" s="333">
        <v>11</v>
      </c>
      <c r="C29" s="333">
        <v>6</v>
      </c>
      <c r="D29" s="333">
        <v>15</v>
      </c>
      <c r="E29" s="333">
        <v>9</v>
      </c>
      <c r="F29" s="333">
        <v>8</v>
      </c>
      <c r="G29" s="333">
        <v>7</v>
      </c>
      <c r="H29" s="333">
        <v>9</v>
      </c>
      <c r="I29" s="333">
        <v>6</v>
      </c>
      <c r="J29" s="333">
        <v>10</v>
      </c>
      <c r="K29" s="333">
        <v>18</v>
      </c>
      <c r="L29" s="333">
        <v>9</v>
      </c>
      <c r="M29" s="437">
        <v>6</v>
      </c>
    </row>
    <row r="30" spans="1:13" x14ac:dyDescent="0.35">
      <c r="A30" s="434"/>
      <c r="B30" s="426"/>
      <c r="C30" s="426"/>
      <c r="D30" s="426"/>
      <c r="E30" s="426"/>
      <c r="F30" s="426"/>
      <c r="G30" s="426"/>
      <c r="H30" s="426"/>
      <c r="I30" s="426"/>
      <c r="J30" s="426"/>
      <c r="K30" s="426"/>
      <c r="L30" s="426"/>
      <c r="M30" s="433"/>
    </row>
    <row r="31" spans="1:13" x14ac:dyDescent="0.35">
      <c r="A31" s="438" t="s">
        <v>839</v>
      </c>
      <c r="B31" s="74">
        <f>SUM(A29:M29)</f>
        <v>124</v>
      </c>
      <c r="C31" s="426"/>
      <c r="D31" s="426"/>
      <c r="E31" s="426"/>
      <c r="F31" s="426"/>
      <c r="G31" s="426"/>
      <c r="H31" s="426"/>
      <c r="I31" s="426"/>
      <c r="J31" s="426"/>
      <c r="K31" s="426"/>
      <c r="L31" s="426"/>
      <c r="M31" s="433"/>
    </row>
    <row r="32" spans="1:13" x14ac:dyDescent="0.35">
      <c r="A32" s="434"/>
      <c r="B32" s="426"/>
      <c r="C32" s="426"/>
      <c r="D32" s="426"/>
      <c r="E32" s="426"/>
      <c r="F32" s="426"/>
      <c r="G32" s="426"/>
      <c r="H32" s="426"/>
      <c r="I32" s="426"/>
      <c r="J32" s="426"/>
      <c r="K32" s="426"/>
      <c r="L32" s="426"/>
      <c r="M32" s="433"/>
    </row>
    <row r="33" spans="1:13" x14ac:dyDescent="0.35">
      <c r="A33" s="434"/>
      <c r="B33" s="426"/>
      <c r="C33" s="426"/>
      <c r="D33" s="426"/>
      <c r="E33" s="426"/>
      <c r="F33" s="426"/>
      <c r="G33" s="426"/>
      <c r="H33" s="426"/>
      <c r="I33" s="426"/>
      <c r="J33" s="426"/>
      <c r="K33" s="426"/>
      <c r="L33" s="426"/>
      <c r="M33" s="433"/>
    </row>
    <row r="34" spans="1:13" x14ac:dyDescent="0.35">
      <c r="A34" s="434"/>
      <c r="B34" s="426"/>
      <c r="C34" s="426"/>
      <c r="D34" s="426"/>
      <c r="E34" s="426"/>
      <c r="F34" s="426"/>
      <c r="G34" s="426"/>
      <c r="H34" s="426"/>
      <c r="I34" s="426"/>
      <c r="J34" s="426"/>
      <c r="K34" s="426"/>
      <c r="L34" s="426"/>
      <c r="M34" s="433"/>
    </row>
    <row r="35" spans="1:13" x14ac:dyDescent="0.35">
      <c r="A35" s="434"/>
      <c r="B35" s="426"/>
      <c r="C35" s="426"/>
      <c r="D35" s="426"/>
      <c r="E35" s="426"/>
      <c r="F35" s="426"/>
      <c r="G35" s="426"/>
      <c r="H35" s="426"/>
      <c r="I35" s="426"/>
      <c r="J35" s="426"/>
      <c r="K35" s="426"/>
      <c r="L35" s="426"/>
      <c r="M35" s="433"/>
    </row>
    <row r="36" spans="1:13" x14ac:dyDescent="0.35">
      <c r="A36" s="434"/>
      <c r="B36" s="426"/>
      <c r="C36" s="426"/>
      <c r="D36" s="426"/>
      <c r="E36" s="426"/>
      <c r="F36" s="426"/>
      <c r="G36" s="426"/>
      <c r="H36" s="426"/>
      <c r="I36" s="426"/>
      <c r="J36" s="426"/>
      <c r="K36" s="426"/>
      <c r="L36" s="426"/>
      <c r="M36" s="433"/>
    </row>
    <row r="37" spans="1:13" x14ac:dyDescent="0.35">
      <c r="A37" s="434"/>
      <c r="B37" s="426"/>
      <c r="C37" s="426"/>
      <c r="D37" s="426"/>
      <c r="E37" s="426"/>
      <c r="F37" s="426"/>
      <c r="G37" s="426"/>
      <c r="H37" s="426"/>
      <c r="I37" s="426"/>
      <c r="J37" s="426"/>
      <c r="K37" s="426"/>
      <c r="L37" s="426"/>
      <c r="M37" s="433"/>
    </row>
    <row r="38" spans="1:13" x14ac:dyDescent="0.35">
      <c r="A38" s="434"/>
      <c r="B38" s="426"/>
      <c r="C38" s="426"/>
      <c r="D38" s="426"/>
      <c r="E38" s="426"/>
      <c r="F38" s="426"/>
      <c r="G38" s="426"/>
      <c r="H38" s="426"/>
      <c r="I38" s="426"/>
      <c r="J38" s="426"/>
      <c r="K38" s="426"/>
      <c r="L38" s="426"/>
      <c r="M38" s="433"/>
    </row>
    <row r="39" spans="1:13" x14ac:dyDescent="0.35">
      <c r="A39" s="434"/>
      <c r="B39" s="426"/>
      <c r="C39" s="426"/>
      <c r="D39" s="426"/>
      <c r="E39" s="426"/>
      <c r="F39" s="426"/>
      <c r="G39" s="426"/>
      <c r="H39" s="426"/>
      <c r="I39" s="426"/>
      <c r="J39" s="426"/>
      <c r="K39" s="426"/>
      <c r="L39" s="426"/>
      <c r="M39" s="433"/>
    </row>
    <row r="40" spans="1:13" x14ac:dyDescent="0.35">
      <c r="A40" s="434"/>
      <c r="B40" s="426"/>
      <c r="C40" s="426"/>
      <c r="D40" s="426"/>
      <c r="E40" s="426"/>
      <c r="F40" s="426"/>
      <c r="G40" s="426"/>
      <c r="H40" s="426"/>
      <c r="I40" s="426"/>
      <c r="J40" s="426"/>
      <c r="K40" s="426"/>
      <c r="L40" s="426"/>
      <c r="M40" s="433"/>
    </row>
    <row r="41" spans="1:13" x14ac:dyDescent="0.35">
      <c r="A41" s="434"/>
      <c r="B41" s="426"/>
      <c r="C41" s="426"/>
      <c r="D41" s="426"/>
      <c r="E41" s="426"/>
      <c r="F41" s="426"/>
      <c r="G41" s="426"/>
      <c r="H41" s="426"/>
      <c r="I41" s="426"/>
      <c r="J41" s="426"/>
      <c r="K41" s="426"/>
      <c r="L41" s="426"/>
      <c r="M41" s="433"/>
    </row>
    <row r="42" spans="1:13" x14ac:dyDescent="0.35">
      <c r="A42" s="434"/>
      <c r="B42" s="426"/>
      <c r="C42" s="426"/>
      <c r="D42" s="426"/>
      <c r="E42" s="426"/>
      <c r="F42" s="426"/>
      <c r="G42" s="426"/>
      <c r="H42" s="426"/>
      <c r="I42" s="426"/>
      <c r="J42" s="426"/>
      <c r="K42" s="426"/>
      <c r="L42" s="426"/>
      <c r="M42" s="433"/>
    </row>
    <row r="43" spans="1:13" x14ac:dyDescent="0.35">
      <c r="A43" s="434"/>
      <c r="B43" s="426"/>
      <c r="C43" s="426"/>
      <c r="D43" s="426"/>
      <c r="E43" s="426"/>
      <c r="F43" s="426"/>
      <c r="G43" s="426"/>
      <c r="H43" s="426"/>
      <c r="I43" s="426"/>
      <c r="J43" s="426"/>
      <c r="K43" s="426"/>
      <c r="L43" s="426"/>
      <c r="M43" s="433"/>
    </row>
    <row r="44" spans="1:13" x14ac:dyDescent="0.35">
      <c r="A44" s="434"/>
      <c r="B44" s="426"/>
      <c r="C44" s="426"/>
      <c r="D44" s="426"/>
      <c r="E44" s="426"/>
      <c r="F44" s="426"/>
      <c r="G44" s="426"/>
      <c r="H44" s="426"/>
      <c r="I44" s="426"/>
      <c r="J44" s="426"/>
      <c r="K44" s="426"/>
      <c r="L44" s="426"/>
      <c r="M44" s="433"/>
    </row>
    <row r="45" spans="1:13" x14ac:dyDescent="0.35">
      <c r="A45" s="434"/>
      <c r="B45" s="426"/>
      <c r="C45" s="426"/>
      <c r="D45" s="426"/>
      <c r="E45" s="426"/>
      <c r="F45" s="426"/>
      <c r="G45" s="426"/>
      <c r="H45" s="426"/>
      <c r="I45" s="426"/>
      <c r="J45" s="426"/>
      <c r="K45" s="426"/>
      <c r="L45" s="426"/>
      <c r="M45" s="433"/>
    </row>
    <row r="46" spans="1:13" ht="16" thickBot="1" x14ac:dyDescent="0.4">
      <c r="A46" s="439"/>
      <c r="B46" s="440"/>
      <c r="C46" s="440"/>
      <c r="D46" s="440"/>
      <c r="E46" s="440"/>
      <c r="F46" s="440"/>
      <c r="G46" s="440"/>
      <c r="H46" s="440"/>
      <c r="I46" s="440"/>
      <c r="J46" s="440"/>
      <c r="K46" s="440"/>
      <c r="L46" s="440"/>
      <c r="M46" s="441"/>
    </row>
    <row r="47" spans="1:13" s="33" customFormat="1" x14ac:dyDescent="0.35">
      <c r="A47" s="70"/>
      <c r="B47" s="70"/>
      <c r="C47" s="70"/>
      <c r="D47" s="70"/>
      <c r="E47" s="70"/>
      <c r="F47" s="70"/>
      <c r="G47" s="70"/>
      <c r="H47" s="70"/>
      <c r="I47" s="70"/>
      <c r="J47" s="70"/>
      <c r="K47" s="70"/>
      <c r="L47" s="70"/>
      <c r="M47" s="70"/>
    </row>
    <row r="48" spans="1:13" s="33" customFormat="1" ht="16" thickBot="1" x14ac:dyDescent="0.4">
      <c r="A48" s="70"/>
      <c r="B48" s="70"/>
      <c r="C48" s="70"/>
      <c r="D48" s="70"/>
      <c r="E48" s="70"/>
      <c r="F48" s="70"/>
      <c r="G48" s="70"/>
      <c r="H48" s="70"/>
      <c r="I48" s="70"/>
      <c r="J48" s="70"/>
      <c r="K48" s="70"/>
      <c r="L48" s="70"/>
      <c r="M48" s="70"/>
    </row>
    <row r="49" spans="1:13" x14ac:dyDescent="0.35">
      <c r="A49" s="428" t="s">
        <v>112</v>
      </c>
      <c r="B49" s="429" t="s">
        <v>80</v>
      </c>
      <c r="C49" s="430"/>
      <c r="D49" s="430"/>
      <c r="E49" s="430"/>
      <c r="F49" s="430"/>
      <c r="G49" s="430"/>
      <c r="H49" s="430"/>
      <c r="I49" s="430"/>
      <c r="J49" s="430"/>
      <c r="K49" s="430"/>
      <c r="L49" s="430"/>
      <c r="M49" s="431"/>
    </row>
    <row r="50" spans="1:13" x14ac:dyDescent="0.35">
      <c r="A50" s="432" t="s">
        <v>838</v>
      </c>
      <c r="B50" s="74" t="s">
        <v>837</v>
      </c>
      <c r="C50" s="426"/>
      <c r="D50" s="426"/>
      <c r="E50" s="426"/>
      <c r="F50" s="426"/>
      <c r="G50" s="426"/>
      <c r="H50" s="426"/>
      <c r="I50" s="426"/>
      <c r="J50" s="426"/>
      <c r="K50" s="426"/>
      <c r="L50" s="426"/>
      <c r="M50" s="433"/>
    </row>
    <row r="51" spans="1:13" x14ac:dyDescent="0.35">
      <c r="A51" s="434"/>
      <c r="B51" s="426"/>
      <c r="C51" s="426"/>
      <c r="D51" s="426"/>
      <c r="E51" s="426"/>
      <c r="F51" s="426"/>
      <c r="G51" s="426"/>
      <c r="H51" s="426"/>
      <c r="I51" s="426"/>
      <c r="J51" s="426"/>
      <c r="K51" s="426"/>
      <c r="L51" s="426"/>
      <c r="M51" s="433"/>
    </row>
    <row r="52" spans="1:13" x14ac:dyDescent="0.35">
      <c r="A52" s="432" t="s">
        <v>836</v>
      </c>
      <c r="B52" s="414" t="s">
        <v>835</v>
      </c>
      <c r="C52" s="413" t="s">
        <v>834</v>
      </c>
      <c r="D52" s="414" t="s">
        <v>833</v>
      </c>
      <c r="E52" s="426"/>
      <c r="F52" s="426"/>
      <c r="G52" s="426"/>
      <c r="H52" s="426"/>
      <c r="I52" s="426"/>
      <c r="J52" s="426"/>
      <c r="K52" s="426"/>
      <c r="L52" s="426"/>
      <c r="M52" s="433"/>
    </row>
    <row r="53" spans="1:13" x14ac:dyDescent="0.35">
      <c r="A53" s="436">
        <v>12</v>
      </c>
      <c r="B53" s="333">
        <v>6</v>
      </c>
      <c r="C53" s="427">
        <v>10</v>
      </c>
      <c r="D53" s="333">
        <v>8</v>
      </c>
      <c r="E53" s="426"/>
      <c r="F53" s="426"/>
      <c r="G53" s="426"/>
      <c r="H53" s="426"/>
      <c r="I53" s="426"/>
      <c r="J53" s="426"/>
      <c r="K53" s="426"/>
      <c r="L53" s="426"/>
      <c r="M53" s="433"/>
    </row>
    <row r="54" spans="1:13" x14ac:dyDescent="0.35">
      <c r="A54" s="434"/>
      <c r="B54" s="426"/>
      <c r="C54" s="426"/>
      <c r="D54" s="426"/>
      <c r="E54" s="426"/>
      <c r="F54" s="426"/>
      <c r="G54" s="426"/>
      <c r="H54" s="426"/>
      <c r="I54" s="426"/>
      <c r="J54" s="426"/>
      <c r="K54" s="426"/>
      <c r="L54" s="426"/>
      <c r="M54" s="433"/>
    </row>
    <row r="55" spans="1:13" x14ac:dyDescent="0.35">
      <c r="A55" s="438" t="s">
        <v>839</v>
      </c>
      <c r="B55" s="74">
        <f>SUM(A53:D53)</f>
        <v>36</v>
      </c>
      <c r="C55" s="426"/>
      <c r="D55" s="426"/>
      <c r="E55" s="426"/>
      <c r="F55" s="426"/>
      <c r="G55" s="426"/>
      <c r="H55" s="426"/>
      <c r="I55" s="426"/>
      <c r="J55" s="426"/>
      <c r="K55" s="426"/>
      <c r="L55" s="426"/>
      <c r="M55" s="433"/>
    </row>
    <row r="56" spans="1:13" x14ac:dyDescent="0.35">
      <c r="A56" s="434"/>
      <c r="B56" s="426"/>
      <c r="C56" s="426"/>
      <c r="D56" s="426"/>
      <c r="E56" s="426"/>
      <c r="F56" s="426"/>
      <c r="G56" s="426"/>
      <c r="H56" s="426"/>
      <c r="I56" s="426"/>
      <c r="J56" s="426"/>
      <c r="K56" s="426"/>
      <c r="L56" s="426"/>
      <c r="M56" s="433"/>
    </row>
    <row r="57" spans="1:13" x14ac:dyDescent="0.35">
      <c r="A57" s="434"/>
      <c r="B57" s="426"/>
      <c r="C57" s="426"/>
      <c r="D57" s="426"/>
      <c r="E57" s="426"/>
      <c r="F57" s="426"/>
      <c r="G57" s="426"/>
      <c r="H57" s="426"/>
      <c r="I57" s="426"/>
      <c r="J57" s="426"/>
      <c r="K57" s="426"/>
      <c r="L57" s="426"/>
      <c r="M57" s="433"/>
    </row>
    <row r="58" spans="1:13" x14ac:dyDescent="0.35">
      <c r="A58" s="434"/>
      <c r="B58" s="426"/>
      <c r="C58" s="426"/>
      <c r="D58" s="426"/>
      <c r="E58" s="426"/>
      <c r="F58" s="426"/>
      <c r="G58" s="426"/>
      <c r="H58" s="426"/>
      <c r="I58" s="426"/>
      <c r="J58" s="426"/>
      <c r="K58" s="426"/>
      <c r="L58" s="426"/>
      <c r="M58" s="433"/>
    </row>
    <row r="59" spans="1:13" x14ac:dyDescent="0.35">
      <c r="A59" s="434"/>
      <c r="B59" s="426"/>
      <c r="C59" s="426"/>
      <c r="D59" s="426"/>
      <c r="E59" s="426"/>
      <c r="F59" s="426"/>
      <c r="G59" s="426"/>
      <c r="H59" s="426"/>
      <c r="I59" s="426"/>
      <c r="J59" s="426"/>
      <c r="K59" s="426"/>
      <c r="L59" s="426"/>
      <c r="M59" s="433"/>
    </row>
    <row r="60" spans="1:13" x14ac:dyDescent="0.35">
      <c r="A60" s="434"/>
      <c r="B60" s="426"/>
      <c r="C60" s="426"/>
      <c r="D60" s="426"/>
      <c r="E60" s="426"/>
      <c r="F60" s="426"/>
      <c r="G60" s="426"/>
      <c r="H60" s="426"/>
      <c r="I60" s="426"/>
      <c r="J60" s="426"/>
      <c r="K60" s="426"/>
      <c r="L60" s="426"/>
      <c r="M60" s="433"/>
    </row>
    <row r="61" spans="1:13" x14ac:dyDescent="0.35">
      <c r="A61" s="434"/>
      <c r="B61" s="426"/>
      <c r="C61" s="426"/>
      <c r="D61" s="426"/>
      <c r="E61" s="426"/>
      <c r="F61" s="426"/>
      <c r="G61" s="426"/>
      <c r="H61" s="426"/>
      <c r="I61" s="426"/>
      <c r="J61" s="426"/>
      <c r="K61" s="426"/>
      <c r="L61" s="426"/>
      <c r="M61" s="433"/>
    </row>
    <row r="62" spans="1:13" x14ac:dyDescent="0.35">
      <c r="A62" s="434"/>
      <c r="B62" s="426"/>
      <c r="C62" s="426"/>
      <c r="D62" s="426"/>
      <c r="E62" s="426"/>
      <c r="F62" s="426"/>
      <c r="G62" s="426"/>
      <c r="H62" s="426"/>
      <c r="I62" s="426"/>
      <c r="J62" s="426"/>
      <c r="K62" s="426"/>
      <c r="L62" s="426"/>
      <c r="M62" s="433"/>
    </row>
    <row r="63" spans="1:13" x14ac:dyDescent="0.35">
      <c r="A63" s="434"/>
      <c r="B63" s="426"/>
      <c r="C63" s="426"/>
      <c r="D63" s="426"/>
      <c r="E63" s="426"/>
      <c r="F63" s="426"/>
      <c r="G63" s="426"/>
      <c r="H63" s="426"/>
      <c r="I63" s="426"/>
      <c r="J63" s="426"/>
      <c r="K63" s="426"/>
      <c r="L63" s="426"/>
      <c r="M63" s="433"/>
    </row>
    <row r="64" spans="1:13" x14ac:dyDescent="0.35">
      <c r="A64" s="434"/>
      <c r="B64" s="426"/>
      <c r="C64" s="426"/>
      <c r="D64" s="426"/>
      <c r="E64" s="426"/>
      <c r="F64" s="426"/>
      <c r="G64" s="426"/>
      <c r="H64" s="426"/>
      <c r="I64" s="426"/>
      <c r="J64" s="426"/>
      <c r="K64" s="426"/>
      <c r="L64" s="426"/>
      <c r="M64" s="433"/>
    </row>
    <row r="65" spans="1:13" x14ac:dyDescent="0.35">
      <c r="A65" s="434"/>
      <c r="B65" s="426"/>
      <c r="C65" s="426"/>
      <c r="D65" s="426"/>
      <c r="E65" s="426"/>
      <c r="F65" s="426"/>
      <c r="G65" s="426"/>
      <c r="H65" s="426"/>
      <c r="I65" s="426"/>
      <c r="J65" s="426"/>
      <c r="K65" s="426"/>
      <c r="L65" s="426"/>
      <c r="M65" s="433"/>
    </row>
    <row r="66" spans="1:13" x14ac:dyDescent="0.35">
      <c r="A66" s="434"/>
      <c r="B66" s="426"/>
      <c r="C66" s="426"/>
      <c r="D66" s="426"/>
      <c r="E66" s="426"/>
      <c r="F66" s="426"/>
      <c r="G66" s="426"/>
      <c r="H66" s="426"/>
      <c r="I66" s="426"/>
      <c r="J66" s="426"/>
      <c r="K66" s="426"/>
      <c r="L66" s="426"/>
      <c r="M66" s="433"/>
    </row>
    <row r="67" spans="1:13" x14ac:dyDescent="0.35">
      <c r="A67" s="434"/>
      <c r="B67" s="426"/>
      <c r="C67" s="426"/>
      <c r="D67" s="426"/>
      <c r="E67" s="426"/>
      <c r="F67" s="426"/>
      <c r="G67" s="426"/>
      <c r="H67" s="426"/>
      <c r="I67" s="426"/>
      <c r="J67" s="426"/>
      <c r="K67" s="426"/>
      <c r="L67" s="426"/>
      <c r="M67" s="433"/>
    </row>
    <row r="68" spans="1:13" x14ac:dyDescent="0.35">
      <c r="A68" s="434"/>
      <c r="B68" s="426"/>
      <c r="C68" s="426"/>
      <c r="D68" s="426"/>
      <c r="E68" s="426"/>
      <c r="F68" s="426"/>
      <c r="G68" s="426"/>
      <c r="H68" s="426"/>
      <c r="I68" s="426"/>
      <c r="J68" s="426"/>
      <c r="K68" s="426"/>
      <c r="L68" s="426"/>
      <c r="M68" s="433"/>
    </row>
    <row r="69" spans="1:13" x14ac:dyDescent="0.35">
      <c r="A69" s="434"/>
      <c r="B69" s="426"/>
      <c r="C69" s="426"/>
      <c r="D69" s="426"/>
      <c r="E69" s="426"/>
      <c r="F69" s="426"/>
      <c r="G69" s="426"/>
      <c r="H69" s="426"/>
      <c r="I69" s="426"/>
      <c r="J69" s="426"/>
      <c r="K69" s="426"/>
      <c r="L69" s="426"/>
      <c r="M69" s="433"/>
    </row>
    <row r="70" spans="1:13" ht="16" thickBot="1" x14ac:dyDescent="0.4">
      <c r="A70" s="439"/>
      <c r="B70" s="440"/>
      <c r="C70" s="440"/>
      <c r="D70" s="440"/>
      <c r="E70" s="440"/>
      <c r="F70" s="440"/>
      <c r="G70" s="440"/>
      <c r="H70" s="440"/>
      <c r="I70" s="440"/>
      <c r="J70" s="440"/>
      <c r="K70" s="440"/>
      <c r="L70" s="440"/>
      <c r="M70" s="441"/>
    </row>
  </sheetData>
  <sheetProtection algorithmName="SHA-512" hashValue="SZsD1OOhVlum1/gTxsNfzgpSl1UtBnn4Cvzv/1TWPMC42Ke/FGgrcRCi/FoWyOpAFGwyR0eqmryGlRYClkRMfw==" saltValue="Guy2rS2X/OAV16C0JlahMg==" spinCount="100000" sheet="1" objects="1" scenarios="1" autoFilter="0" pivotTables="0"/>
  <pageMargins left="0.7" right="0.7" top="0.75" bottom="0.75" header="0.3" footer="0.3"/>
  <pageSetup paperSize="9" orientation="portrait" horizontalDpi="4294967293" verticalDpi="0"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6E1E8-01CE-4281-82CF-7A9D7DF5A646}">
  <sheetPr codeName="Sheet6">
    <tabColor theme="8" tint="0.79998168889431442"/>
  </sheetPr>
  <dimension ref="A1:U83"/>
  <sheetViews>
    <sheetView showGridLines="0" zoomScale="45" zoomScaleNormal="59" zoomScalePageLayoutView="110" workbookViewId="0">
      <selection activeCell="X54" sqref="X54"/>
    </sheetView>
  </sheetViews>
  <sheetFormatPr defaultColWidth="8.33203125" defaultRowHeight="13" x14ac:dyDescent="0.3"/>
  <cols>
    <col min="1" max="1" width="8.33203125" style="1"/>
    <col min="2" max="2" width="0.58203125" style="1" customWidth="1"/>
    <col min="3" max="3" width="2.08203125" style="1" customWidth="1"/>
    <col min="4" max="5" width="6.83203125" style="1" customWidth="1"/>
    <col min="6" max="6" width="4.08203125" style="1" customWidth="1"/>
    <col min="7" max="8" width="6.83203125" style="1" customWidth="1"/>
    <col min="9" max="9" width="6.08203125" style="1" customWidth="1"/>
    <col min="10" max="11" width="6.83203125" style="1" customWidth="1"/>
    <col min="12" max="12" width="4.08203125" style="1" customWidth="1"/>
    <col min="13" max="14" width="6.83203125" style="1" customWidth="1"/>
    <col min="15" max="15" width="4.08203125" style="1" customWidth="1"/>
    <col min="16" max="17" width="6.83203125" style="1" customWidth="1"/>
    <col min="18" max="18" width="4.08203125" style="1" customWidth="1"/>
    <col min="19" max="20" width="6.83203125" style="1" customWidth="1"/>
    <col min="21" max="21" width="2.08203125" style="1" customWidth="1"/>
    <col min="22" max="23" width="0.58203125" style="1" customWidth="1"/>
    <col min="24" max="16384" width="8.33203125" style="1"/>
  </cols>
  <sheetData>
    <row r="1" spans="3:3" ht="15.5" x14ac:dyDescent="0.35">
      <c r="C1" s="2" t="s">
        <v>0</v>
      </c>
    </row>
    <row r="2" spans="3:3" ht="15.5" x14ac:dyDescent="0.35">
      <c r="C2" s="2"/>
    </row>
    <row r="3" spans="3:3" ht="15.5" x14ac:dyDescent="0.35">
      <c r="C3" s="2"/>
    </row>
    <row r="4" spans="3:3" ht="15.5" x14ac:dyDescent="0.35">
      <c r="C4" s="2"/>
    </row>
    <row r="5" spans="3:3" ht="15.5" x14ac:dyDescent="0.35">
      <c r="C5" s="2"/>
    </row>
    <row r="6" spans="3:3" ht="15.5" x14ac:dyDescent="0.35">
      <c r="C6" s="2"/>
    </row>
    <row r="7" spans="3:3" ht="15.5" x14ac:dyDescent="0.35">
      <c r="C7" s="2"/>
    </row>
    <row r="8" spans="3:3" ht="15.5" x14ac:dyDescent="0.35">
      <c r="C8" s="2"/>
    </row>
    <row r="9" spans="3:3" ht="15.5" x14ac:dyDescent="0.35">
      <c r="C9" s="2"/>
    </row>
    <row r="10" spans="3:3" ht="15.5" x14ac:dyDescent="0.35">
      <c r="C10" s="2"/>
    </row>
    <row r="11" spans="3:3" ht="15.5" x14ac:dyDescent="0.35">
      <c r="C11" s="2"/>
    </row>
    <row r="12" spans="3:3" ht="15.5" x14ac:dyDescent="0.35">
      <c r="C12" s="2"/>
    </row>
    <row r="13" spans="3:3" ht="15.5" x14ac:dyDescent="0.35">
      <c r="C13" s="2"/>
    </row>
    <row r="14" spans="3:3" ht="15.5" x14ac:dyDescent="0.35">
      <c r="C14" s="2"/>
    </row>
    <row r="15" spans="3:3" ht="15.5" x14ac:dyDescent="0.35">
      <c r="C15" s="2"/>
    </row>
    <row r="16" spans="3:3" ht="15.5" x14ac:dyDescent="0.35">
      <c r="C16" s="2"/>
    </row>
    <row r="17" spans="2:21" ht="15.5" x14ac:dyDescent="0.35">
      <c r="C17" s="2"/>
    </row>
    <row r="18" spans="2:21" ht="15.5" x14ac:dyDescent="0.35">
      <c r="C18" s="2"/>
    </row>
    <row r="19" spans="2:21" x14ac:dyDescent="0.3">
      <c r="U19" s="3"/>
    </row>
    <row r="20" spans="2:21" ht="18.5" x14ac:dyDescent="0.45">
      <c r="B20" s="4"/>
      <c r="C20" s="5"/>
      <c r="U20" s="6"/>
    </row>
    <row r="21" spans="2:21" x14ac:dyDescent="0.3">
      <c r="C21" s="7"/>
    </row>
    <row r="83" spans="1:2" x14ac:dyDescent="0.3">
      <c r="A83" s="1">
        <v>1</v>
      </c>
      <c r="B83" s="1" t="s">
        <v>495</v>
      </c>
    </row>
  </sheetData>
  <sheetProtection algorithmName="SHA-512" hashValue="Ux8V/q/M3nFTGp895/L5S938o3Ljqwdp0rZ3k2wC7/wCr9bk1stWaLWoIjbOtZzLUhCGXRUUdaeykRr3ne3U1w==" saltValue="90Lx2TYnKdSfY/Y/GDg4BQ==" spinCount="100000" sheet="1" objects="1" scenarios="1"/>
  <printOptions horizontalCentered="1"/>
  <pageMargins left="0.74803149606299213" right="0.74803149606299213" top="0.74803149606299213" bottom="0.74803149606299213" header="0.31496062992125984" footer="0.31496062992125984"/>
  <pageSetup paperSize="9" orientation="landscape"/>
  <headerFooter alignWithMargins="0">
    <oddFooter>&amp;L&amp;"-,Regular"LeongTY&amp;R&amp;"-,Regular"&amp;F/&amp;A</oddFooter>
  </headerFooter>
  <colBreaks count="2" manualBreakCount="2">
    <brk id="22" max="1048575" man="1"/>
    <brk id="37" max="1048575" man="1"/>
  </col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C41CB-FC20-47C0-8DE6-E938F2C7E738}">
  <sheetPr codeName="Sheet7">
    <tabColor theme="1"/>
  </sheetPr>
  <dimension ref="A1:T41"/>
  <sheetViews>
    <sheetView showGridLines="0" zoomScale="69" zoomScaleNormal="110" zoomScalePageLayoutView="110" workbookViewId="0">
      <selection activeCell="J35" sqref="J35"/>
    </sheetView>
  </sheetViews>
  <sheetFormatPr defaultColWidth="8.33203125" defaultRowHeight="13" x14ac:dyDescent="0.3"/>
  <cols>
    <col min="1" max="1" width="0.58203125" style="1" customWidth="1"/>
    <col min="2" max="2" width="28.83203125" style="1" customWidth="1"/>
    <col min="3" max="3" width="4.08203125" style="1" hidden="1" customWidth="1"/>
    <col min="4" max="7" width="7.5" style="1" customWidth="1"/>
    <col min="8" max="8" width="4.08203125" style="1" customWidth="1"/>
    <col min="9" max="14" width="7.5" style="1" customWidth="1"/>
    <col min="15" max="15" width="6" style="1" customWidth="1"/>
    <col min="16" max="16" width="1.83203125" style="1" customWidth="1"/>
    <col min="17" max="17" width="0.58203125" style="1" customWidth="1"/>
    <col min="18" max="16384" width="8.33203125" style="1"/>
  </cols>
  <sheetData>
    <row r="1" spans="1:20" ht="15.5" x14ac:dyDescent="0.35">
      <c r="B1" s="2" t="s">
        <v>18</v>
      </c>
      <c r="O1" s="3"/>
    </row>
    <row r="2" spans="1:20" x14ac:dyDescent="0.3">
      <c r="A2" s="4"/>
    </row>
    <row r="4" spans="1:20" x14ac:dyDescent="0.3">
      <c r="B4" s="406" t="s">
        <v>19</v>
      </c>
      <c r="I4" s="34"/>
      <c r="J4" s="34"/>
      <c r="K4" s="34"/>
      <c r="N4" s="406" t="s">
        <v>20</v>
      </c>
    </row>
    <row r="5" spans="1:20" x14ac:dyDescent="0.3">
      <c r="I5" s="34"/>
      <c r="J5" s="34"/>
      <c r="K5" s="34"/>
    </row>
    <row r="6" spans="1:20" x14ac:dyDescent="0.3">
      <c r="B6" s="35" t="s">
        <v>21</v>
      </c>
      <c r="I6" s="34"/>
      <c r="J6" s="34"/>
      <c r="K6" s="34"/>
      <c r="N6" s="35" t="s">
        <v>22</v>
      </c>
    </row>
    <row r="7" spans="1:20" x14ac:dyDescent="0.3">
      <c r="B7" s="36" t="s">
        <v>13</v>
      </c>
      <c r="I7" s="34"/>
      <c r="J7" s="34"/>
      <c r="K7" s="34"/>
      <c r="N7" s="323" t="s">
        <v>23</v>
      </c>
      <c r="O7" s="254"/>
      <c r="P7" s="254"/>
      <c r="Q7" s="254"/>
      <c r="R7" s="254"/>
      <c r="S7" s="254"/>
      <c r="T7" s="254"/>
    </row>
    <row r="8" spans="1:20" x14ac:dyDescent="0.3">
      <c r="B8" s="36" t="s">
        <v>496</v>
      </c>
      <c r="I8" s="34"/>
      <c r="J8" s="34"/>
      <c r="K8" s="34"/>
      <c r="N8" s="255" t="s">
        <v>497</v>
      </c>
      <c r="O8" s="254"/>
      <c r="P8" s="254"/>
      <c r="Q8" s="254"/>
      <c r="R8" s="254"/>
      <c r="S8" s="254"/>
      <c r="T8" s="254"/>
    </row>
    <row r="9" spans="1:20" x14ac:dyDescent="0.3">
      <c r="B9" s="36" t="s">
        <v>73</v>
      </c>
      <c r="I9" s="34"/>
      <c r="J9" s="34"/>
      <c r="K9" s="34"/>
      <c r="N9" s="255" t="s">
        <v>498</v>
      </c>
      <c r="O9" s="254"/>
      <c r="P9" s="254"/>
      <c r="Q9" s="254"/>
      <c r="R9" s="254"/>
      <c r="S9" s="254"/>
      <c r="T9" s="254"/>
    </row>
    <row r="10" spans="1:20" x14ac:dyDescent="0.3">
      <c r="I10" s="34"/>
      <c r="J10" s="34"/>
      <c r="K10" s="34"/>
      <c r="N10" s="324"/>
      <c r="O10" s="324"/>
    </row>
    <row r="11" spans="1:20" x14ac:dyDescent="0.3">
      <c r="I11" s="34"/>
      <c r="J11" s="34"/>
      <c r="K11" s="34"/>
    </row>
    <row r="12" spans="1:20" x14ac:dyDescent="0.3">
      <c r="I12" s="34"/>
      <c r="J12" s="34"/>
      <c r="K12" s="34"/>
    </row>
    <row r="13" spans="1:20" x14ac:dyDescent="0.3">
      <c r="B13" s="35" t="s">
        <v>24</v>
      </c>
      <c r="I13" s="34"/>
      <c r="J13" s="34"/>
      <c r="K13" s="34"/>
      <c r="N13" s="35" t="s">
        <v>25</v>
      </c>
    </row>
    <row r="14" spans="1:20" x14ac:dyDescent="0.3">
      <c r="I14" s="34"/>
      <c r="J14" s="34"/>
      <c r="K14" s="34"/>
      <c r="N14" s="1" t="s">
        <v>35</v>
      </c>
    </row>
    <row r="15" spans="1:20" ht="14.5" customHeight="1" x14ac:dyDescent="0.3">
      <c r="I15" s="34"/>
      <c r="J15" s="34"/>
      <c r="K15" s="34"/>
      <c r="N15" s="1" t="s">
        <v>499</v>
      </c>
    </row>
    <row r="16" spans="1:20" x14ac:dyDescent="0.3">
      <c r="I16" s="34"/>
      <c r="J16" s="34"/>
      <c r="K16" s="34"/>
      <c r="N16" s="1" t="s">
        <v>101</v>
      </c>
    </row>
    <row r="17" spans="1:16" x14ac:dyDescent="0.3">
      <c r="F17" s="325"/>
      <c r="I17" s="403"/>
      <c r="J17" s="403"/>
      <c r="K17" s="403"/>
      <c r="N17" s="1" t="s">
        <v>46</v>
      </c>
      <c r="P17" s="1" t="s">
        <v>10</v>
      </c>
    </row>
    <row r="18" spans="1:16" x14ac:dyDescent="0.3">
      <c r="A18" s="38"/>
      <c r="I18" s="403"/>
      <c r="J18" s="403"/>
      <c r="K18" s="403"/>
      <c r="N18" s="1" t="s">
        <v>43</v>
      </c>
    </row>
    <row r="19" spans="1:16" x14ac:dyDescent="0.3">
      <c r="A19" s="38"/>
      <c r="I19" s="403"/>
      <c r="J19" s="403"/>
      <c r="K19" s="403"/>
      <c r="N19" s="1" t="s">
        <v>114</v>
      </c>
    </row>
    <row r="20" spans="1:16" x14ac:dyDescent="0.3">
      <c r="A20" s="38"/>
      <c r="I20" s="403"/>
      <c r="J20" s="403"/>
      <c r="K20" s="403"/>
      <c r="N20" s="1" t="s">
        <v>500</v>
      </c>
    </row>
    <row r="21" spans="1:16" x14ac:dyDescent="0.3">
      <c r="A21" s="38"/>
      <c r="G21" s="532"/>
      <c r="I21" s="403"/>
      <c r="J21" s="403"/>
      <c r="K21" s="403"/>
      <c r="N21" s="1" t="s">
        <v>826</v>
      </c>
    </row>
    <row r="22" spans="1:16" x14ac:dyDescent="0.3">
      <c r="A22" s="38"/>
      <c r="G22" s="532"/>
      <c r="I22" s="403"/>
      <c r="J22" s="403"/>
      <c r="K22" s="403"/>
      <c r="N22" s="1" t="s">
        <v>501</v>
      </c>
    </row>
    <row r="23" spans="1:16" x14ac:dyDescent="0.3">
      <c r="A23" s="38"/>
      <c r="G23" s="532"/>
      <c r="I23" s="403"/>
      <c r="J23" s="403"/>
      <c r="K23" s="403"/>
      <c r="N23" s="1" t="s">
        <v>502</v>
      </c>
    </row>
    <row r="24" spans="1:16" x14ac:dyDescent="0.3">
      <c r="A24" s="38"/>
      <c r="G24" s="532"/>
      <c r="I24" s="403"/>
      <c r="J24" s="403"/>
      <c r="K24" s="403"/>
      <c r="N24" s="1" t="s">
        <v>503</v>
      </c>
    </row>
    <row r="25" spans="1:16" x14ac:dyDescent="0.3">
      <c r="B25" s="37" t="s">
        <v>99</v>
      </c>
      <c r="G25" s="37"/>
      <c r="I25" s="403"/>
      <c r="J25" s="403"/>
      <c r="K25" s="403"/>
      <c r="N25" s="1" t="s">
        <v>504</v>
      </c>
    </row>
    <row r="26" spans="1:16" x14ac:dyDescent="0.3">
      <c r="B26" s="37" t="s">
        <v>506</v>
      </c>
      <c r="F26" s="39"/>
      <c r="G26" s="325"/>
      <c r="H26" s="39"/>
      <c r="I26" s="404"/>
      <c r="J26" s="405"/>
      <c r="K26" s="403"/>
      <c r="N26" s="1" t="s">
        <v>505</v>
      </c>
    </row>
    <row r="27" spans="1:16" x14ac:dyDescent="0.3">
      <c r="B27" s="37" t="s">
        <v>508</v>
      </c>
      <c r="C27" s="39"/>
      <c r="D27" s="39"/>
      <c r="E27" s="39"/>
      <c r="F27" s="39"/>
      <c r="G27" s="325"/>
      <c r="H27" s="39"/>
      <c r="I27" s="404"/>
      <c r="J27" s="405"/>
      <c r="K27" s="403"/>
      <c r="N27" s="1" t="s">
        <v>507</v>
      </c>
    </row>
    <row r="28" spans="1:16" x14ac:dyDescent="0.3">
      <c r="B28" s="37" t="s">
        <v>510</v>
      </c>
      <c r="C28" s="40" t="s">
        <v>28</v>
      </c>
      <c r="D28" s="39"/>
      <c r="E28" s="39"/>
      <c r="F28" s="39"/>
      <c r="G28" s="325"/>
      <c r="H28" s="39"/>
      <c r="I28" s="404"/>
      <c r="J28" s="405"/>
      <c r="K28" s="403"/>
      <c r="N28" s="1" t="s">
        <v>509</v>
      </c>
    </row>
    <row r="29" spans="1:16" x14ac:dyDescent="0.3">
      <c r="B29" s="37" t="s">
        <v>512</v>
      </c>
      <c r="C29" s="40" t="s">
        <v>30</v>
      </c>
      <c r="D29" s="39"/>
      <c r="E29" s="39"/>
      <c r="F29" s="39"/>
      <c r="G29" s="325"/>
      <c r="H29" s="39"/>
      <c r="I29" s="404"/>
      <c r="J29" s="405"/>
      <c r="K29" s="403"/>
      <c r="N29" s="1" t="s">
        <v>511</v>
      </c>
    </row>
    <row r="30" spans="1:16" x14ac:dyDescent="0.3">
      <c r="B30" s="37" t="s">
        <v>514</v>
      </c>
      <c r="C30" s="39"/>
      <c r="D30" s="39"/>
      <c r="E30" s="39"/>
      <c r="F30" s="39"/>
      <c r="H30" s="39"/>
      <c r="I30" s="404"/>
      <c r="J30" s="405"/>
      <c r="K30" s="403"/>
      <c r="N30" s="1" t="s">
        <v>513</v>
      </c>
    </row>
    <row r="31" spans="1:16" x14ac:dyDescent="0.3">
      <c r="C31" s="39"/>
      <c r="D31" s="39"/>
      <c r="E31" s="39"/>
      <c r="F31" s="39"/>
      <c r="H31" s="39"/>
      <c r="I31" s="404"/>
      <c r="J31" s="405"/>
      <c r="K31" s="403"/>
      <c r="N31" s="1" t="s">
        <v>515</v>
      </c>
    </row>
    <row r="32" spans="1:16" x14ac:dyDescent="0.3">
      <c r="I32" s="403"/>
      <c r="J32" s="405"/>
      <c r="K32" s="403"/>
      <c r="N32" s="1" t="s">
        <v>516</v>
      </c>
    </row>
    <row r="33" spans="2:14" x14ac:dyDescent="0.3">
      <c r="I33" s="403"/>
      <c r="J33" s="404"/>
      <c r="K33" s="405"/>
      <c r="N33" s="1" t="s">
        <v>517</v>
      </c>
    </row>
    <row r="34" spans="2:14" x14ac:dyDescent="0.3">
      <c r="I34" s="403"/>
      <c r="J34" s="404"/>
      <c r="K34" s="405"/>
      <c r="N34" s="1" t="s">
        <v>153</v>
      </c>
    </row>
    <row r="35" spans="2:14" x14ac:dyDescent="0.3">
      <c r="J35" s="39"/>
      <c r="K35" s="38"/>
    </row>
    <row r="36" spans="2:14" x14ac:dyDescent="0.3">
      <c r="B36" s="35" t="s">
        <v>26</v>
      </c>
      <c r="C36" s="40" t="s">
        <v>32</v>
      </c>
      <c r="D36" s="39"/>
      <c r="E36" s="39"/>
      <c r="F36" s="39"/>
      <c r="G36" s="37"/>
      <c r="H36" s="39"/>
      <c r="I36" s="39"/>
      <c r="J36" s="39"/>
      <c r="K36" s="38"/>
    </row>
    <row r="37" spans="2:14" x14ac:dyDescent="0.3">
      <c r="B37" s="39" t="s">
        <v>27</v>
      </c>
      <c r="C37" s="40" t="s">
        <v>34</v>
      </c>
      <c r="D37" s="40" t="s">
        <v>28</v>
      </c>
      <c r="E37" s="39"/>
      <c r="F37" s="39"/>
      <c r="G37" s="39"/>
      <c r="H37" s="39"/>
      <c r="I37" s="39"/>
      <c r="J37" s="38"/>
      <c r="K37" s="38"/>
    </row>
    <row r="38" spans="2:14" x14ac:dyDescent="0.3">
      <c r="B38" s="39" t="s">
        <v>29</v>
      </c>
      <c r="D38" s="40" t="s">
        <v>30</v>
      </c>
      <c r="E38" s="39"/>
      <c r="F38" s="39"/>
      <c r="G38" s="39"/>
      <c r="H38" s="39"/>
      <c r="I38" s="39"/>
    </row>
    <row r="39" spans="2:14" x14ac:dyDescent="0.3">
      <c r="B39" s="39"/>
      <c r="D39" s="39"/>
      <c r="E39" s="39"/>
      <c r="F39" s="39"/>
      <c r="G39" s="39"/>
      <c r="H39" s="39"/>
      <c r="I39" s="39"/>
    </row>
    <row r="40" spans="2:14" x14ac:dyDescent="0.3">
      <c r="B40" s="39" t="s">
        <v>31</v>
      </c>
      <c r="D40" s="40" t="s">
        <v>32</v>
      </c>
      <c r="E40" s="39"/>
      <c r="F40" s="39"/>
      <c r="G40" s="39"/>
      <c r="H40" s="39"/>
      <c r="I40" s="39"/>
    </row>
    <row r="41" spans="2:14" x14ac:dyDescent="0.3">
      <c r="B41" s="39" t="s">
        <v>33</v>
      </c>
      <c r="D41" s="40" t="s">
        <v>34</v>
      </c>
      <c r="E41" s="39"/>
      <c r="F41" s="39"/>
      <c r="G41" s="38"/>
      <c r="H41" s="38"/>
      <c r="I41" s="38"/>
    </row>
  </sheetData>
  <sheetProtection algorithmName="SHA-512" hashValue="zI5DoURzHg4zTg0OslFvU0VpekZ4eTPFck40KJwDsiFBSTU61r/TSDt0pZt1UOWKhc+AwaZuW1Lw9KdduMi4SA==" saltValue="zHkDeUShxuatK8yBQ8sKQg==" spinCount="100000" sheet="1" objects="1" scenarios="1"/>
  <mergeCells count="1">
    <mergeCell ref="G21:G24"/>
  </mergeCells>
  <pageMargins left="0.74803149606299213" right="0.74803149606299213" top="0.74803149606299213" bottom="0.74803149606299213" header="0.31496062992125984" footer="0.31496062992125984"/>
  <pageSetup paperSize="9" orientation="landscape" r:id="rId1"/>
  <headerFooter alignWithMargins="0">
    <oddFooter>&amp;L&amp;"-,Regular"LeongTY&amp;R&amp;"-,Regular"&amp;F/&amp;A</oddFooter>
  </headerFooter>
  <colBreaks count="1" manualBreakCount="1">
    <brk id="16"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D0458-1AE5-4A35-B8EE-1AB4050DEC57}">
  <sheetPr codeName="Sheet8">
    <tabColor rgb="FFFF0000"/>
  </sheetPr>
  <dimension ref="B1:U8"/>
  <sheetViews>
    <sheetView showGridLines="0" zoomScale="68" zoomScaleNormal="70" zoomScalePageLayoutView="110" workbookViewId="0">
      <selection activeCell="T42" sqref="T42"/>
    </sheetView>
  </sheetViews>
  <sheetFormatPr defaultColWidth="8.33203125" defaultRowHeight="13" x14ac:dyDescent="0.3"/>
  <cols>
    <col min="1" max="1" width="8.33203125" style="1"/>
    <col min="2" max="2" width="0.58203125" style="1" customWidth="1"/>
    <col min="3" max="3" width="2.08203125" style="1" customWidth="1"/>
    <col min="4" max="5" width="6.83203125" style="1" customWidth="1"/>
    <col min="6" max="6" width="4.08203125" style="1" customWidth="1"/>
    <col min="7" max="8" width="6.83203125" style="1" customWidth="1"/>
    <col min="9" max="9" width="6.08203125" style="1" customWidth="1"/>
    <col min="10" max="11" width="6.83203125" style="1" customWidth="1"/>
    <col min="12" max="12" width="4.08203125" style="1" customWidth="1"/>
    <col min="13" max="14" width="6.83203125" style="1" customWidth="1"/>
    <col min="15" max="15" width="4.08203125" style="1" customWidth="1"/>
    <col min="16" max="17" width="6.83203125" style="1" customWidth="1"/>
    <col min="18" max="18" width="4.08203125" style="1" customWidth="1"/>
    <col min="19" max="20" width="6.83203125" style="1" customWidth="1"/>
    <col min="21" max="21" width="2.08203125" style="1" customWidth="1"/>
    <col min="22" max="23" width="0.58203125" style="1" customWidth="1"/>
    <col min="24" max="16384" width="8.33203125" style="1"/>
  </cols>
  <sheetData>
    <row r="1" spans="2:21" ht="15.5" x14ac:dyDescent="0.35">
      <c r="C1" s="2" t="s">
        <v>0</v>
      </c>
    </row>
    <row r="2" spans="2:21" ht="15.5" x14ac:dyDescent="0.35">
      <c r="C2" s="2"/>
    </row>
    <row r="3" spans="2:21" ht="15.5" x14ac:dyDescent="0.35">
      <c r="C3" s="2"/>
    </row>
    <row r="4" spans="2:21" ht="15.5" x14ac:dyDescent="0.35">
      <c r="C4" s="2"/>
    </row>
    <row r="5" spans="2:21" ht="15.5" x14ac:dyDescent="0.35">
      <c r="C5" s="2"/>
    </row>
    <row r="6" spans="2:21" x14ac:dyDescent="0.3">
      <c r="U6" s="3"/>
    </row>
    <row r="7" spans="2:21" ht="18.5" x14ac:dyDescent="0.45">
      <c r="B7" s="4"/>
      <c r="C7" s="5"/>
      <c r="U7" s="6"/>
    </row>
    <row r="8" spans="2:21" x14ac:dyDescent="0.3">
      <c r="C8" s="7"/>
    </row>
  </sheetData>
  <sheetProtection algorithmName="SHA-512" hashValue="l5tIdZMm3wZvPXkwl9LBf4I4pSn3/EVVOfgwLec3cgnJFCkgsCQtgkTSDNmLP2nzEPg7lKMEA2KIHs04TIscAw==" saltValue="i4PMv42AkyJxhDBHrVXK1g==" spinCount="100000" sheet="1" objects="1" scenarios="1"/>
  <printOptions horizontalCentered="1"/>
  <pageMargins left="0.74803149606299213" right="0.74803149606299213" top="0.74803149606299213" bottom="0.74803149606299213" header="0.31496062992125984" footer="0.31496062992125984"/>
  <pageSetup paperSize="9" orientation="landscape"/>
  <headerFooter alignWithMargins="0">
    <oddFooter>&amp;L&amp;"-,Regular"LeongTY&amp;R&amp;"-,Regular"&amp;F/&amp;A</oddFooter>
  </headerFooter>
  <colBreaks count="2" manualBreakCount="2">
    <brk id="22" max="1048575" man="1"/>
    <brk id="37" max="1048575"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2338E-02E7-43B3-AD58-2F5C2E2B7D69}">
  <sheetPr codeName="Sheet3">
    <tabColor rgb="FFFFC000"/>
  </sheetPr>
  <dimension ref="A1:Z55"/>
  <sheetViews>
    <sheetView showGridLines="0" zoomScale="71" workbookViewId="0">
      <selection activeCell="O64" sqref="O64"/>
    </sheetView>
  </sheetViews>
  <sheetFormatPr defaultColWidth="8.83203125" defaultRowHeight="15.5" x14ac:dyDescent="0.35"/>
  <cols>
    <col min="1" max="1" width="8.5" style="33" customWidth="1"/>
    <col min="2" max="2" width="1.33203125" style="33" customWidth="1"/>
    <col min="3" max="3" width="14" style="33" customWidth="1"/>
    <col min="4" max="4" width="7.08203125" style="33" bestFit="1" customWidth="1"/>
    <col min="5" max="5" width="11.9140625" style="33" bestFit="1" customWidth="1"/>
    <col min="6" max="6" width="17.58203125" style="33" bestFit="1" customWidth="1"/>
    <col min="7" max="7" width="9.6640625" style="33" bestFit="1" customWidth="1"/>
    <col min="8" max="8" width="7.6640625" style="33" bestFit="1" customWidth="1"/>
    <col min="9" max="9" width="12.58203125" style="33" bestFit="1" customWidth="1"/>
    <col min="10" max="10" width="11.9140625" style="33" bestFit="1" customWidth="1"/>
    <col min="11" max="11" width="10.4140625" style="33" bestFit="1" customWidth="1"/>
    <col min="12" max="12" width="16.4140625" style="33" bestFit="1" customWidth="1"/>
    <col min="13" max="13" width="8.5" style="33"/>
    <col min="14" max="14" width="17" style="70" bestFit="1" customWidth="1"/>
    <col min="15" max="15" width="12.4140625" style="70" bestFit="1" customWidth="1"/>
    <col min="16" max="16" width="8.4140625" style="70" bestFit="1" customWidth="1"/>
    <col min="17" max="17" width="10.5" style="102" bestFit="1" customWidth="1"/>
    <col min="18" max="18" width="9.83203125" style="33" bestFit="1" customWidth="1"/>
    <col min="19" max="19" width="16.08203125" style="33" bestFit="1" customWidth="1"/>
    <col min="20" max="20" width="17.5" style="33" bestFit="1" customWidth="1"/>
    <col min="21" max="21" width="9.08203125" style="156" customWidth="1"/>
    <col min="22" max="22" width="8.5" style="33"/>
    <col min="23" max="23" width="19" style="33" customWidth="1"/>
    <col min="24" max="24" width="30" style="33" customWidth="1"/>
    <col min="25" max="25" width="33.33203125" style="33" customWidth="1"/>
    <col min="26" max="26" width="8.5" style="33"/>
  </cols>
  <sheetData>
    <row r="1" spans="1:25" x14ac:dyDescent="0.35">
      <c r="C1" s="41" t="s">
        <v>535</v>
      </c>
      <c r="D1" s="112"/>
      <c r="E1" s="112"/>
      <c r="F1" s="112"/>
      <c r="G1" s="112"/>
      <c r="H1" s="112"/>
      <c r="I1" s="112"/>
      <c r="J1" s="112"/>
      <c r="K1" s="112"/>
      <c r="L1" s="113"/>
      <c r="M1" s="114"/>
      <c r="N1" s="112"/>
      <c r="O1" s="112"/>
      <c r="P1" s="112"/>
    </row>
    <row r="2" spans="1:25" x14ac:dyDescent="0.35">
      <c r="C2" s="41"/>
      <c r="D2" s="112"/>
      <c r="E2" s="112"/>
      <c r="F2" s="112"/>
      <c r="G2" s="112"/>
      <c r="H2" s="115"/>
      <c r="I2" s="113"/>
      <c r="J2" s="112"/>
      <c r="K2" s="112"/>
      <c r="L2" s="113"/>
      <c r="M2" s="113"/>
    </row>
    <row r="3" spans="1:25" x14ac:dyDescent="0.35">
      <c r="C3" s="116" t="s">
        <v>131</v>
      </c>
      <c r="D3" s="112"/>
      <c r="E3" s="112"/>
      <c r="F3" s="112"/>
      <c r="G3" s="112"/>
      <c r="H3" s="113"/>
      <c r="I3" s="113"/>
      <c r="J3" s="112"/>
      <c r="K3" s="112"/>
      <c r="L3" s="113"/>
      <c r="M3" s="113"/>
      <c r="N3" s="117" t="s">
        <v>259</v>
      </c>
      <c r="S3" s="117" t="s">
        <v>259</v>
      </c>
      <c r="W3" s="299" t="s">
        <v>342</v>
      </c>
      <c r="X3" s="300"/>
      <c r="Y3" s="301"/>
    </row>
    <row r="4" spans="1:25" x14ac:dyDescent="0.35">
      <c r="A4" s="33" t="s">
        <v>63</v>
      </c>
      <c r="C4" s="118" t="s">
        <v>41</v>
      </c>
      <c r="D4" s="118" t="s">
        <v>14</v>
      </c>
      <c r="E4" s="118" t="s">
        <v>49</v>
      </c>
      <c r="F4" s="119" t="s">
        <v>58</v>
      </c>
      <c r="G4" s="119" t="s">
        <v>67</v>
      </c>
      <c r="H4" s="118" t="s">
        <v>42</v>
      </c>
      <c r="I4" s="120" t="s">
        <v>1</v>
      </c>
      <c r="J4" s="121" t="s">
        <v>45</v>
      </c>
      <c r="K4" s="278"/>
      <c r="L4" s="112"/>
      <c r="M4" s="113"/>
      <c r="N4" s="123" t="s">
        <v>5</v>
      </c>
      <c r="O4" s="123" t="s">
        <v>72</v>
      </c>
      <c r="P4" s="123" t="s">
        <v>60</v>
      </c>
      <c r="Q4" s="158" t="s">
        <v>17</v>
      </c>
      <c r="R4" s="112"/>
      <c r="S4" s="124" t="s">
        <v>61</v>
      </c>
      <c r="T4" s="123" t="s">
        <v>4</v>
      </c>
      <c r="U4" s="158" t="s">
        <v>6</v>
      </c>
      <c r="W4" s="302" t="s">
        <v>105</v>
      </c>
      <c r="X4" s="303" t="s">
        <v>107</v>
      </c>
      <c r="Y4" s="304" t="s">
        <v>106</v>
      </c>
    </row>
    <row r="5" spans="1:25" x14ac:dyDescent="0.35">
      <c r="C5" s="145">
        <v>60</v>
      </c>
      <c r="D5" s="155">
        <v>30</v>
      </c>
      <c r="E5" s="147">
        <f>C5/D5</f>
        <v>2</v>
      </c>
      <c r="F5" s="125">
        <f>$U$5</f>
        <v>0.294738</v>
      </c>
      <c r="G5" s="125">
        <f>$U$6</f>
        <v>4.46</v>
      </c>
      <c r="H5" s="126">
        <v>283</v>
      </c>
      <c r="I5" s="149">
        <f>C5*H5</f>
        <v>16980</v>
      </c>
      <c r="J5" s="150">
        <f>D5*F5*H5+G5*H5</f>
        <v>3764.5056199999999</v>
      </c>
      <c r="K5" s="279"/>
      <c r="L5" s="127"/>
      <c r="M5" s="113"/>
      <c r="N5" s="112" t="s">
        <v>71</v>
      </c>
      <c r="O5" s="128">
        <v>9600</v>
      </c>
      <c r="P5" s="112">
        <v>1</v>
      </c>
      <c r="Q5" s="159">
        <f>O5*P5</f>
        <v>9600</v>
      </c>
      <c r="R5" s="129"/>
      <c r="S5" s="130" t="s">
        <v>57</v>
      </c>
      <c r="T5" s="112" t="s">
        <v>58</v>
      </c>
      <c r="U5" s="154">
        <v>0.294738</v>
      </c>
      <c r="W5" s="305" t="s">
        <v>343</v>
      </c>
      <c r="X5" s="33" t="s">
        <v>13</v>
      </c>
      <c r="Y5" s="306" t="s">
        <v>344</v>
      </c>
    </row>
    <row r="6" spans="1:25" x14ac:dyDescent="0.35">
      <c r="C6" s="145">
        <v>100</v>
      </c>
      <c r="D6" s="155">
        <v>50</v>
      </c>
      <c r="E6" s="147">
        <f>C6/D6</f>
        <v>2</v>
      </c>
      <c r="F6" s="125">
        <f>F5</f>
        <v>0.294738</v>
      </c>
      <c r="G6" s="125">
        <f>$U$7</f>
        <v>5.28</v>
      </c>
      <c r="H6" s="126">
        <v>212</v>
      </c>
      <c r="I6" s="149">
        <f>C6*H6</f>
        <v>21200</v>
      </c>
      <c r="J6" s="150">
        <f>D6*F6*H6+G6*H6</f>
        <v>4243.5828000000001</v>
      </c>
      <c r="K6" s="279"/>
      <c r="L6" s="127"/>
      <c r="M6" s="113"/>
      <c r="N6" s="112" t="s">
        <v>16</v>
      </c>
      <c r="O6" s="128">
        <v>0</v>
      </c>
      <c r="P6" s="112">
        <v>1</v>
      </c>
      <c r="Q6" s="159">
        <f>O6*P6</f>
        <v>0</v>
      </c>
      <c r="R6" s="129"/>
      <c r="S6" s="112"/>
      <c r="T6" s="112" t="s">
        <v>68</v>
      </c>
      <c r="U6" s="154">
        <v>4.46</v>
      </c>
      <c r="W6" s="305" t="s">
        <v>345</v>
      </c>
      <c r="X6" s="33" t="s">
        <v>14</v>
      </c>
      <c r="Y6" s="306" t="s">
        <v>344</v>
      </c>
    </row>
    <row r="7" spans="1:25" x14ac:dyDescent="0.35">
      <c r="C7" s="145"/>
      <c r="D7" s="155"/>
      <c r="E7" s="147"/>
      <c r="F7" s="125"/>
      <c r="G7" s="125"/>
      <c r="H7" s="126"/>
      <c r="I7" s="149"/>
      <c r="J7" s="150"/>
      <c r="K7" s="279"/>
      <c r="L7" s="127"/>
      <c r="M7" s="113"/>
      <c r="N7" s="131" t="s">
        <v>55</v>
      </c>
      <c r="O7" s="132">
        <v>0</v>
      </c>
      <c r="P7" s="112">
        <v>0</v>
      </c>
      <c r="Q7" s="159">
        <f>O7*P7</f>
        <v>0</v>
      </c>
      <c r="R7" s="129"/>
      <c r="S7" s="112"/>
      <c r="T7" s="112" t="s">
        <v>69</v>
      </c>
      <c r="U7" s="154">
        <v>5.28</v>
      </c>
      <c r="W7" s="305" t="s">
        <v>346</v>
      </c>
      <c r="X7" s="33" t="s">
        <v>347</v>
      </c>
      <c r="Y7" s="306" t="str">
        <f ca="1">_xlfn.FORMULATEXT(E5)</f>
        <v>=C5/D5</v>
      </c>
    </row>
    <row r="8" spans="1:25" x14ac:dyDescent="0.35">
      <c r="C8" s="146" t="s">
        <v>62</v>
      </c>
      <c r="D8" s="118" t="s">
        <v>14</v>
      </c>
      <c r="E8" s="148"/>
      <c r="F8" s="119" t="s">
        <v>58</v>
      </c>
      <c r="G8" s="119" t="s">
        <v>67</v>
      </c>
      <c r="H8" s="118" t="s">
        <v>42</v>
      </c>
      <c r="I8" s="151" t="s">
        <v>1</v>
      </c>
      <c r="J8" s="152" t="s">
        <v>45</v>
      </c>
      <c r="K8" s="279"/>
      <c r="L8" s="127"/>
      <c r="M8" s="113"/>
      <c r="N8" s="131" t="s">
        <v>56</v>
      </c>
      <c r="O8" s="132">
        <v>12844</v>
      </c>
      <c r="P8" s="112">
        <v>2</v>
      </c>
      <c r="Q8" s="159">
        <f>O8*P8</f>
        <v>25688</v>
      </c>
      <c r="R8" s="129"/>
      <c r="S8" s="130" t="s">
        <v>54</v>
      </c>
      <c r="T8" s="112" t="s">
        <v>58</v>
      </c>
      <c r="U8" s="154">
        <v>2.5891999999999998E-2</v>
      </c>
      <c r="W8" s="305" t="s">
        <v>348</v>
      </c>
      <c r="X8" s="33" t="s">
        <v>349</v>
      </c>
      <c r="Y8" s="306" t="str">
        <f ca="1">_xlfn.FORMULATEXT(F5)</f>
        <v>=$U$5</v>
      </c>
    </row>
    <row r="9" spans="1:25" x14ac:dyDescent="0.35">
      <c r="C9" s="145">
        <v>18</v>
      </c>
      <c r="D9" s="155">
        <v>100</v>
      </c>
      <c r="E9" s="147">
        <f>C9/D9</f>
        <v>0.18</v>
      </c>
      <c r="F9" s="125">
        <f>U8</f>
        <v>2.5891999999999998E-2</v>
      </c>
      <c r="G9" s="125">
        <f>$U$9</f>
        <v>2.1800000000000002</v>
      </c>
      <c r="H9" s="126">
        <v>174</v>
      </c>
      <c r="I9" s="149">
        <f>C9*H9</f>
        <v>3132</v>
      </c>
      <c r="J9" s="150">
        <f>D9*F9*H9+G9*H9</f>
        <v>829.84080000000006</v>
      </c>
      <c r="K9" s="279"/>
      <c r="L9" s="113"/>
      <c r="M9" s="113"/>
      <c r="N9" s="70" t="s">
        <v>73</v>
      </c>
      <c r="O9" s="133">
        <v>0</v>
      </c>
      <c r="P9" s="70">
        <v>1</v>
      </c>
      <c r="Q9" s="102">
        <f>P9*O9</f>
        <v>0</v>
      </c>
      <c r="R9" s="113"/>
      <c r="S9" s="112"/>
      <c r="T9" s="112" t="s">
        <v>70</v>
      </c>
      <c r="U9" s="154">
        <v>2.1800000000000002</v>
      </c>
      <c r="W9" s="305" t="s">
        <v>350</v>
      </c>
      <c r="X9" s="33" t="s">
        <v>67</v>
      </c>
      <c r="Y9" s="306" t="str">
        <f ca="1">_xlfn.FORMULATEXT(G5)</f>
        <v>=$U$6</v>
      </c>
    </row>
    <row r="10" spans="1:25" x14ac:dyDescent="0.35">
      <c r="C10" s="134"/>
      <c r="D10" s="135"/>
      <c r="E10" s="135"/>
      <c r="F10" s="136"/>
      <c r="G10" s="136"/>
      <c r="H10" s="137"/>
      <c r="I10" s="138"/>
      <c r="J10" s="112"/>
      <c r="K10" s="112"/>
      <c r="L10" s="113"/>
      <c r="M10" s="113"/>
      <c r="N10" s="112" t="s">
        <v>12</v>
      </c>
      <c r="O10" s="128">
        <v>612.29999999999995</v>
      </c>
      <c r="P10" s="112">
        <v>1</v>
      </c>
      <c r="Q10" s="159">
        <f>O10*P10</f>
        <v>612.29999999999995</v>
      </c>
      <c r="R10" s="113"/>
      <c r="W10" s="305" t="s">
        <v>351</v>
      </c>
      <c r="X10" s="33" t="s">
        <v>42</v>
      </c>
      <c r="Y10" s="306" t="s">
        <v>344</v>
      </c>
    </row>
    <row r="11" spans="1:25" x14ac:dyDescent="0.35">
      <c r="C11" s="139"/>
      <c r="D11" s="112"/>
      <c r="E11" s="112"/>
      <c r="F11" s="139"/>
      <c r="G11" s="139"/>
      <c r="H11" s="113"/>
      <c r="I11" s="122" t="s">
        <v>46</v>
      </c>
      <c r="J11" s="122" t="s">
        <v>2</v>
      </c>
      <c r="K11" s="122" t="s">
        <v>44</v>
      </c>
      <c r="L11" s="122" t="s">
        <v>102</v>
      </c>
      <c r="M11" s="113"/>
      <c r="N11" s="124" t="s">
        <v>17</v>
      </c>
      <c r="O11" s="140"/>
      <c r="P11" s="124"/>
      <c r="Q11" s="160">
        <f>SUM(Q5:Q10)</f>
        <v>35900.300000000003</v>
      </c>
      <c r="R11" s="113"/>
      <c r="W11" s="305" t="s">
        <v>352</v>
      </c>
      <c r="X11" s="33" t="s">
        <v>1</v>
      </c>
      <c r="Y11" s="306" t="str">
        <f ca="1">_xlfn.FORMULATEXT(I5)</f>
        <v>=C5*H5</v>
      </c>
    </row>
    <row r="12" spans="1:25" x14ac:dyDescent="0.35">
      <c r="C12" s="141"/>
      <c r="D12" s="112"/>
      <c r="E12" s="112"/>
      <c r="F12" s="112"/>
      <c r="G12" s="112"/>
      <c r="H12" s="113"/>
      <c r="I12" s="149">
        <f>SUM(I5:I6,I9)</f>
        <v>41312</v>
      </c>
      <c r="J12" s="149">
        <f>SUM(J5:J6,J9,Q11)</f>
        <v>44738.229220000001</v>
      </c>
      <c r="K12" s="153">
        <f>I12-J12</f>
        <v>-3426.2292200000011</v>
      </c>
      <c r="L12" s="142">
        <f>K12/I12</f>
        <v>-8.2935447811773838E-2</v>
      </c>
      <c r="M12" s="113"/>
      <c r="Q12" s="154"/>
      <c r="R12" s="113"/>
      <c r="W12" s="305" t="s">
        <v>353</v>
      </c>
      <c r="X12" s="33" t="s">
        <v>4</v>
      </c>
      <c r="Y12" s="306" t="str">
        <f ca="1">_xlfn.FORMULATEXT(J5)</f>
        <v>=D5*F5*H5+G5*H5</v>
      </c>
    </row>
    <row r="13" spans="1:25" x14ac:dyDescent="0.35">
      <c r="C13" s="112"/>
      <c r="D13" s="112"/>
      <c r="E13" s="112"/>
      <c r="F13" s="112"/>
      <c r="G13" s="112"/>
      <c r="H13" s="113"/>
      <c r="I13" s="138"/>
      <c r="J13" s="138"/>
      <c r="K13" s="129"/>
      <c r="L13" s="127"/>
      <c r="M13" s="113"/>
      <c r="Q13" s="154"/>
      <c r="R13" s="113"/>
      <c r="W13" s="305" t="s">
        <v>354</v>
      </c>
      <c r="X13" s="33" t="s">
        <v>23</v>
      </c>
      <c r="Y13" s="306" t="e">
        <f ca="1">_xlfn.FORMULATEXT(K5)</f>
        <v>#N/A</v>
      </c>
    </row>
    <row r="14" spans="1:25" x14ac:dyDescent="0.35">
      <c r="A14" s="33" t="s">
        <v>64</v>
      </c>
      <c r="C14" s="118" t="s">
        <v>41</v>
      </c>
      <c r="D14" s="118" t="s">
        <v>14</v>
      </c>
      <c r="E14" s="118" t="s">
        <v>49</v>
      </c>
      <c r="F14" s="119" t="s">
        <v>58</v>
      </c>
      <c r="G14" s="119" t="s">
        <v>67</v>
      </c>
      <c r="H14" s="118" t="s">
        <v>42</v>
      </c>
      <c r="I14" s="120" t="s">
        <v>1</v>
      </c>
      <c r="J14" s="121" t="s">
        <v>45</v>
      </c>
      <c r="K14" s="278"/>
      <c r="L14" s="112"/>
      <c r="M14" s="113"/>
      <c r="N14" s="123" t="s">
        <v>5</v>
      </c>
      <c r="O14" s="123" t="s">
        <v>59</v>
      </c>
      <c r="P14" s="123" t="s">
        <v>60</v>
      </c>
      <c r="Q14" s="158" t="s">
        <v>17</v>
      </c>
      <c r="R14" s="113"/>
      <c r="W14" s="305" t="s">
        <v>355</v>
      </c>
      <c r="X14" s="33" t="s">
        <v>46</v>
      </c>
      <c r="Y14" s="306" t="str">
        <f ca="1">_xlfn.FORMULATEXT(I12)</f>
        <v>=SUM(I5:I6,I9)</v>
      </c>
    </row>
    <row r="15" spans="1:25" x14ac:dyDescent="0.35">
      <c r="C15" s="145">
        <v>60</v>
      </c>
      <c r="D15" s="155">
        <v>30</v>
      </c>
      <c r="E15" s="147">
        <f>C15/D15</f>
        <v>2</v>
      </c>
      <c r="F15" s="125">
        <f>$U$5</f>
        <v>0.294738</v>
      </c>
      <c r="G15" s="125">
        <f>$U$6</f>
        <v>4.46</v>
      </c>
      <c r="H15" s="126">
        <v>769</v>
      </c>
      <c r="I15" s="149">
        <f>C15*H15</f>
        <v>46140</v>
      </c>
      <c r="J15" s="150">
        <f>D15*F15*H15+G15*H15</f>
        <v>10229.345659999999</v>
      </c>
      <c r="K15" s="279"/>
      <c r="L15" s="127"/>
      <c r="M15" s="113"/>
      <c r="N15" s="112" t="s">
        <v>15</v>
      </c>
      <c r="O15" s="128">
        <v>9600</v>
      </c>
      <c r="P15" s="112">
        <v>1</v>
      </c>
      <c r="Q15" s="159">
        <f>O15*P15</f>
        <v>9600</v>
      </c>
      <c r="R15" s="113"/>
      <c r="W15" s="305" t="s">
        <v>356</v>
      </c>
      <c r="X15" s="33" t="s">
        <v>2</v>
      </c>
      <c r="Y15" s="306" t="str">
        <f ca="1">_xlfn.FORMULATEXT(J12)</f>
        <v>=SUM(J5:J6,J9,Q11)</v>
      </c>
    </row>
    <row r="16" spans="1:25" x14ac:dyDescent="0.35">
      <c r="C16" s="145">
        <v>100</v>
      </c>
      <c r="D16" s="155">
        <v>50</v>
      </c>
      <c r="E16" s="147">
        <f>C16/D16</f>
        <v>2</v>
      </c>
      <c r="F16" s="125">
        <f>F15</f>
        <v>0.294738</v>
      </c>
      <c r="G16" s="125">
        <f>$U$7</f>
        <v>5.28</v>
      </c>
      <c r="H16" s="126">
        <v>647</v>
      </c>
      <c r="I16" s="149">
        <f>C16*H16</f>
        <v>64700</v>
      </c>
      <c r="J16" s="150">
        <f>D16*F16*H16+G16*H16</f>
        <v>12950.934300000001</v>
      </c>
      <c r="K16" s="279"/>
      <c r="L16" s="127"/>
      <c r="N16" s="112" t="s">
        <v>16</v>
      </c>
      <c r="O16" s="128">
        <v>0</v>
      </c>
      <c r="P16" s="112">
        <v>1</v>
      </c>
      <c r="Q16" s="159">
        <f>O16*P16</f>
        <v>0</v>
      </c>
      <c r="R16" s="113"/>
      <c r="W16" s="305" t="s">
        <v>357</v>
      </c>
      <c r="X16" s="33" t="s">
        <v>44</v>
      </c>
      <c r="Y16" s="306" t="str">
        <f ca="1">_xlfn.FORMULATEXT(K12)</f>
        <v>=I12-J12</v>
      </c>
    </row>
    <row r="17" spans="1:25" x14ac:dyDescent="0.35">
      <c r="C17" s="145"/>
      <c r="D17" s="155"/>
      <c r="E17" s="147"/>
      <c r="F17" s="125"/>
      <c r="G17" s="125"/>
      <c r="H17" s="126"/>
      <c r="I17" s="149"/>
      <c r="J17" s="150"/>
      <c r="K17" s="279"/>
      <c r="L17" s="127"/>
      <c r="N17" s="131" t="s">
        <v>55</v>
      </c>
      <c r="O17" s="132">
        <v>0</v>
      </c>
      <c r="P17" s="112">
        <v>0</v>
      </c>
      <c r="Q17" s="159">
        <f>O17*P17</f>
        <v>0</v>
      </c>
      <c r="R17" s="113"/>
      <c r="W17" s="305" t="s">
        <v>358</v>
      </c>
      <c r="X17" s="33" t="s">
        <v>102</v>
      </c>
      <c r="Y17" s="306" t="str">
        <f ca="1">_xlfn.FORMULATEXT(L12)</f>
        <v>=K12/I12</v>
      </c>
    </row>
    <row r="18" spans="1:25" x14ac:dyDescent="0.35">
      <c r="C18" s="148" t="s">
        <v>62</v>
      </c>
      <c r="D18" s="118" t="s">
        <v>14</v>
      </c>
      <c r="E18" s="148"/>
      <c r="F18" s="119" t="s">
        <v>38</v>
      </c>
      <c r="G18" s="119" t="s">
        <v>67</v>
      </c>
      <c r="H18" s="118" t="s">
        <v>42</v>
      </c>
      <c r="I18" s="151" t="s">
        <v>1</v>
      </c>
      <c r="J18" s="152" t="s">
        <v>45</v>
      </c>
      <c r="K18" s="279"/>
      <c r="L18" s="127"/>
      <c r="N18" s="131" t="s">
        <v>56</v>
      </c>
      <c r="O18" s="132">
        <v>12844</v>
      </c>
      <c r="P18" s="112">
        <v>2</v>
      </c>
      <c r="Q18" s="159">
        <f>O18*P18</f>
        <v>25688</v>
      </c>
      <c r="R18" s="113"/>
      <c r="W18" s="305"/>
      <c r="Y18" s="306"/>
    </row>
    <row r="19" spans="1:25" x14ac:dyDescent="0.35">
      <c r="C19" s="145">
        <v>18</v>
      </c>
      <c r="D19" s="155">
        <v>100</v>
      </c>
      <c r="E19" s="147">
        <f>C19/D19</f>
        <v>0.18</v>
      </c>
      <c r="F19" s="125">
        <f>$U$8</f>
        <v>2.5891999999999998E-2</v>
      </c>
      <c r="G19" s="125">
        <f>$U$9</f>
        <v>2.1800000000000002</v>
      </c>
      <c r="H19" s="126">
        <v>281</v>
      </c>
      <c r="I19" s="149">
        <f>C19*H19</f>
        <v>5058</v>
      </c>
      <c r="J19" s="150">
        <f>D19*F19*H19+G19*H19</f>
        <v>1340.1451999999999</v>
      </c>
      <c r="K19" s="279"/>
      <c r="L19" s="113"/>
      <c r="N19" s="70" t="s">
        <v>73</v>
      </c>
      <c r="O19" s="102">
        <v>24800</v>
      </c>
      <c r="P19" s="70">
        <v>1</v>
      </c>
      <c r="Q19" s="133">
        <f>P19*O19</f>
        <v>24800</v>
      </c>
      <c r="W19" s="305" t="s">
        <v>359</v>
      </c>
      <c r="X19" s="33" t="s">
        <v>360</v>
      </c>
      <c r="Y19" s="306" t="s">
        <v>344</v>
      </c>
    </row>
    <row r="20" spans="1:25" x14ac:dyDescent="0.35">
      <c r="C20" s="134"/>
      <c r="D20" s="135"/>
      <c r="E20" s="135"/>
      <c r="F20" s="136"/>
      <c r="G20" s="136"/>
      <c r="H20" s="137"/>
      <c r="I20" s="154"/>
      <c r="J20" s="154"/>
      <c r="K20" s="154"/>
      <c r="L20" s="113"/>
      <c r="N20" s="112" t="s">
        <v>12</v>
      </c>
      <c r="O20" s="128">
        <v>562.62</v>
      </c>
      <c r="P20" s="112">
        <v>1</v>
      </c>
      <c r="Q20" s="159">
        <f>O20*P20</f>
        <v>562.62</v>
      </c>
      <c r="W20" s="305" t="s">
        <v>361</v>
      </c>
      <c r="X20" s="33" t="s">
        <v>362</v>
      </c>
      <c r="Y20" s="306" t="s">
        <v>344</v>
      </c>
    </row>
    <row r="21" spans="1:25" x14ac:dyDescent="0.35">
      <c r="C21" s="139"/>
      <c r="D21" s="112"/>
      <c r="E21" s="112"/>
      <c r="F21" s="139"/>
      <c r="G21" s="139"/>
      <c r="H21" s="113"/>
      <c r="I21" s="149" t="s">
        <v>46</v>
      </c>
      <c r="J21" s="149" t="s">
        <v>2</v>
      </c>
      <c r="K21" s="149" t="s">
        <v>44</v>
      </c>
      <c r="L21" s="122" t="s">
        <v>102</v>
      </c>
      <c r="N21" s="124" t="s">
        <v>17</v>
      </c>
      <c r="O21" s="140"/>
      <c r="P21" s="124"/>
      <c r="Q21" s="160">
        <f>SUM(Q15:Q20)</f>
        <v>60650.62</v>
      </c>
      <c r="W21" s="305" t="s">
        <v>363</v>
      </c>
      <c r="X21" s="33" t="s">
        <v>364</v>
      </c>
      <c r="Y21" s="306" t="s">
        <v>344</v>
      </c>
    </row>
    <row r="22" spans="1:25" x14ac:dyDescent="0.35">
      <c r="C22" s="141"/>
      <c r="D22" s="112"/>
      <c r="E22" s="112"/>
      <c r="F22" s="112"/>
      <c r="G22" s="112"/>
      <c r="H22" s="113"/>
      <c r="I22" s="149">
        <f>SUM(I15:I16,I19)</f>
        <v>115898</v>
      </c>
      <c r="J22" s="149">
        <f>SUM(J15:J16,J19,Q21)</f>
        <v>85171.045160000009</v>
      </c>
      <c r="K22" s="153">
        <f>I22-J22</f>
        <v>30726.954839999991</v>
      </c>
      <c r="L22" s="142">
        <f>K22/I22</f>
        <v>0.26512066506755932</v>
      </c>
      <c r="W22" s="305" t="s">
        <v>365</v>
      </c>
      <c r="X22" s="33" t="s">
        <v>366</v>
      </c>
      <c r="Y22" s="306" t="s">
        <v>344</v>
      </c>
    </row>
    <row r="23" spans="1:25" x14ac:dyDescent="0.35">
      <c r="N23" s="112"/>
      <c r="O23" s="112"/>
      <c r="P23" s="112"/>
      <c r="W23" s="305" t="s">
        <v>367</v>
      </c>
      <c r="X23" s="33" t="s">
        <v>368</v>
      </c>
      <c r="Y23" s="306" t="s">
        <v>344</v>
      </c>
    </row>
    <row r="24" spans="1:25" x14ac:dyDescent="0.35">
      <c r="A24" s="33" t="s">
        <v>65</v>
      </c>
      <c r="C24" s="118" t="s">
        <v>41</v>
      </c>
      <c r="D24" s="118" t="s">
        <v>14</v>
      </c>
      <c r="E24" s="118" t="s">
        <v>49</v>
      </c>
      <c r="F24" s="119" t="s">
        <v>58</v>
      </c>
      <c r="G24" s="119" t="s">
        <v>67</v>
      </c>
      <c r="H24" s="118" t="s">
        <v>42</v>
      </c>
      <c r="I24" s="120" t="s">
        <v>1</v>
      </c>
      <c r="J24" s="121" t="s">
        <v>45</v>
      </c>
      <c r="K24" s="278"/>
      <c r="L24" s="112"/>
      <c r="M24" s="113"/>
      <c r="N24" s="123" t="s">
        <v>5</v>
      </c>
      <c r="O24" s="123" t="s">
        <v>59</v>
      </c>
      <c r="P24" s="123" t="s">
        <v>60</v>
      </c>
      <c r="Q24" s="158" t="s">
        <v>17</v>
      </c>
      <c r="W24" s="305" t="s">
        <v>369</v>
      </c>
      <c r="X24" s="33" t="s">
        <v>12</v>
      </c>
      <c r="Y24" s="306" t="s">
        <v>344</v>
      </c>
    </row>
    <row r="25" spans="1:25" x14ac:dyDescent="0.35">
      <c r="C25" s="145">
        <v>60</v>
      </c>
      <c r="D25" s="155">
        <v>30</v>
      </c>
      <c r="E25" s="147">
        <f>C25/D25</f>
        <v>2</v>
      </c>
      <c r="F25" s="125">
        <f>$U$5</f>
        <v>0.294738</v>
      </c>
      <c r="G25" s="125">
        <f>$U$6</f>
        <v>4.46</v>
      </c>
      <c r="H25" s="126">
        <v>758</v>
      </c>
      <c r="I25" s="149">
        <f>C25*H25</f>
        <v>45480</v>
      </c>
      <c r="J25" s="150">
        <f>D25*F25*H25+G25*H25</f>
        <v>10083.02212</v>
      </c>
      <c r="K25" s="279"/>
      <c r="L25" s="127"/>
      <c r="M25" s="113"/>
      <c r="N25" s="112" t="s">
        <v>15</v>
      </c>
      <c r="O25" s="128">
        <v>24000</v>
      </c>
      <c r="P25" s="112">
        <v>1</v>
      </c>
      <c r="Q25" s="159">
        <f>O25*P25</f>
        <v>24000</v>
      </c>
      <c r="W25" s="305" t="s">
        <v>370</v>
      </c>
      <c r="X25" s="33" t="s">
        <v>371</v>
      </c>
      <c r="Y25" s="306" t="s">
        <v>344</v>
      </c>
    </row>
    <row r="26" spans="1:25" x14ac:dyDescent="0.35">
      <c r="C26" s="145">
        <v>100</v>
      </c>
      <c r="D26" s="155">
        <v>50</v>
      </c>
      <c r="E26" s="147">
        <f>C26/D26</f>
        <v>2</v>
      </c>
      <c r="F26" s="125">
        <f>F25</f>
        <v>0.294738</v>
      </c>
      <c r="G26" s="125">
        <f>$U$7</f>
        <v>5.28</v>
      </c>
      <c r="H26" s="126">
        <v>652</v>
      </c>
      <c r="I26" s="149">
        <f>C26*H26</f>
        <v>65200</v>
      </c>
      <c r="J26" s="150">
        <f>D26*F26*H26+G26*H26</f>
        <v>13051.0188</v>
      </c>
      <c r="K26" s="279"/>
      <c r="L26" s="127"/>
      <c r="N26" s="112" t="s">
        <v>16</v>
      </c>
      <c r="O26" s="128">
        <v>2904</v>
      </c>
      <c r="P26" s="112">
        <v>1</v>
      </c>
      <c r="Q26" s="159">
        <f>O26*P26</f>
        <v>2904</v>
      </c>
      <c r="W26" s="305" t="s">
        <v>372</v>
      </c>
      <c r="X26" s="33" t="s">
        <v>373</v>
      </c>
      <c r="Y26" s="306" t="s">
        <v>344</v>
      </c>
    </row>
    <row r="27" spans="1:25" x14ac:dyDescent="0.35">
      <c r="C27" s="145"/>
      <c r="D27" s="155"/>
      <c r="E27" s="147"/>
      <c r="F27" s="125"/>
      <c r="G27" s="125"/>
      <c r="H27" s="126"/>
      <c r="I27" s="149"/>
      <c r="J27" s="150"/>
      <c r="K27" s="279"/>
      <c r="L27" s="127"/>
      <c r="N27" s="131" t="s">
        <v>55</v>
      </c>
      <c r="O27" s="132">
        <v>10860</v>
      </c>
      <c r="P27" s="112">
        <v>1</v>
      </c>
      <c r="Q27" s="159">
        <f>O27*P27</f>
        <v>10860</v>
      </c>
      <c r="W27" s="305" t="s">
        <v>374</v>
      </c>
      <c r="X27" s="33" t="s">
        <v>375</v>
      </c>
      <c r="Y27" s="306" t="s">
        <v>344</v>
      </c>
    </row>
    <row r="28" spans="1:25" x14ac:dyDescent="0.35">
      <c r="C28" s="148" t="s">
        <v>62</v>
      </c>
      <c r="D28" s="118" t="s">
        <v>14</v>
      </c>
      <c r="E28" s="148"/>
      <c r="F28" s="119" t="s">
        <v>38</v>
      </c>
      <c r="G28" s="119" t="s">
        <v>67</v>
      </c>
      <c r="H28" s="118" t="s">
        <v>42</v>
      </c>
      <c r="I28" s="151" t="s">
        <v>1</v>
      </c>
      <c r="J28" s="152" t="s">
        <v>45</v>
      </c>
      <c r="K28" s="279"/>
      <c r="L28" s="127"/>
      <c r="N28" s="131" t="s">
        <v>56</v>
      </c>
      <c r="O28" s="132">
        <v>12844</v>
      </c>
      <c r="P28" s="112">
        <v>2</v>
      </c>
      <c r="Q28" s="159">
        <f>O28*P28</f>
        <v>25688</v>
      </c>
      <c r="W28" s="305" t="s">
        <v>376</v>
      </c>
      <c r="X28" s="33" t="s">
        <v>377</v>
      </c>
      <c r="Y28" s="306" t="s">
        <v>344</v>
      </c>
    </row>
    <row r="29" spans="1:25" x14ac:dyDescent="0.35">
      <c r="C29" s="145">
        <v>18</v>
      </c>
      <c r="D29" s="155">
        <v>100</v>
      </c>
      <c r="E29" s="147">
        <f>C29/D29</f>
        <v>0.18</v>
      </c>
      <c r="F29" s="125">
        <f>$U$8</f>
        <v>2.5891999999999998E-2</v>
      </c>
      <c r="G29" s="125">
        <f>$U$9</f>
        <v>2.1800000000000002</v>
      </c>
      <c r="H29" s="126">
        <v>286</v>
      </c>
      <c r="I29" s="149">
        <f>C29*H29</f>
        <v>5148</v>
      </c>
      <c r="J29" s="150">
        <f>D29*F29*H29+G29*H29</f>
        <v>1363.9911999999999</v>
      </c>
      <c r="K29" s="279"/>
      <c r="L29" s="113"/>
      <c r="N29" s="70" t="s">
        <v>73</v>
      </c>
      <c r="O29" s="102">
        <v>0</v>
      </c>
      <c r="P29" s="70">
        <v>1</v>
      </c>
      <c r="Q29" s="133">
        <f>P29*O29</f>
        <v>0</v>
      </c>
      <c r="W29" s="305" t="s">
        <v>378</v>
      </c>
      <c r="X29" s="33" t="s">
        <v>379</v>
      </c>
      <c r="Y29" s="306" t="s">
        <v>344</v>
      </c>
    </row>
    <row r="30" spans="1:25" x14ac:dyDescent="0.35">
      <c r="C30" s="134"/>
      <c r="D30" s="135"/>
      <c r="E30" s="135"/>
      <c r="F30" s="136"/>
      <c r="G30" s="136"/>
      <c r="H30" s="137"/>
      <c r="I30" s="154"/>
      <c r="J30" s="154"/>
      <c r="K30" s="154"/>
      <c r="L30" s="113"/>
      <c r="N30" s="112" t="s">
        <v>12</v>
      </c>
      <c r="O30" s="128">
        <v>2286.19</v>
      </c>
      <c r="P30" s="112">
        <v>1</v>
      </c>
      <c r="Q30" s="159">
        <f>O30*P30</f>
        <v>2286.19</v>
      </c>
      <c r="W30" s="305" t="s">
        <v>380</v>
      </c>
      <c r="X30" s="33" t="s">
        <v>381</v>
      </c>
      <c r="Y30" s="306" t="s">
        <v>344</v>
      </c>
    </row>
    <row r="31" spans="1:25" x14ac:dyDescent="0.35">
      <c r="C31" s="139"/>
      <c r="D31" s="112"/>
      <c r="E31" s="112"/>
      <c r="F31" s="139"/>
      <c r="G31" s="139"/>
      <c r="H31" s="113"/>
      <c r="I31" s="149" t="s">
        <v>46</v>
      </c>
      <c r="J31" s="149" t="s">
        <v>2</v>
      </c>
      <c r="K31" s="149" t="s">
        <v>44</v>
      </c>
      <c r="L31" s="122" t="s">
        <v>102</v>
      </c>
      <c r="N31" s="124" t="s">
        <v>17</v>
      </c>
      <c r="O31" s="140"/>
      <c r="P31" s="124"/>
      <c r="Q31" s="160">
        <f>SUM(Q25:Q30)</f>
        <v>65738.19</v>
      </c>
      <c r="W31" s="305" t="s">
        <v>382</v>
      </c>
      <c r="X31" s="33" t="s">
        <v>383</v>
      </c>
      <c r="Y31" s="306" t="str">
        <f t="shared" ref="Y31:Y37" ca="1" si="0">_xlfn.FORMULATEXT(Q5)</f>
        <v>=O5*P5</v>
      </c>
    </row>
    <row r="32" spans="1:25" x14ac:dyDescent="0.35">
      <c r="C32" s="141"/>
      <c r="D32" s="112"/>
      <c r="E32" s="112"/>
      <c r="F32" s="112"/>
      <c r="G32" s="112"/>
      <c r="H32" s="113"/>
      <c r="I32" s="149">
        <f>SUM(I25:I26,I29)</f>
        <v>115828</v>
      </c>
      <c r="J32" s="149">
        <f>SUM(J25:J26,J29,Q31)</f>
        <v>90236.222120000006</v>
      </c>
      <c r="K32" s="153">
        <f>I32-J32</f>
        <v>25591.777879999994</v>
      </c>
      <c r="L32" s="142">
        <f>K32/I32</f>
        <v>0.22094638498463234</v>
      </c>
      <c r="N32" s="143"/>
      <c r="O32" s="143"/>
      <c r="P32" s="112"/>
      <c r="W32" s="305" t="s">
        <v>384</v>
      </c>
      <c r="X32" s="33" t="s">
        <v>385</v>
      </c>
      <c r="Y32" s="306" t="str">
        <f t="shared" ca="1" si="0"/>
        <v>=O6*P6</v>
      </c>
    </row>
    <row r="33" spans="1:25" x14ac:dyDescent="0.35">
      <c r="I33" s="156"/>
      <c r="J33" s="156"/>
      <c r="K33" s="156"/>
      <c r="N33" s="143"/>
      <c r="O33" s="143"/>
      <c r="P33" s="112"/>
      <c r="W33" s="305" t="s">
        <v>386</v>
      </c>
      <c r="X33" s="33" t="s">
        <v>387</v>
      </c>
      <c r="Y33" s="306" t="str">
        <f t="shared" ca="1" si="0"/>
        <v>=O7*P7</v>
      </c>
    </row>
    <row r="34" spans="1:25" x14ac:dyDescent="0.35">
      <c r="A34" s="33" t="s">
        <v>66</v>
      </c>
      <c r="C34" s="118" t="s">
        <v>41</v>
      </c>
      <c r="D34" s="118" t="s">
        <v>14</v>
      </c>
      <c r="E34" s="118" t="s">
        <v>49</v>
      </c>
      <c r="F34" s="119" t="s">
        <v>58</v>
      </c>
      <c r="G34" s="119" t="s">
        <v>67</v>
      </c>
      <c r="H34" s="118" t="s">
        <v>42</v>
      </c>
      <c r="I34" s="151" t="s">
        <v>1</v>
      </c>
      <c r="J34" s="121" t="s">
        <v>45</v>
      </c>
      <c r="K34" s="278"/>
      <c r="L34" s="112"/>
      <c r="N34" s="123" t="s">
        <v>5</v>
      </c>
      <c r="O34" s="123" t="s">
        <v>59</v>
      </c>
      <c r="P34" s="123" t="s">
        <v>60</v>
      </c>
      <c r="Q34" s="158" t="s">
        <v>17</v>
      </c>
      <c r="W34" s="305" t="s">
        <v>388</v>
      </c>
      <c r="X34" s="33" t="s">
        <v>389</v>
      </c>
      <c r="Y34" s="306" t="str">
        <f t="shared" ca="1" si="0"/>
        <v>=O8*P8</v>
      </c>
    </row>
    <row r="35" spans="1:25" x14ac:dyDescent="0.35">
      <c r="C35" s="145">
        <v>63</v>
      </c>
      <c r="D35" s="155">
        <v>30</v>
      </c>
      <c r="E35" s="147">
        <f>C35/D35</f>
        <v>2.1</v>
      </c>
      <c r="F35" s="125">
        <f>$U$5</f>
        <v>0.294738</v>
      </c>
      <c r="G35" s="125">
        <f>$U$6</f>
        <v>4.46</v>
      </c>
      <c r="H35" s="126">
        <v>760</v>
      </c>
      <c r="I35" s="149">
        <f>C35*H35</f>
        <v>47880</v>
      </c>
      <c r="J35" s="150">
        <f>D35*F35*H35+G35*H35</f>
        <v>10109.626400000001</v>
      </c>
      <c r="K35" s="279"/>
      <c r="L35" s="127"/>
      <c r="N35" s="112" t="s">
        <v>15</v>
      </c>
      <c r="O35" s="128">
        <v>24000</v>
      </c>
      <c r="P35" s="112">
        <v>1</v>
      </c>
      <c r="Q35" s="159">
        <f>O35*P35</f>
        <v>24000</v>
      </c>
      <c r="W35" s="305" t="s">
        <v>390</v>
      </c>
      <c r="X35" s="33" t="s">
        <v>391</v>
      </c>
      <c r="Y35" s="306" t="str">
        <f t="shared" ca="1" si="0"/>
        <v>=P9*O9</v>
      </c>
    </row>
    <row r="36" spans="1:25" x14ac:dyDescent="0.35">
      <c r="C36" s="145">
        <v>90</v>
      </c>
      <c r="D36" s="155">
        <v>50</v>
      </c>
      <c r="E36" s="147">
        <f>C36/D36</f>
        <v>1.8</v>
      </c>
      <c r="F36" s="125">
        <f>F35</f>
        <v>0.294738</v>
      </c>
      <c r="G36" s="125">
        <f>$U$7</f>
        <v>5.28</v>
      </c>
      <c r="H36" s="126">
        <v>839</v>
      </c>
      <c r="I36" s="149">
        <f>C36*H36</f>
        <v>75510</v>
      </c>
      <c r="J36" s="150">
        <f>D36*F36*H36+G36*H36</f>
        <v>16794.179100000001</v>
      </c>
      <c r="K36" s="279"/>
      <c r="L36" s="127"/>
      <c r="N36" s="112" t="s">
        <v>16</v>
      </c>
      <c r="O36" s="128">
        <v>3271.65</v>
      </c>
      <c r="P36" s="112">
        <v>1</v>
      </c>
      <c r="Q36" s="159">
        <f>O36*P36</f>
        <v>3271.65</v>
      </c>
      <c r="W36" s="305" t="s">
        <v>392</v>
      </c>
      <c r="X36" s="33" t="s">
        <v>393</v>
      </c>
      <c r="Y36" s="306" t="str">
        <f t="shared" ca="1" si="0"/>
        <v>=O10*P10</v>
      </c>
    </row>
    <row r="37" spans="1:25" x14ac:dyDescent="0.35">
      <c r="C37" s="145"/>
      <c r="D37" s="155"/>
      <c r="E37" s="147"/>
      <c r="F37" s="125"/>
      <c r="G37" s="125"/>
      <c r="H37" s="126"/>
      <c r="I37" s="149"/>
      <c r="J37" s="150"/>
      <c r="K37" s="279"/>
      <c r="L37" s="127"/>
      <c r="M37" s="113"/>
      <c r="N37" s="131" t="s">
        <v>55</v>
      </c>
      <c r="O37" s="132">
        <v>10860</v>
      </c>
      <c r="P37" s="112">
        <v>1</v>
      </c>
      <c r="Q37" s="159">
        <f>O37*P37</f>
        <v>10860</v>
      </c>
      <c r="W37" s="307" t="s">
        <v>394</v>
      </c>
      <c r="X37" s="308" t="s">
        <v>395</v>
      </c>
      <c r="Y37" s="309" t="str">
        <f t="shared" ca="1" si="0"/>
        <v>=SUM(Q5:Q10)</v>
      </c>
    </row>
    <row r="38" spans="1:25" x14ac:dyDescent="0.35">
      <c r="C38" s="148" t="s">
        <v>62</v>
      </c>
      <c r="D38" s="118" t="s">
        <v>14</v>
      </c>
      <c r="E38" s="148"/>
      <c r="F38" s="119" t="s">
        <v>38</v>
      </c>
      <c r="G38" s="119" t="s">
        <v>67</v>
      </c>
      <c r="H38" s="118" t="s">
        <v>42</v>
      </c>
      <c r="I38" s="151" t="s">
        <v>1</v>
      </c>
      <c r="J38" s="152" t="s">
        <v>45</v>
      </c>
      <c r="K38" s="279"/>
      <c r="L38" s="127"/>
      <c r="M38" s="113"/>
      <c r="N38" s="131" t="s">
        <v>56</v>
      </c>
      <c r="O38" s="132">
        <v>12844</v>
      </c>
      <c r="P38" s="112">
        <v>2</v>
      </c>
      <c r="Q38" s="159">
        <f>O38*P38</f>
        <v>25688</v>
      </c>
    </row>
    <row r="39" spans="1:25" x14ac:dyDescent="0.35">
      <c r="C39" s="145">
        <v>18</v>
      </c>
      <c r="D39" s="155">
        <v>100</v>
      </c>
      <c r="E39" s="147">
        <f>C39/D39</f>
        <v>0.18</v>
      </c>
      <c r="F39" s="125">
        <f>$U$8</f>
        <v>2.5891999999999998E-2</v>
      </c>
      <c r="G39" s="125">
        <f>$U$9</f>
        <v>2.1800000000000002</v>
      </c>
      <c r="H39" s="126">
        <v>282</v>
      </c>
      <c r="I39" s="149">
        <f>C39*H39</f>
        <v>5076</v>
      </c>
      <c r="J39" s="150">
        <f>D39*F39*H39+G39*H39</f>
        <v>1344.9144000000001</v>
      </c>
      <c r="K39" s="279"/>
      <c r="L39" s="113"/>
      <c r="M39" s="112"/>
      <c r="N39" s="70" t="s">
        <v>73</v>
      </c>
      <c r="O39" s="102">
        <v>0</v>
      </c>
      <c r="P39" s="70">
        <v>1</v>
      </c>
      <c r="Q39" s="133">
        <f>P39*O39</f>
        <v>0</v>
      </c>
    </row>
    <row r="40" spans="1:25" x14ac:dyDescent="0.35">
      <c r="C40" s="134"/>
      <c r="D40" s="135"/>
      <c r="E40" s="135"/>
      <c r="F40" s="136"/>
      <c r="G40" s="136"/>
      <c r="H40" s="137"/>
      <c r="I40" s="154"/>
      <c r="J40" s="154"/>
      <c r="K40" s="154"/>
      <c r="L40" s="113"/>
      <c r="M40" s="127"/>
      <c r="N40" s="112" t="s">
        <v>12</v>
      </c>
      <c r="O40" s="128">
        <v>2086.17</v>
      </c>
      <c r="P40" s="112">
        <v>1</v>
      </c>
      <c r="Q40" s="159">
        <f>O40*P40</f>
        <v>2086.17</v>
      </c>
      <c r="W40" s="116" t="s">
        <v>51</v>
      </c>
    </row>
    <row r="41" spans="1:25" x14ac:dyDescent="0.35">
      <c r="C41" s="139"/>
      <c r="D41" s="112"/>
      <c r="E41" s="112"/>
      <c r="F41" s="139"/>
      <c r="G41" s="139"/>
      <c r="H41" s="113"/>
      <c r="I41" s="149" t="s">
        <v>46</v>
      </c>
      <c r="J41" s="149" t="s">
        <v>2</v>
      </c>
      <c r="K41" s="149" t="s">
        <v>44</v>
      </c>
      <c r="L41" s="122" t="s">
        <v>102</v>
      </c>
      <c r="M41" s="127"/>
      <c r="N41" s="124" t="s">
        <v>17</v>
      </c>
      <c r="O41" s="140"/>
      <c r="P41" s="124"/>
      <c r="Q41" s="160">
        <f>SUM(Q35:Q40)</f>
        <v>65905.820000000007</v>
      </c>
      <c r="W41" s="33" t="s">
        <v>818</v>
      </c>
    </row>
    <row r="42" spans="1:25" x14ac:dyDescent="0.35">
      <c r="C42" s="141"/>
      <c r="D42" s="112"/>
      <c r="E42" s="112"/>
      <c r="F42" s="112"/>
      <c r="G42" s="112"/>
      <c r="H42" s="113"/>
      <c r="I42" s="149">
        <f>SUM(I35:I36,I39)</f>
        <v>128466</v>
      </c>
      <c r="J42" s="149">
        <f>SUM(J35:J36,J39,Q41)</f>
        <v>94154.539900000003</v>
      </c>
      <c r="K42" s="153">
        <f>I42-J42</f>
        <v>34311.460099999997</v>
      </c>
      <c r="L42" s="142">
        <f>K42/I42</f>
        <v>0.26708592234521195</v>
      </c>
      <c r="M42" s="127"/>
      <c r="N42" s="112"/>
      <c r="O42" s="112"/>
      <c r="P42" s="112"/>
    </row>
    <row r="43" spans="1:25" x14ac:dyDescent="0.35">
      <c r="C43" s="116" t="s">
        <v>48</v>
      </c>
      <c r="D43" s="112"/>
      <c r="E43" s="112"/>
      <c r="F43" s="112"/>
      <c r="G43" s="112"/>
      <c r="H43" s="113"/>
      <c r="I43" s="154"/>
      <c r="J43" s="154"/>
      <c r="K43" s="157"/>
      <c r="L43" s="113"/>
    </row>
    <row r="44" spans="1:25" x14ac:dyDescent="0.35">
      <c r="A44" s="33" t="s">
        <v>74</v>
      </c>
      <c r="C44" s="118" t="s">
        <v>41</v>
      </c>
      <c r="D44" s="118" t="s">
        <v>14</v>
      </c>
      <c r="E44" s="118" t="s">
        <v>49</v>
      </c>
      <c r="F44" s="119" t="s">
        <v>58</v>
      </c>
      <c r="G44" s="119" t="s">
        <v>67</v>
      </c>
      <c r="H44" s="118" t="s">
        <v>42</v>
      </c>
      <c r="I44" s="151" t="s">
        <v>1</v>
      </c>
      <c r="J44" s="121" t="s">
        <v>45</v>
      </c>
      <c r="K44" s="278"/>
      <c r="L44" s="112"/>
      <c r="M44" s="113"/>
      <c r="N44" s="123" t="s">
        <v>5</v>
      </c>
      <c r="O44" s="123" t="s">
        <v>59</v>
      </c>
      <c r="P44" s="123" t="s">
        <v>60</v>
      </c>
      <c r="Q44" s="158" t="s">
        <v>17</v>
      </c>
    </row>
    <row r="45" spans="1:25" x14ac:dyDescent="0.35">
      <c r="C45" s="145">
        <v>63</v>
      </c>
      <c r="D45" s="155">
        <v>30</v>
      </c>
      <c r="E45" s="147">
        <f>C45/D45</f>
        <v>2.1</v>
      </c>
      <c r="F45" s="125">
        <f>U5</f>
        <v>0.294738</v>
      </c>
      <c r="G45" s="125">
        <f>$U$6</f>
        <v>4.46</v>
      </c>
      <c r="H45" s="126">
        <v>762</v>
      </c>
      <c r="I45" s="149">
        <f>C45*H45</f>
        <v>48006</v>
      </c>
      <c r="J45" s="150">
        <f>D45*F45*H45+G45*H45</f>
        <v>10136.230680000001</v>
      </c>
      <c r="K45" s="279"/>
      <c r="L45" s="127"/>
      <c r="M45" s="113"/>
      <c r="N45" s="112" t="s">
        <v>15</v>
      </c>
      <c r="O45" s="128">
        <v>24000</v>
      </c>
      <c r="P45" s="112">
        <v>1</v>
      </c>
      <c r="Q45" s="159">
        <f>O45*P45</f>
        <v>24000</v>
      </c>
    </row>
    <row r="46" spans="1:25" x14ac:dyDescent="0.35">
      <c r="C46" s="145">
        <v>90</v>
      </c>
      <c r="D46" s="155">
        <v>50</v>
      </c>
      <c r="E46" s="147">
        <f>C46/D46</f>
        <v>1.8</v>
      </c>
      <c r="F46" s="125">
        <f>F45</f>
        <v>0.294738</v>
      </c>
      <c r="G46" s="125">
        <f>$U$7</f>
        <v>5.28</v>
      </c>
      <c r="H46" s="126">
        <v>827</v>
      </c>
      <c r="I46" s="149">
        <f>C46*H46</f>
        <v>74430</v>
      </c>
      <c r="J46" s="150">
        <f>D46*F46*H46+G46*H46</f>
        <v>16553.976300000002</v>
      </c>
      <c r="K46" s="279"/>
      <c r="L46" s="127"/>
      <c r="M46" s="113"/>
      <c r="N46" s="112" t="s">
        <v>16</v>
      </c>
      <c r="O46" s="128">
        <v>3326.92</v>
      </c>
      <c r="P46" s="112">
        <v>1</v>
      </c>
      <c r="Q46" s="159">
        <f>O46*P46</f>
        <v>3326.92</v>
      </c>
    </row>
    <row r="47" spans="1:25" x14ac:dyDescent="0.35">
      <c r="C47" s="145"/>
      <c r="D47" s="155"/>
      <c r="E47" s="147"/>
      <c r="F47" s="125"/>
      <c r="G47" s="125"/>
      <c r="H47" s="126"/>
      <c r="I47" s="149"/>
      <c r="J47" s="150"/>
      <c r="K47" s="279"/>
      <c r="L47" s="127"/>
      <c r="M47" s="113"/>
      <c r="N47" s="131" t="s">
        <v>55</v>
      </c>
      <c r="O47" s="132">
        <v>10860</v>
      </c>
      <c r="P47" s="112">
        <v>1</v>
      </c>
      <c r="Q47" s="159">
        <f>O47*P47</f>
        <v>10860</v>
      </c>
    </row>
    <row r="48" spans="1:25" x14ac:dyDescent="0.35">
      <c r="C48" s="148" t="s">
        <v>62</v>
      </c>
      <c r="D48" s="118" t="s">
        <v>14</v>
      </c>
      <c r="E48" s="148"/>
      <c r="F48" s="119" t="s">
        <v>38</v>
      </c>
      <c r="G48" s="119" t="s">
        <v>67</v>
      </c>
      <c r="H48" s="118" t="s">
        <v>42</v>
      </c>
      <c r="I48" s="151" t="s">
        <v>1</v>
      </c>
      <c r="J48" s="152" t="s">
        <v>45</v>
      </c>
      <c r="K48" s="279"/>
      <c r="L48" s="127"/>
      <c r="M48" s="113"/>
      <c r="N48" s="131" t="s">
        <v>56</v>
      </c>
      <c r="O48" s="132">
        <v>12844</v>
      </c>
      <c r="P48" s="112">
        <v>2</v>
      </c>
      <c r="Q48" s="159">
        <f>O48*P48</f>
        <v>25688</v>
      </c>
    </row>
    <row r="49" spans="3:17" x14ac:dyDescent="0.35">
      <c r="C49" s="145">
        <v>18</v>
      </c>
      <c r="D49" s="155">
        <v>100</v>
      </c>
      <c r="E49" s="147">
        <f>C49/D49</f>
        <v>0.18</v>
      </c>
      <c r="F49" s="125">
        <f>U8</f>
        <v>2.5891999999999998E-2</v>
      </c>
      <c r="G49" s="125">
        <f>$U$9</f>
        <v>2.1800000000000002</v>
      </c>
      <c r="H49" s="126">
        <v>295</v>
      </c>
      <c r="I49" s="149">
        <f>C49*H49</f>
        <v>5310</v>
      </c>
      <c r="J49" s="150">
        <f>D49*F49*H49+G49*H49</f>
        <v>1406.914</v>
      </c>
      <c r="K49" s="279"/>
      <c r="L49" s="113"/>
      <c r="M49" s="113"/>
      <c r="N49" s="70" t="s">
        <v>73</v>
      </c>
      <c r="O49" s="102">
        <v>0</v>
      </c>
      <c r="P49" s="70">
        <v>1</v>
      </c>
      <c r="Q49" s="133">
        <f>P49*O49</f>
        <v>0</v>
      </c>
    </row>
    <row r="50" spans="3:17" x14ac:dyDescent="0.35">
      <c r="C50" s="134"/>
      <c r="D50" s="135"/>
      <c r="E50" s="135"/>
      <c r="F50" s="144"/>
      <c r="G50" s="144"/>
      <c r="H50" s="137"/>
      <c r="I50" s="154"/>
      <c r="J50" s="154"/>
      <c r="K50" s="154"/>
      <c r="L50" s="113"/>
      <c r="M50" s="113"/>
      <c r="N50" s="112" t="s">
        <v>12</v>
      </c>
      <c r="O50" s="128">
        <v>2586.17</v>
      </c>
      <c r="P50" s="112">
        <v>1</v>
      </c>
      <c r="Q50" s="159">
        <f>O50*P50</f>
        <v>2586.17</v>
      </c>
    </row>
    <row r="51" spans="3:17" x14ac:dyDescent="0.35">
      <c r="C51" s="139"/>
      <c r="D51" s="135"/>
      <c r="E51" s="135"/>
      <c r="F51" s="139"/>
      <c r="G51" s="139"/>
      <c r="H51" s="137"/>
      <c r="I51" s="151" t="s">
        <v>46</v>
      </c>
      <c r="J51" s="151" t="s">
        <v>2</v>
      </c>
      <c r="K51" s="151" t="s">
        <v>44</v>
      </c>
      <c r="L51" s="122" t="s">
        <v>102</v>
      </c>
      <c r="M51" s="113"/>
      <c r="N51" s="124" t="s">
        <v>17</v>
      </c>
      <c r="O51" s="140"/>
      <c r="P51" s="124"/>
      <c r="Q51" s="160">
        <f>SUM(Q45:Q50)</f>
        <v>66461.09</v>
      </c>
    </row>
    <row r="52" spans="3:17" x14ac:dyDescent="0.35">
      <c r="C52" s="141"/>
      <c r="D52" s="135"/>
      <c r="E52" s="135"/>
      <c r="F52" s="112"/>
      <c r="G52" s="112"/>
      <c r="H52" s="137"/>
      <c r="I52" s="149">
        <f>SUM(I45:I49)</f>
        <v>127746</v>
      </c>
      <c r="J52" s="149">
        <f>SUM(J45:J46,J49,Q51)</f>
        <v>94558.210980000003</v>
      </c>
      <c r="K52" s="153">
        <f>I52-J52</f>
        <v>33187.789019999997</v>
      </c>
      <c r="L52" s="142">
        <f>K52/I52</f>
        <v>0.25979513268517213</v>
      </c>
      <c r="M52" s="113"/>
    </row>
    <row r="53" spans="3:17" x14ac:dyDescent="0.35">
      <c r="M53" s="113"/>
    </row>
    <row r="54" spans="3:17" x14ac:dyDescent="0.35">
      <c r="C54" s="134"/>
      <c r="D54" s="135"/>
      <c r="E54" s="135"/>
      <c r="F54" s="144"/>
      <c r="G54" s="144"/>
      <c r="H54" s="137"/>
      <c r="I54" s="138"/>
      <c r="J54" s="112"/>
      <c r="K54" s="112"/>
      <c r="L54" s="113"/>
      <c r="M54" s="113"/>
    </row>
    <row r="55" spans="3:17" x14ac:dyDescent="0.35">
      <c r="F55" s="86" t="s">
        <v>150</v>
      </c>
      <c r="G55" s="252">
        <f>(I52/I12)^(1/4)-1</f>
        <v>0.32607403785810463</v>
      </c>
    </row>
  </sheetData>
  <sheetProtection algorithmName="SHA-512" hashValue="noSSg2CFPIaTjAFwYFW4GabjyuwJPrzj5TwyRooyAyuICltKC2GS3jzkf59JWzJMVPKhV/cR3SDErWBTikfdMA==" saltValue="msznaaA8Jfu1R6dCjUPzzw==" spinCount="100000" sheet="1" objects="1" scenarios="1"/>
  <conditionalFormatting sqref="D45">
    <cfRule type="cellIs" dxfId="55" priority="106" stopIfTrue="1" operator="equal">
      <formula>""</formula>
    </cfRule>
  </conditionalFormatting>
  <conditionalFormatting sqref="C45">
    <cfRule type="cellIs" dxfId="54" priority="105" stopIfTrue="1" operator="equal">
      <formula>""</formula>
    </cfRule>
  </conditionalFormatting>
  <conditionalFormatting sqref="C5">
    <cfRule type="cellIs" dxfId="53" priority="87" stopIfTrue="1" operator="equal">
      <formula>""</formula>
    </cfRule>
  </conditionalFormatting>
  <conditionalFormatting sqref="D5:H5 F6:H6">
    <cfRule type="cellIs" dxfId="52" priority="88" stopIfTrue="1" operator="equal">
      <formula>""</formula>
    </cfRule>
  </conditionalFormatting>
  <conditionalFormatting sqref="C35">
    <cfRule type="cellIs" dxfId="51" priority="77" stopIfTrue="1" operator="equal">
      <formula>""</formula>
    </cfRule>
  </conditionalFormatting>
  <conditionalFormatting sqref="D35">
    <cfRule type="cellIs" dxfId="50" priority="78" stopIfTrue="1" operator="equal">
      <formula>""</formula>
    </cfRule>
  </conditionalFormatting>
  <conditionalFormatting sqref="C15">
    <cfRule type="cellIs" dxfId="49" priority="83" stopIfTrue="1" operator="equal">
      <formula>""</formula>
    </cfRule>
  </conditionalFormatting>
  <conditionalFormatting sqref="D15">
    <cfRule type="cellIs" dxfId="48" priority="84" stopIfTrue="1" operator="equal">
      <formula>""</formula>
    </cfRule>
  </conditionalFormatting>
  <conditionalFormatting sqref="C25">
    <cfRule type="cellIs" dxfId="47" priority="81" stopIfTrue="1" operator="equal">
      <formula>""</formula>
    </cfRule>
  </conditionalFormatting>
  <conditionalFormatting sqref="D25">
    <cfRule type="cellIs" dxfId="46" priority="82" stopIfTrue="1" operator="equal">
      <formula>""</formula>
    </cfRule>
  </conditionalFormatting>
  <conditionalFormatting sqref="E6">
    <cfRule type="cellIs" dxfId="45" priority="72" stopIfTrue="1" operator="equal">
      <formula>""</formula>
    </cfRule>
  </conditionalFormatting>
  <conditionalFormatting sqref="E9">
    <cfRule type="cellIs" dxfId="44" priority="71" stopIfTrue="1" operator="equal">
      <formula>""</formula>
    </cfRule>
  </conditionalFormatting>
  <conditionalFormatting sqref="E46">
    <cfRule type="cellIs" dxfId="43" priority="58" stopIfTrue="1" operator="equal">
      <formula>""</formula>
    </cfRule>
  </conditionalFormatting>
  <conditionalFormatting sqref="E49">
    <cfRule type="cellIs" dxfId="42" priority="57" stopIfTrue="1" operator="equal">
      <formula>""</formula>
    </cfRule>
  </conditionalFormatting>
  <conditionalFormatting sqref="E15">
    <cfRule type="cellIs" dxfId="41" priority="68" stopIfTrue="1" operator="equal">
      <formula>""</formula>
    </cfRule>
  </conditionalFormatting>
  <conditionalFormatting sqref="E16">
    <cfRule type="cellIs" dxfId="40" priority="67" stopIfTrue="1" operator="equal">
      <formula>""</formula>
    </cfRule>
  </conditionalFormatting>
  <conditionalFormatting sqref="E19">
    <cfRule type="cellIs" dxfId="39" priority="66" stopIfTrue="1" operator="equal">
      <formula>""</formula>
    </cfRule>
  </conditionalFormatting>
  <conditionalFormatting sqref="E25">
    <cfRule type="cellIs" dxfId="38" priority="65" stopIfTrue="1" operator="equal">
      <formula>""</formula>
    </cfRule>
  </conditionalFormatting>
  <conditionalFormatting sqref="E26">
    <cfRule type="cellIs" dxfId="37" priority="64" stopIfTrue="1" operator="equal">
      <formula>""</formula>
    </cfRule>
  </conditionalFormatting>
  <conditionalFormatting sqref="E29">
    <cfRule type="cellIs" dxfId="36" priority="63" stopIfTrue="1" operator="equal">
      <formula>""</formula>
    </cfRule>
  </conditionalFormatting>
  <conditionalFormatting sqref="E35">
    <cfRule type="cellIs" dxfId="35" priority="62" stopIfTrue="1" operator="equal">
      <formula>""</formula>
    </cfRule>
  </conditionalFormatting>
  <conditionalFormatting sqref="E36">
    <cfRule type="cellIs" dxfId="34" priority="61" stopIfTrue="1" operator="equal">
      <formula>""</formula>
    </cfRule>
  </conditionalFormatting>
  <conditionalFormatting sqref="E39">
    <cfRule type="cellIs" dxfId="33" priority="60" stopIfTrue="1" operator="equal">
      <formula>""</formula>
    </cfRule>
  </conditionalFormatting>
  <conditionalFormatting sqref="E45">
    <cfRule type="cellIs" dxfId="32" priority="59" stopIfTrue="1" operator="equal">
      <formula>""</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50DEB-F738-4FFE-817F-CAF681C4ABF0}">
  <sheetPr codeName="Sheet9">
    <tabColor rgb="FFFFFF00"/>
  </sheetPr>
  <dimension ref="B1:L45"/>
  <sheetViews>
    <sheetView showGridLines="0" zoomScale="62" zoomScaleNormal="70" workbookViewId="0">
      <selection activeCell="E20" sqref="E20"/>
    </sheetView>
  </sheetViews>
  <sheetFormatPr defaultColWidth="11" defaultRowHeight="15.5" x14ac:dyDescent="0.35"/>
  <cols>
    <col min="1" max="1" width="4.33203125" customWidth="1"/>
    <col min="2" max="2" width="7.83203125" bestFit="1" customWidth="1"/>
    <col min="3" max="3" width="20.5" bestFit="1" customWidth="1"/>
    <col min="4" max="4" width="27.83203125" bestFit="1" customWidth="1"/>
    <col min="5" max="5" width="44.58203125" bestFit="1" customWidth="1"/>
    <col min="6" max="6" width="12.08203125" customWidth="1"/>
    <col min="7" max="7" width="44.08203125" customWidth="1"/>
    <col min="8" max="8" width="14.33203125" customWidth="1"/>
    <col min="9" max="9" width="5.33203125" bestFit="1" customWidth="1"/>
    <col min="10" max="10" width="39.08203125" customWidth="1"/>
    <col min="11" max="11" width="39.5" customWidth="1"/>
    <col min="12" max="12" width="35" customWidth="1"/>
    <col min="13" max="13" width="33.33203125" customWidth="1"/>
  </cols>
  <sheetData>
    <row r="1" spans="2:12" x14ac:dyDescent="0.35">
      <c r="J1" s="299" t="s">
        <v>342</v>
      </c>
      <c r="K1" s="300"/>
      <c r="L1" s="301"/>
    </row>
    <row r="2" spans="2:12" x14ac:dyDescent="0.35">
      <c r="B2" s="30" t="s">
        <v>159</v>
      </c>
      <c r="J2" s="302" t="s">
        <v>105</v>
      </c>
      <c r="K2" s="303" t="s">
        <v>107</v>
      </c>
      <c r="L2" s="304" t="s">
        <v>106</v>
      </c>
    </row>
    <row r="3" spans="2:12" x14ac:dyDescent="0.35">
      <c r="B3" s="86" t="s">
        <v>88</v>
      </c>
      <c r="C3" s="87" t="s">
        <v>103</v>
      </c>
      <c r="D3" s="87" t="s">
        <v>104</v>
      </c>
      <c r="J3" s="305" t="s">
        <v>416</v>
      </c>
      <c r="K3" s="33" t="s">
        <v>88</v>
      </c>
      <c r="L3" s="306" t="s">
        <v>344</v>
      </c>
    </row>
    <row r="4" spans="2:12" x14ac:dyDescent="0.35">
      <c r="B4" s="161">
        <v>2014</v>
      </c>
      <c r="C4" s="162">
        <f>'Past Inputs'!O9</f>
        <v>0</v>
      </c>
      <c r="D4" s="162">
        <f>'Past Inputs'!I12</f>
        <v>41312</v>
      </c>
      <c r="J4" s="305" t="s">
        <v>418</v>
      </c>
      <c r="K4" s="33" t="s">
        <v>103</v>
      </c>
      <c r="L4" s="306" t="str">
        <f ca="1">_xlfn.FORMULATEXT(C4)</f>
        <v>='Past Inputs'!O9</v>
      </c>
    </row>
    <row r="5" spans="2:12" x14ac:dyDescent="0.35">
      <c r="B5" s="161">
        <v>2015</v>
      </c>
      <c r="C5" s="162">
        <f>'Past Inputs'!O19</f>
        <v>24800</v>
      </c>
      <c r="D5" s="162">
        <f>'Past Inputs'!I22</f>
        <v>115898</v>
      </c>
      <c r="J5" s="305" t="s">
        <v>582</v>
      </c>
      <c r="K5" s="33" t="s">
        <v>104</v>
      </c>
      <c r="L5" s="306" t="str">
        <f ca="1">_xlfn.FORMULATEXT(D4)</f>
        <v>='Past Inputs'!I12</v>
      </c>
    </row>
    <row r="6" spans="2:12" x14ac:dyDescent="0.35">
      <c r="B6" s="161">
        <v>2016</v>
      </c>
      <c r="C6" s="162">
        <f>'Past Inputs'!O29</f>
        <v>0</v>
      </c>
      <c r="D6" s="162">
        <f>'Past Inputs'!I32</f>
        <v>115828</v>
      </c>
      <c r="J6" s="305" t="s">
        <v>583</v>
      </c>
      <c r="K6" s="33" t="s">
        <v>584</v>
      </c>
      <c r="L6" s="306" t="str">
        <f ca="1">_xlfn.FORMULATEXT(C13)</f>
        <v>=D5</v>
      </c>
    </row>
    <row r="7" spans="2:12" x14ac:dyDescent="0.35">
      <c r="B7" s="161">
        <v>2017</v>
      </c>
      <c r="C7" s="162">
        <f>'Past Inputs'!O39</f>
        <v>0</v>
      </c>
      <c r="D7" s="162">
        <f>'Past Inputs'!I42</f>
        <v>128466</v>
      </c>
      <c r="J7" s="305" t="s">
        <v>585</v>
      </c>
      <c r="K7" s="33" t="s">
        <v>586</v>
      </c>
      <c r="L7" s="306" t="str">
        <f ca="1">_xlfn.FORMULATEXT(D12)</f>
        <v>=$C$20+$B$20*B12</v>
      </c>
    </row>
    <row r="8" spans="2:12" ht="17.5" customHeight="1" x14ac:dyDescent="0.35">
      <c r="B8" s="161">
        <v>2018</v>
      </c>
      <c r="C8" s="162">
        <f>'Past Inputs'!O49</f>
        <v>0</v>
      </c>
      <c r="D8" s="162">
        <f>'Past Inputs'!I52</f>
        <v>127746</v>
      </c>
      <c r="J8" s="305" t="s">
        <v>587</v>
      </c>
      <c r="K8" s="33" t="s">
        <v>588</v>
      </c>
      <c r="L8" s="306" t="str">
        <f ca="1">_xlfn.FORMULATEXT(B20)</f>
        <v>=SLOPE(C13:C16,B13:B16)</v>
      </c>
    </row>
    <row r="9" spans="2:12" x14ac:dyDescent="0.35">
      <c r="C9" s="81"/>
      <c r="D9" s="81"/>
      <c r="J9" s="305" t="s">
        <v>422</v>
      </c>
      <c r="K9" s="33" t="s">
        <v>589</v>
      </c>
      <c r="L9" s="318" t="str">
        <f ca="1">_xlfn.FORMULATEXT(C20)</f>
        <v>=INTERCEPT(C13:C16,B13:B16)</v>
      </c>
    </row>
    <row r="10" spans="2:12" x14ac:dyDescent="0.35">
      <c r="B10" s="30" t="s">
        <v>108</v>
      </c>
      <c r="C10" s="81"/>
      <c r="D10" s="81"/>
      <c r="J10" s="305" t="s">
        <v>590</v>
      </c>
      <c r="K10" s="33" t="s">
        <v>591</v>
      </c>
      <c r="L10" s="306" t="str">
        <f ca="1">_xlfn.FORMULATEXT(E20)</f>
        <v>=D5-D4</v>
      </c>
    </row>
    <row r="11" spans="2:12" ht="19.5" customHeight="1" x14ac:dyDescent="0.35">
      <c r="B11" s="86" t="s">
        <v>88</v>
      </c>
      <c r="C11" s="87" t="s">
        <v>109</v>
      </c>
      <c r="D11" s="92" t="s">
        <v>111</v>
      </c>
      <c r="J11" s="305" t="s">
        <v>785</v>
      </c>
      <c r="K11" s="33" t="s">
        <v>786</v>
      </c>
      <c r="L11" s="306"/>
    </row>
    <row r="12" spans="2:12" x14ac:dyDescent="0.35">
      <c r="B12" s="161">
        <v>2014</v>
      </c>
      <c r="C12" s="163" t="s">
        <v>100</v>
      </c>
      <c r="D12" s="89">
        <f>$C$20+$B$20*B12</f>
        <v>109939</v>
      </c>
      <c r="J12" s="305"/>
      <c r="K12" s="33"/>
      <c r="L12" s="306"/>
    </row>
    <row r="13" spans="2:12" x14ac:dyDescent="0.35">
      <c r="B13" s="161">
        <v>2015</v>
      </c>
      <c r="C13" s="164">
        <f>D5</f>
        <v>115898</v>
      </c>
      <c r="D13" s="89">
        <f>$C$20+$B$20*B13</f>
        <v>114757.20000000112</v>
      </c>
      <c r="J13" s="307"/>
      <c r="K13" s="308"/>
      <c r="L13" s="309"/>
    </row>
    <row r="14" spans="2:12" x14ac:dyDescent="0.35">
      <c r="B14" s="161">
        <v>2016</v>
      </c>
      <c r="C14" s="164">
        <f>D6</f>
        <v>115828</v>
      </c>
      <c r="D14" s="89">
        <f>$C$20+$B$20*B14</f>
        <v>119575.40000000037</v>
      </c>
      <c r="J14" s="33"/>
      <c r="K14" s="33"/>
      <c r="L14" s="33"/>
    </row>
    <row r="15" spans="2:12" x14ac:dyDescent="0.35">
      <c r="B15" s="161">
        <v>2017</v>
      </c>
      <c r="C15" s="164">
        <f>D7</f>
        <v>128466</v>
      </c>
      <c r="D15" s="89">
        <f>$C$20+$B$20*B15</f>
        <v>124393.60000000149</v>
      </c>
      <c r="J15" s="33"/>
      <c r="K15" s="33"/>
      <c r="L15" s="33"/>
    </row>
    <row r="16" spans="2:12" x14ac:dyDescent="0.35">
      <c r="B16" s="161">
        <v>2018</v>
      </c>
      <c r="C16" s="164">
        <f>D8</f>
        <v>127746</v>
      </c>
      <c r="D16" s="89">
        <f>$C$20+$B$20*B16</f>
        <v>129211.80000000075</v>
      </c>
      <c r="J16" s="33"/>
      <c r="K16" s="33"/>
    </row>
    <row r="17" spans="2:11" x14ac:dyDescent="0.35">
      <c r="B17" s="82"/>
      <c r="C17" s="84"/>
      <c r="D17" s="83"/>
      <c r="J17" s="33"/>
      <c r="K17" s="33"/>
    </row>
    <row r="18" spans="2:11" x14ac:dyDescent="0.35">
      <c r="B18" s="533" t="s">
        <v>110</v>
      </c>
      <c r="C18" s="534"/>
      <c r="J18" s="33"/>
      <c r="K18" s="33"/>
    </row>
    <row r="19" spans="2:11" x14ac:dyDescent="0.35">
      <c r="B19" s="86" t="s">
        <v>40</v>
      </c>
      <c r="C19" s="91" t="s">
        <v>39</v>
      </c>
      <c r="E19" s="92" t="s">
        <v>160</v>
      </c>
      <c r="H19" s="101"/>
      <c r="J19" s="33"/>
      <c r="K19" s="33"/>
    </row>
    <row r="20" spans="2:11" x14ac:dyDescent="0.35">
      <c r="B20" s="90">
        <f>SLOPE(C13:C16,B13:B16)</f>
        <v>4818.2</v>
      </c>
      <c r="C20" s="88">
        <f>INTERCEPT(C13:C16,B13:B16)</f>
        <v>-9593915.7999999989</v>
      </c>
      <c r="E20" s="89">
        <f>D5-D4</f>
        <v>74586</v>
      </c>
      <c r="H20" s="102"/>
      <c r="J20" s="33"/>
      <c r="K20" s="33"/>
    </row>
    <row r="21" spans="2:11" x14ac:dyDescent="0.35">
      <c r="B21" s="82"/>
      <c r="C21" s="83"/>
      <c r="D21" s="83"/>
      <c r="J21" s="33"/>
      <c r="K21" s="33"/>
    </row>
    <row r="22" spans="2:11" x14ac:dyDescent="0.35">
      <c r="B22" s="30" t="s">
        <v>278</v>
      </c>
      <c r="J22" s="33"/>
      <c r="K22" s="33"/>
    </row>
    <row r="23" spans="2:11" x14ac:dyDescent="0.35">
      <c r="B23" t="s">
        <v>279</v>
      </c>
      <c r="C23" s="81"/>
      <c r="D23" s="81"/>
      <c r="J23" s="33"/>
      <c r="K23" s="33"/>
    </row>
    <row r="24" spans="2:11" x14ac:dyDescent="0.35">
      <c r="B24" t="s">
        <v>280</v>
      </c>
      <c r="C24" s="81"/>
      <c r="D24" s="81"/>
      <c r="J24" s="33"/>
      <c r="K24" s="33"/>
    </row>
    <row r="25" spans="2:11" x14ac:dyDescent="0.35">
      <c r="B25" t="s">
        <v>286</v>
      </c>
      <c r="J25" s="33"/>
      <c r="K25" s="33"/>
    </row>
    <row r="26" spans="2:11" x14ac:dyDescent="0.35">
      <c r="B26" s="85"/>
      <c r="J26" s="33"/>
      <c r="K26" s="33"/>
    </row>
    <row r="27" spans="2:11" x14ac:dyDescent="0.35">
      <c r="J27" s="33"/>
      <c r="K27" s="33"/>
    </row>
    <row r="28" spans="2:11" x14ac:dyDescent="0.35">
      <c r="B28" s="30" t="s">
        <v>51</v>
      </c>
      <c r="J28" s="33"/>
      <c r="K28" s="33"/>
    </row>
    <row r="29" spans="2:11" x14ac:dyDescent="0.35">
      <c r="B29" t="s">
        <v>281</v>
      </c>
      <c r="J29" s="33"/>
      <c r="K29" s="33"/>
    </row>
    <row r="30" spans="2:11" x14ac:dyDescent="0.35">
      <c r="B30" t="s">
        <v>282</v>
      </c>
      <c r="J30" s="33"/>
      <c r="K30" s="33"/>
    </row>
    <row r="31" spans="2:11" x14ac:dyDescent="0.35">
      <c r="B31" t="s">
        <v>283</v>
      </c>
      <c r="J31" s="33"/>
      <c r="K31" s="33"/>
    </row>
    <row r="32" spans="2:11" x14ac:dyDescent="0.35">
      <c r="B32" t="s">
        <v>284</v>
      </c>
      <c r="J32" s="33"/>
      <c r="K32" s="360"/>
    </row>
    <row r="35" spans="10:10" x14ac:dyDescent="0.35">
      <c r="J35" s="33"/>
    </row>
    <row r="36" spans="10:10" x14ac:dyDescent="0.35">
      <c r="J36" s="33"/>
    </row>
    <row r="37" spans="10:10" x14ac:dyDescent="0.35">
      <c r="J37" s="33"/>
    </row>
    <row r="38" spans="10:10" x14ac:dyDescent="0.35">
      <c r="J38" s="33"/>
    </row>
    <row r="39" spans="10:10" x14ac:dyDescent="0.35">
      <c r="J39" s="33"/>
    </row>
    <row r="40" spans="10:10" x14ac:dyDescent="0.35">
      <c r="J40" s="33"/>
    </row>
    <row r="41" spans="10:10" x14ac:dyDescent="0.35">
      <c r="J41" s="33"/>
    </row>
    <row r="42" spans="10:10" x14ac:dyDescent="0.35">
      <c r="J42" s="33"/>
    </row>
    <row r="43" spans="10:10" x14ac:dyDescent="0.35">
      <c r="J43" s="33"/>
    </row>
    <row r="44" spans="10:10" x14ac:dyDescent="0.35">
      <c r="J44" s="33"/>
    </row>
    <row r="45" spans="10:10" x14ac:dyDescent="0.35">
      <c r="J45" s="33"/>
    </row>
  </sheetData>
  <sheetProtection algorithmName="SHA-512" hashValue="jWeVJVZryD8DDhp6PrWGMsEWALJitqobcV+xZve3RbSC/vkrSZpe7QIJoS26R7dY9mySu4j0fcORHq5Chess/w==" saltValue="WWWtm9ka4NnZQYpvA6E4eA==" spinCount="100000" sheet="1" objects="1" scenarios="1"/>
  <mergeCells count="1">
    <mergeCell ref="B18:C18"/>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11B0-1E83-42C7-A827-44AB038332EE}">
  <sheetPr codeName="Sheet10">
    <tabColor rgb="FF00B050"/>
  </sheetPr>
  <dimension ref="A2:N91"/>
  <sheetViews>
    <sheetView showGridLines="0" topLeftCell="A41" zoomScale="53" zoomScaleNormal="49" workbookViewId="0">
      <selection activeCell="C27" sqref="C27"/>
    </sheetView>
  </sheetViews>
  <sheetFormatPr defaultColWidth="8.83203125" defaultRowHeight="15.5" x14ac:dyDescent="0.35"/>
  <cols>
    <col min="1" max="1" width="8.83203125" style="459"/>
    <col min="2" max="2" width="36" style="459" bestFit="1" customWidth="1"/>
    <col min="3" max="3" width="28" style="459" customWidth="1"/>
    <col min="4" max="4" width="32.83203125" style="459" customWidth="1"/>
    <col min="5" max="5" width="37.5" style="459" customWidth="1"/>
    <col min="6" max="6" width="10.83203125" style="459" bestFit="1" customWidth="1"/>
    <col min="7" max="7" width="10.08203125" style="459" bestFit="1" customWidth="1"/>
    <col min="8" max="8" width="12.5" style="459" customWidth="1"/>
    <col min="9" max="10" width="11.08203125" style="459" bestFit="1" customWidth="1"/>
    <col min="11" max="11" width="8.83203125" style="459"/>
    <col min="12" max="12" width="24.83203125" style="459" customWidth="1"/>
    <col min="13" max="13" width="61.58203125" style="459" customWidth="1"/>
    <col min="14" max="14" width="46.58203125" customWidth="1"/>
  </cols>
  <sheetData>
    <row r="2" spans="2:14" x14ac:dyDescent="0.35">
      <c r="B2" s="462" t="s">
        <v>161</v>
      </c>
    </row>
    <row r="3" spans="2:14" x14ac:dyDescent="0.35">
      <c r="B3" s="469" t="s">
        <v>163</v>
      </c>
      <c r="C3" s="469" t="s">
        <v>162</v>
      </c>
    </row>
    <row r="4" spans="2:14" x14ac:dyDescent="0.35">
      <c r="B4" s="499">
        <v>1</v>
      </c>
      <c r="C4" s="500">
        <f>'Marketing Effects'!E20</f>
        <v>74586</v>
      </c>
    </row>
    <row r="5" spans="2:14" x14ac:dyDescent="0.35">
      <c r="B5" s="499">
        <v>0.95</v>
      </c>
      <c r="C5" s="500">
        <f t="shared" ref="C5:C14" si="0">B5*$C$4</f>
        <v>70856.7</v>
      </c>
      <c r="L5" s="501" t="s">
        <v>342</v>
      </c>
      <c r="M5" s="502"/>
      <c r="N5" s="301"/>
    </row>
    <row r="6" spans="2:14" x14ac:dyDescent="0.35">
      <c r="B6" s="499">
        <v>0.9</v>
      </c>
      <c r="C6" s="500">
        <f t="shared" si="0"/>
        <v>67127.400000000009</v>
      </c>
      <c r="L6" s="503" t="s">
        <v>105</v>
      </c>
      <c r="M6" s="504" t="s">
        <v>107</v>
      </c>
      <c r="N6" s="304" t="s">
        <v>106</v>
      </c>
    </row>
    <row r="7" spans="2:14" x14ac:dyDescent="0.35">
      <c r="B7" s="499">
        <v>0.85</v>
      </c>
      <c r="C7" s="500">
        <f t="shared" si="0"/>
        <v>63398.1</v>
      </c>
      <c r="L7" s="468" t="s">
        <v>416</v>
      </c>
      <c r="M7" s="464" t="s">
        <v>417</v>
      </c>
      <c r="N7" s="306" t="s">
        <v>344</v>
      </c>
    </row>
    <row r="8" spans="2:14" x14ac:dyDescent="0.35">
      <c r="B8" s="499">
        <v>0.8</v>
      </c>
      <c r="C8" s="500">
        <f t="shared" si="0"/>
        <v>59668.800000000003</v>
      </c>
      <c r="L8" s="468" t="s">
        <v>418</v>
      </c>
      <c r="M8" s="464" t="s">
        <v>419</v>
      </c>
      <c r="N8" s="306" t="str">
        <f ca="1">_xlfn.FORMULATEXT(C4)</f>
        <v>='Marketing Effects'!E20</v>
      </c>
    </row>
    <row r="9" spans="2:14" x14ac:dyDescent="0.35">
      <c r="B9" s="499">
        <v>0.75</v>
      </c>
      <c r="C9" s="500">
        <f t="shared" si="0"/>
        <v>55939.5</v>
      </c>
      <c r="L9" s="468" t="s">
        <v>420</v>
      </c>
      <c r="M9" s="464" t="s">
        <v>421</v>
      </c>
      <c r="N9" s="306" t="s">
        <v>344</v>
      </c>
    </row>
    <row r="10" spans="2:14" x14ac:dyDescent="0.35">
      <c r="B10" s="499">
        <v>0.7</v>
      </c>
      <c r="C10" s="500">
        <f t="shared" si="0"/>
        <v>52210.2</v>
      </c>
      <c r="L10" s="468" t="s">
        <v>422</v>
      </c>
      <c r="M10" s="464" t="s">
        <v>103</v>
      </c>
      <c r="N10" s="306" t="str">
        <f ca="1">_xlfn.FORMULATEXT(C20)</f>
        <v>='Marketing Effects'!C5</v>
      </c>
    </row>
    <row r="11" spans="2:14" x14ac:dyDescent="0.35">
      <c r="B11" s="499">
        <v>0.65</v>
      </c>
      <c r="C11" s="500">
        <f t="shared" si="0"/>
        <v>48480.9</v>
      </c>
      <c r="L11" s="468" t="s">
        <v>423</v>
      </c>
      <c r="M11" s="464" t="s">
        <v>104</v>
      </c>
      <c r="N11" s="306" t="str">
        <f ca="1">_xlfn.FORMULATEXT(D19)</f>
        <v>='Marketing Effects'!D4</v>
      </c>
    </row>
    <row r="12" spans="2:14" x14ac:dyDescent="0.35">
      <c r="B12" s="499">
        <v>0.6</v>
      </c>
      <c r="C12" s="500">
        <f t="shared" si="0"/>
        <v>44751.6</v>
      </c>
      <c r="L12" s="468" t="s">
        <v>424</v>
      </c>
      <c r="M12" s="464" t="s">
        <v>425</v>
      </c>
      <c r="N12" s="306" t="s">
        <v>426</v>
      </c>
    </row>
    <row r="13" spans="2:14" x14ac:dyDescent="0.35">
      <c r="B13" s="499">
        <v>0.55000000000000004</v>
      </c>
      <c r="C13" s="500">
        <f t="shared" si="0"/>
        <v>41022.300000000003</v>
      </c>
      <c r="L13" s="468" t="s">
        <v>427</v>
      </c>
      <c r="M13" s="464" t="s">
        <v>428</v>
      </c>
      <c r="N13" s="318" t="s">
        <v>429</v>
      </c>
    </row>
    <row r="14" spans="2:14" x14ac:dyDescent="0.35">
      <c r="B14" s="499">
        <v>0.5</v>
      </c>
      <c r="C14" s="500">
        <f t="shared" si="0"/>
        <v>37293</v>
      </c>
      <c r="L14" s="468" t="s">
        <v>430</v>
      </c>
      <c r="M14" s="464" t="s">
        <v>88</v>
      </c>
      <c r="N14" s="306" t="s">
        <v>344</v>
      </c>
    </row>
    <row r="15" spans="2:14" x14ac:dyDescent="0.35">
      <c r="B15" s="505"/>
      <c r="C15" s="505"/>
      <c r="L15" s="468" t="s">
        <v>431</v>
      </c>
      <c r="M15" s="464" t="s">
        <v>109</v>
      </c>
      <c r="N15" s="306" t="str">
        <f ca="1">_xlfn.FORMULATEXT(C31)</f>
        <v>=(D20-D19)*C27+D19</v>
      </c>
    </row>
    <row r="16" spans="2:14" x14ac:dyDescent="0.35">
      <c r="L16" s="468" t="s">
        <v>432</v>
      </c>
      <c r="M16" s="464" t="s">
        <v>433</v>
      </c>
      <c r="N16" s="306" t="str">
        <f ca="1">_xlfn.FORMULATEXT(D30)</f>
        <v>=$C$38+$B$38*B30</v>
      </c>
    </row>
    <row r="17" spans="2:14" x14ac:dyDescent="0.35">
      <c r="B17" s="462" t="s">
        <v>159</v>
      </c>
      <c r="L17" s="468" t="s">
        <v>434</v>
      </c>
      <c r="M17" s="464" t="s">
        <v>435</v>
      </c>
      <c r="N17" s="306" t="str">
        <f ca="1">_xlfn.FORMULATEXT(B38)</f>
        <v>=SLOPE(C31:C34,B31:B34)</v>
      </c>
    </row>
    <row r="18" spans="2:14" x14ac:dyDescent="0.35">
      <c r="B18" s="469" t="s">
        <v>88</v>
      </c>
      <c r="C18" s="470" t="s">
        <v>103</v>
      </c>
      <c r="D18" s="470" t="s">
        <v>104</v>
      </c>
      <c r="L18" s="468" t="s">
        <v>436</v>
      </c>
      <c r="M18" s="464" t="s">
        <v>437</v>
      </c>
      <c r="N18" s="306" t="str">
        <f ca="1">_xlfn.FORMULATEXT(C38)</f>
        <v>=INTERCEPT(C31:C34,B31:B34)</v>
      </c>
    </row>
    <row r="19" spans="2:14" x14ac:dyDescent="0.35">
      <c r="B19" s="472">
        <v>2014</v>
      </c>
      <c r="C19" s="506">
        <f>'Marketing Effects'!C4</f>
        <v>0</v>
      </c>
      <c r="D19" s="506">
        <f>'Marketing Effects'!D4</f>
        <v>41312</v>
      </c>
      <c r="L19" s="468" t="s">
        <v>438</v>
      </c>
      <c r="M19" s="464" t="s">
        <v>439</v>
      </c>
      <c r="N19" s="318" t="s">
        <v>344</v>
      </c>
    </row>
    <row r="20" spans="2:14" x14ac:dyDescent="0.35">
      <c r="B20" s="472">
        <v>2015</v>
      </c>
      <c r="C20" s="506">
        <f>'Marketing Effects'!C5</f>
        <v>24800</v>
      </c>
      <c r="D20" s="506">
        <f>'Marketing Effects'!D5</f>
        <v>115898</v>
      </c>
      <c r="L20" s="468" t="s">
        <v>440</v>
      </c>
      <c r="M20" s="464" t="s">
        <v>441</v>
      </c>
      <c r="N20" s="318" t="s">
        <v>344</v>
      </c>
    </row>
    <row r="21" spans="2:14" x14ac:dyDescent="0.35">
      <c r="B21" s="472">
        <v>2016</v>
      </c>
      <c r="C21" s="506">
        <f>'Marketing Effects'!C6</f>
        <v>0</v>
      </c>
      <c r="D21" s="506">
        <f>'Marketing Effects'!D6</f>
        <v>115828</v>
      </c>
      <c r="L21" s="468" t="s">
        <v>442</v>
      </c>
      <c r="M21" s="464" t="s">
        <v>109</v>
      </c>
      <c r="N21" s="318" t="str">
        <f ca="1">_xlfn.FORMULATEXT(C63)</f>
        <v>=C31</v>
      </c>
    </row>
    <row r="22" spans="2:14" x14ac:dyDescent="0.35">
      <c r="B22" s="472">
        <v>2017</v>
      </c>
      <c r="C22" s="506">
        <f>'Marketing Effects'!C7</f>
        <v>0</v>
      </c>
      <c r="D22" s="506">
        <f>'Marketing Effects'!D7</f>
        <v>128466</v>
      </c>
      <c r="L22" s="468" t="s">
        <v>443</v>
      </c>
      <c r="M22" s="464" t="s">
        <v>433</v>
      </c>
      <c r="N22" s="318" t="str">
        <f ca="1">_xlfn.FORMULATEXT(D62)</f>
        <v>=$C$69+$B$69*B62</v>
      </c>
    </row>
    <row r="23" spans="2:14" x14ac:dyDescent="0.35">
      <c r="B23" s="472">
        <v>2018</v>
      </c>
      <c r="C23" s="506">
        <f>'Marketing Effects'!C8</f>
        <v>0</v>
      </c>
      <c r="D23" s="506">
        <f>'Marketing Effects'!D8</f>
        <v>127746</v>
      </c>
      <c r="L23" s="468" t="s">
        <v>445</v>
      </c>
      <c r="M23" s="464" t="s">
        <v>446</v>
      </c>
      <c r="N23" s="318" t="str">
        <f ca="1">_xlfn.FORMULATEXT(B69)</f>
        <v>=SLOPE(C63:C65,B63:B65)</v>
      </c>
    </row>
    <row r="24" spans="2:14" x14ac:dyDescent="0.35">
      <c r="C24" s="483"/>
      <c r="D24" s="483"/>
      <c r="L24" s="468" t="s">
        <v>447</v>
      </c>
      <c r="M24" s="464" t="s">
        <v>437</v>
      </c>
      <c r="N24" s="318" t="str">
        <f ca="1">_xlfn.FORMULATEXT(C69)</f>
        <v>=INTERCEPT(C63:C65,B63:B65)</v>
      </c>
    </row>
    <row r="25" spans="2:14" x14ac:dyDescent="0.35">
      <c r="C25" s="483"/>
      <c r="D25" s="483"/>
      <c r="L25" s="468" t="s">
        <v>448</v>
      </c>
      <c r="M25" s="464" t="s">
        <v>449</v>
      </c>
      <c r="N25" s="318" t="str">
        <f ca="1">_xlfn.FORMULATEXT(C72)</f>
        <v>=D34</v>
      </c>
    </row>
    <row r="26" spans="2:14" x14ac:dyDescent="0.35">
      <c r="B26" s="462" t="s">
        <v>108</v>
      </c>
      <c r="C26" s="483"/>
      <c r="D26" s="483"/>
      <c r="L26" s="468"/>
      <c r="M26" s="464"/>
      <c r="N26" s="318"/>
    </row>
    <row r="27" spans="2:14" x14ac:dyDescent="0.35">
      <c r="B27" s="489" t="s">
        <v>164</v>
      </c>
      <c r="C27" s="508">
        <v>0.71554931654545628</v>
      </c>
      <c r="L27" s="468" t="s">
        <v>450</v>
      </c>
      <c r="M27" s="464" t="s">
        <v>451</v>
      </c>
      <c r="N27" s="318" t="str">
        <f ca="1">_xlfn.FORMULATEXT(D72)</f>
        <v>=$C$69+$B$69*B72</v>
      </c>
    </row>
    <row r="28" spans="2:14" x14ac:dyDescent="0.35">
      <c r="L28" s="468" t="s">
        <v>452</v>
      </c>
      <c r="M28" s="464" t="s">
        <v>453</v>
      </c>
      <c r="N28" s="318" t="str">
        <f ca="1">_xlfn.FORMULATEXT(C75)</f>
        <v>=D72/C72-1</v>
      </c>
    </row>
    <row r="29" spans="2:14" ht="16.5" customHeight="1" x14ac:dyDescent="0.35">
      <c r="B29" s="469" t="s">
        <v>88</v>
      </c>
      <c r="C29" s="470" t="s">
        <v>109</v>
      </c>
      <c r="D29" s="467" t="s">
        <v>111</v>
      </c>
      <c r="L29" s="468" t="s">
        <v>454</v>
      </c>
      <c r="M29" s="471" t="s">
        <v>455</v>
      </c>
      <c r="N29" s="318" t="str">
        <f ca="1">_xlfn.FORMULATEXT(D78)</f>
        <v>=C27</v>
      </c>
    </row>
    <row r="30" spans="2:14" x14ac:dyDescent="0.35">
      <c r="B30" s="472">
        <v>2014</v>
      </c>
      <c r="C30" s="473" t="s">
        <v>100</v>
      </c>
      <c r="D30" s="474">
        <f>$C$38+$B$38*B30</f>
        <v>88722.961323857307</v>
      </c>
      <c r="L30" s="468" t="s">
        <v>801</v>
      </c>
      <c r="M30" s="459" t="s">
        <v>456</v>
      </c>
      <c r="N30" s="318" t="str">
        <f ca="1">_xlfn.FORMULATEXT(F41)</f>
        <v>=AVERAGE($F$42:$I$42)</v>
      </c>
    </row>
    <row r="31" spans="2:14" x14ac:dyDescent="0.35">
      <c r="B31" s="472">
        <v>2015</v>
      </c>
      <c r="C31" s="475">
        <f>(D20-D19)*C27+D19</f>
        <v>94681.961323859403</v>
      </c>
      <c r="D31" s="474">
        <f>$C$38+$B$38*B31</f>
        <v>99905.972926698625</v>
      </c>
      <c r="L31" s="468" t="s">
        <v>802</v>
      </c>
      <c r="M31" s="459" t="s">
        <v>457</v>
      </c>
      <c r="N31" s="318" t="str">
        <f ca="1">_xlfn.FORMULATEXT(F42)</f>
        <v>=D20</v>
      </c>
    </row>
    <row r="32" spans="2:14" x14ac:dyDescent="0.35">
      <c r="B32" s="472">
        <v>2016</v>
      </c>
      <c r="C32" s="475">
        <f>D21</f>
        <v>115828</v>
      </c>
      <c r="D32" s="474">
        <f>$C$38+$B$38*B32</f>
        <v>111088.98452954367</v>
      </c>
      <c r="L32" s="468" t="s">
        <v>803</v>
      </c>
      <c r="M32" s="459" t="s">
        <v>458</v>
      </c>
      <c r="N32" s="318" t="str">
        <f ca="1">_xlfn.FORMULATEXT(F43)</f>
        <v>=D31</v>
      </c>
    </row>
    <row r="33" spans="2:14" ht="16.5" customHeight="1" x14ac:dyDescent="0.35">
      <c r="B33" s="472">
        <v>2017</v>
      </c>
      <c r="C33" s="475">
        <f>D22</f>
        <v>128466</v>
      </c>
      <c r="D33" s="474">
        <f>$C$38+$B$38*B33</f>
        <v>122271.99613238499</v>
      </c>
      <c r="L33" s="468" t="s">
        <v>804</v>
      </c>
      <c r="M33" s="459" t="s">
        <v>459</v>
      </c>
      <c r="N33" s="318" t="str">
        <f ca="1">_xlfn.FORMULATEXT(F44)</f>
        <v>=(F43-F41)^2</v>
      </c>
    </row>
    <row r="34" spans="2:14" x14ac:dyDescent="0.35">
      <c r="B34" s="472">
        <v>2018</v>
      </c>
      <c r="C34" s="475">
        <f>D23</f>
        <v>127746</v>
      </c>
      <c r="D34" s="474">
        <f>$C$38+$B$38*B34</f>
        <v>133455.0077352263</v>
      </c>
      <c r="L34" s="468" t="s">
        <v>805</v>
      </c>
      <c r="M34" s="459" t="s">
        <v>460</v>
      </c>
      <c r="N34" s="318" t="str">
        <f ca="1">_xlfn.FORMULATEXT(F46)</f>
        <v>=SUM(F44:I44)</v>
      </c>
    </row>
    <row r="35" spans="2:14" x14ac:dyDescent="0.35">
      <c r="J35" s="461"/>
      <c r="L35" s="468" t="s">
        <v>806</v>
      </c>
      <c r="M35" s="459" t="s">
        <v>172</v>
      </c>
      <c r="N35" s="318" t="str">
        <f ca="1">_xlfn.FORMULATEXT(E51)</f>
        <v>='Marketing Effects'!B20</v>
      </c>
    </row>
    <row r="36" spans="2:14" ht="18" customHeight="1" x14ac:dyDescent="0.35">
      <c r="B36" s="535" t="s">
        <v>110</v>
      </c>
      <c r="C36" s="536"/>
      <c r="J36" s="476"/>
      <c r="L36" s="468" t="s">
        <v>807</v>
      </c>
      <c r="M36" s="459" t="s">
        <v>165</v>
      </c>
      <c r="N36" s="318" t="str">
        <f ca="1">_xlfn.FORMULATEXT(F51)</f>
        <v>=F47</v>
      </c>
    </row>
    <row r="37" spans="2:14" x14ac:dyDescent="0.35">
      <c r="B37" s="469" t="s">
        <v>40</v>
      </c>
      <c r="C37" s="477" t="s">
        <v>39</v>
      </c>
      <c r="J37" s="476"/>
      <c r="L37" s="468" t="s">
        <v>461</v>
      </c>
      <c r="M37" s="459" t="s">
        <v>166</v>
      </c>
      <c r="N37" s="318" t="str">
        <f ca="1">_xlfn.FORMULATEXT(G51)</f>
        <v>=F51^0.5</v>
      </c>
    </row>
    <row r="38" spans="2:14" x14ac:dyDescent="0.35">
      <c r="B38" s="478">
        <f>SLOPE(C31:C34,B31:B34)</f>
        <v>11183.01160284218</v>
      </c>
      <c r="C38" s="479">
        <f>INTERCEPT(C31:C34,B31:B34)</f>
        <v>-22433862.406800292</v>
      </c>
      <c r="J38" s="476"/>
      <c r="L38" s="468" t="s">
        <v>462</v>
      </c>
      <c r="M38" s="459" t="s">
        <v>173</v>
      </c>
      <c r="N38" s="318" t="str">
        <f ca="1">_xlfn.FORMULATEXT(H51)</f>
        <v>=NORM.DIST(E54,E51,G51,TRUE)</v>
      </c>
    </row>
    <row r="39" spans="2:14" x14ac:dyDescent="0.35">
      <c r="E39" s="462" t="s">
        <v>263</v>
      </c>
      <c r="L39" s="468" t="s">
        <v>463</v>
      </c>
      <c r="M39" s="459" t="s">
        <v>464</v>
      </c>
      <c r="N39" s="318" t="str">
        <f ca="1">_xlfn.FORMULATEXT(I51)</f>
        <v>=IF(H51&lt;50%,H51*2,(1-H51)*2)</v>
      </c>
    </row>
    <row r="40" spans="2:14" x14ac:dyDescent="0.35">
      <c r="E40" s="480" t="s">
        <v>1</v>
      </c>
      <c r="F40" s="481">
        <v>2015</v>
      </c>
      <c r="G40" s="482">
        <v>2016</v>
      </c>
      <c r="H40" s="481">
        <v>2017</v>
      </c>
      <c r="I40" s="482">
        <v>2018</v>
      </c>
      <c r="L40" s="468"/>
      <c r="M40" s="459" t="s">
        <v>787</v>
      </c>
      <c r="N40" s="318"/>
    </row>
    <row r="41" spans="2:14" x14ac:dyDescent="0.35">
      <c r="B41" s="462" t="s">
        <v>171</v>
      </c>
      <c r="C41" s="483"/>
      <c r="D41" s="483"/>
      <c r="E41" s="480" t="s">
        <v>267</v>
      </c>
      <c r="F41" s="484">
        <f>AVERAGE($F$42:$I$42)</f>
        <v>121984.5</v>
      </c>
      <c r="G41" s="484">
        <f>AVERAGE($F$42:$I$42)</f>
        <v>121984.5</v>
      </c>
      <c r="H41" s="484">
        <f>AVERAGE($F$42:$I$42)</f>
        <v>121984.5</v>
      </c>
      <c r="I41" s="484">
        <f>AVERAGE($F$42:$I$42)</f>
        <v>121984.5</v>
      </c>
      <c r="L41" s="468"/>
      <c r="M41" s="459" t="s">
        <v>788</v>
      </c>
      <c r="N41" s="318"/>
    </row>
    <row r="42" spans="2:14" x14ac:dyDescent="0.35">
      <c r="B42" s="469" t="s">
        <v>88</v>
      </c>
      <c r="C42" s="467" t="s">
        <v>493</v>
      </c>
      <c r="E42" s="480" t="s">
        <v>268</v>
      </c>
      <c r="F42" s="484">
        <f>D20</f>
        <v>115898</v>
      </c>
      <c r="G42" s="484">
        <f>D21</f>
        <v>115828</v>
      </c>
      <c r="H42" s="484">
        <f>D22</f>
        <v>128466</v>
      </c>
      <c r="I42" s="484">
        <f>D23</f>
        <v>127746</v>
      </c>
      <c r="L42" s="485"/>
      <c r="N42" s="318"/>
    </row>
    <row r="43" spans="2:14" x14ac:dyDescent="0.35">
      <c r="B43" s="486">
        <v>2014</v>
      </c>
      <c r="C43" s="487">
        <f t="shared" ref="C43:C57" si="1">$C$38+$B$38*B43</f>
        <v>88722.961323857307</v>
      </c>
      <c r="E43" s="480" t="s">
        <v>269</v>
      </c>
      <c r="F43" s="488">
        <f>D31</f>
        <v>99905.972926698625</v>
      </c>
      <c r="G43" s="488">
        <f>D32</f>
        <v>111088.98452954367</v>
      </c>
      <c r="H43" s="488">
        <f>D33</f>
        <v>122271.99613238499</v>
      </c>
      <c r="I43" s="488">
        <f>D34</f>
        <v>133455.0077352263</v>
      </c>
      <c r="L43" s="485"/>
      <c r="N43" s="318"/>
    </row>
    <row r="44" spans="2:14" x14ac:dyDescent="0.35">
      <c r="B44" s="486">
        <v>2015</v>
      </c>
      <c r="C44" s="487">
        <f t="shared" si="1"/>
        <v>99905.972926698625</v>
      </c>
      <c r="E44" s="480" t="s">
        <v>270</v>
      </c>
      <c r="F44" s="488">
        <f>(F43-F41)^2</f>
        <v>487461357.72650176</v>
      </c>
      <c r="G44" s="488">
        <f>(G43-G41)^2</f>
        <v>118712257.36695327</v>
      </c>
      <c r="H44" s="488">
        <f>(H43-H41)^2</f>
        <v>82654.026136325221</v>
      </c>
      <c r="I44" s="488">
        <f>(I43-I41)^2</f>
        <v>131572547.70388646</v>
      </c>
      <c r="L44" s="485"/>
      <c r="N44" s="318"/>
    </row>
    <row r="45" spans="2:14" x14ac:dyDescent="0.35">
      <c r="B45" s="486">
        <v>2016</v>
      </c>
      <c r="C45" s="487">
        <f t="shared" si="1"/>
        <v>111088.98452954367</v>
      </c>
      <c r="L45" s="485"/>
      <c r="N45" s="318"/>
    </row>
    <row r="46" spans="2:14" x14ac:dyDescent="0.35">
      <c r="B46" s="486">
        <v>2017</v>
      </c>
      <c r="C46" s="487">
        <f t="shared" si="1"/>
        <v>122271.99613238499</v>
      </c>
      <c r="E46" s="489" t="s">
        <v>271</v>
      </c>
      <c r="F46" s="490">
        <f>SUM(F44:I44)</f>
        <v>737828816.82347786</v>
      </c>
      <c r="H46" s="459" t="s">
        <v>272</v>
      </c>
      <c r="L46" s="491"/>
      <c r="M46" s="492"/>
      <c r="N46" s="321"/>
    </row>
    <row r="47" spans="2:14" x14ac:dyDescent="0.35">
      <c r="B47" s="486">
        <v>2018</v>
      </c>
      <c r="C47" s="487">
        <f t="shared" si="1"/>
        <v>133455.0077352263</v>
      </c>
      <c r="E47" s="489" t="s">
        <v>289</v>
      </c>
      <c r="F47" s="490">
        <f>F46/(4-1)</f>
        <v>245942938.94115928</v>
      </c>
      <c r="H47" s="459" t="s">
        <v>274</v>
      </c>
      <c r="J47" s="463"/>
    </row>
    <row r="48" spans="2:14" x14ac:dyDescent="0.35">
      <c r="B48" s="486">
        <v>2019</v>
      </c>
      <c r="C48" s="493">
        <f t="shared" si="1"/>
        <v>144638.01933806762</v>
      </c>
      <c r="J48" s="463"/>
    </row>
    <row r="49" spans="2:10" x14ac:dyDescent="0.35">
      <c r="B49" s="486">
        <v>2020</v>
      </c>
      <c r="C49" s="493">
        <f t="shared" si="1"/>
        <v>155821.03094091266</v>
      </c>
      <c r="I49" s="459" t="s">
        <v>178</v>
      </c>
      <c r="J49" s="463"/>
    </row>
    <row r="50" spans="2:10" x14ac:dyDescent="0.35">
      <c r="B50" s="486">
        <v>2021</v>
      </c>
      <c r="C50" s="493">
        <f t="shared" si="1"/>
        <v>167004.04254375398</v>
      </c>
      <c r="E50" s="469" t="s">
        <v>172</v>
      </c>
      <c r="F50" s="469" t="s">
        <v>165</v>
      </c>
      <c r="G50" s="469" t="s">
        <v>166</v>
      </c>
      <c r="H50" s="469" t="s">
        <v>173</v>
      </c>
      <c r="I50" s="469" t="s">
        <v>168</v>
      </c>
      <c r="J50" s="463"/>
    </row>
    <row r="51" spans="2:10" x14ac:dyDescent="0.35">
      <c r="B51" s="486">
        <v>2022</v>
      </c>
      <c r="C51" s="493">
        <f t="shared" si="1"/>
        <v>178187.0541465953</v>
      </c>
      <c r="E51" s="478">
        <f>'Marketing Effects'!B20</f>
        <v>4818.2</v>
      </c>
      <c r="F51" s="486">
        <f>F47</f>
        <v>245942938.94115928</v>
      </c>
      <c r="G51" s="486">
        <f>F51^0.5</f>
        <v>15682.567995744806</v>
      </c>
      <c r="H51" s="494">
        <f>_xlfn.NORM.DIST(E54,E51,G51,TRUE)</f>
        <v>0.6575745604748332</v>
      </c>
      <c r="I51" s="495">
        <f>IF(H51&lt;50%,H51*2,(1-H51)*2)</f>
        <v>0.68485087905033359</v>
      </c>
    </row>
    <row r="52" spans="2:10" x14ac:dyDescent="0.35">
      <c r="B52" s="486">
        <v>2023</v>
      </c>
      <c r="C52" s="493">
        <f t="shared" si="1"/>
        <v>189370.06574943662</v>
      </c>
      <c r="H52" s="459" t="s">
        <v>180</v>
      </c>
    </row>
    <row r="53" spans="2:10" x14ac:dyDescent="0.35">
      <c r="B53" s="486">
        <v>2024</v>
      </c>
      <c r="C53" s="493">
        <f t="shared" si="1"/>
        <v>200553.07735227793</v>
      </c>
      <c r="E53" s="469" t="s">
        <v>290</v>
      </c>
      <c r="H53" s="459" t="s">
        <v>177</v>
      </c>
    </row>
    <row r="54" spans="2:10" x14ac:dyDescent="0.35">
      <c r="B54" s="486">
        <v>2025</v>
      </c>
      <c r="C54" s="493">
        <f t="shared" si="1"/>
        <v>211736.08895512298</v>
      </c>
      <c r="E54" s="478">
        <f>B38</f>
        <v>11183.01160284218</v>
      </c>
      <c r="H54" s="459" t="s">
        <v>179</v>
      </c>
    </row>
    <row r="55" spans="2:10" x14ac:dyDescent="0.35">
      <c r="B55" s="486">
        <v>2026</v>
      </c>
      <c r="C55" s="493">
        <f t="shared" si="1"/>
        <v>222919.1005579643</v>
      </c>
      <c r="H55" s="459" t="s">
        <v>291</v>
      </c>
    </row>
    <row r="56" spans="2:10" x14ac:dyDescent="0.35">
      <c r="B56" s="486">
        <v>2027</v>
      </c>
      <c r="C56" s="493">
        <f t="shared" si="1"/>
        <v>234102.11216080561</v>
      </c>
    </row>
    <row r="57" spans="2:10" x14ac:dyDescent="0.35">
      <c r="B57" s="486">
        <v>2028</v>
      </c>
      <c r="C57" s="493">
        <f t="shared" si="1"/>
        <v>245285.12376364693</v>
      </c>
    </row>
    <row r="60" spans="2:10" x14ac:dyDescent="0.35">
      <c r="B60" s="462" t="s">
        <v>174</v>
      </c>
    </row>
    <row r="61" spans="2:10" x14ac:dyDescent="0.35">
      <c r="B61" s="469" t="s">
        <v>88</v>
      </c>
      <c r="C61" s="470" t="s">
        <v>109</v>
      </c>
      <c r="D61" s="467" t="s">
        <v>111</v>
      </c>
    </row>
    <row r="62" spans="2:10" x14ac:dyDescent="0.35">
      <c r="B62" s="472">
        <v>2014</v>
      </c>
      <c r="C62" s="473" t="s">
        <v>100</v>
      </c>
      <c r="D62" s="474">
        <f>$C$69+$B$69*B62</f>
        <v>79207.948431819677</v>
      </c>
    </row>
    <row r="63" spans="2:10" x14ac:dyDescent="0.35">
      <c r="B63" s="472">
        <v>2015</v>
      </c>
      <c r="C63" s="475">
        <f>C31</f>
        <v>94681.961323859403</v>
      </c>
      <c r="D63" s="474">
        <f>$C$69+$B$69*B63</f>
        <v>96099.967769891024</v>
      </c>
    </row>
    <row r="64" spans="2:10" x14ac:dyDescent="0.35">
      <c r="B64" s="472">
        <v>2016</v>
      </c>
      <c r="C64" s="475">
        <f>C32</f>
        <v>115828</v>
      </c>
      <c r="D64" s="474">
        <f>$C$69+$B$69*B64</f>
        <v>112991.98710795492</v>
      </c>
    </row>
    <row r="65" spans="2:4" x14ac:dyDescent="0.35">
      <c r="B65" s="472">
        <v>2017</v>
      </c>
      <c r="C65" s="475">
        <f>C33</f>
        <v>128466</v>
      </c>
      <c r="D65" s="474">
        <f>$C$69+$B$69*B65</f>
        <v>129884.00644602627</v>
      </c>
    </row>
    <row r="67" spans="2:4" x14ac:dyDescent="0.35">
      <c r="B67" s="535" t="s">
        <v>110</v>
      </c>
      <c r="C67" s="536"/>
    </row>
    <row r="68" spans="2:4" x14ac:dyDescent="0.35">
      <c r="B68" s="469" t="s">
        <v>40</v>
      </c>
      <c r="C68" s="477" t="s">
        <v>39</v>
      </c>
    </row>
    <row r="69" spans="2:4" x14ac:dyDescent="0.35">
      <c r="B69" s="478">
        <f>SLOPE(C63:C65,B63:B65)</f>
        <v>16892.019338070299</v>
      </c>
      <c r="C69" s="479">
        <f>INTERCEPT(C63:C65,B63:B65)</f>
        <v>-33941318.998441763</v>
      </c>
    </row>
    <row r="71" spans="2:4" x14ac:dyDescent="0.35">
      <c r="B71" s="469" t="s">
        <v>88</v>
      </c>
      <c r="C71" s="469" t="s">
        <v>183</v>
      </c>
      <c r="D71" s="467" t="s">
        <v>182</v>
      </c>
    </row>
    <row r="72" spans="2:4" x14ac:dyDescent="0.35">
      <c r="B72" s="486">
        <v>2018</v>
      </c>
      <c r="C72" s="496">
        <f>D34</f>
        <v>133455.0077352263</v>
      </c>
      <c r="D72" s="497">
        <f>$C$69+$B$69*B72</f>
        <v>146776.02578409761</v>
      </c>
    </row>
    <row r="74" spans="2:4" x14ac:dyDescent="0.35">
      <c r="C74" s="498" t="s">
        <v>181</v>
      </c>
    </row>
    <row r="75" spans="2:4" x14ac:dyDescent="0.35">
      <c r="B75" s="467" t="s">
        <v>175</v>
      </c>
      <c r="C75" s="507">
        <f>D72/C72-1</f>
        <v>9.9816546976641884E-2</v>
      </c>
    </row>
    <row r="76" spans="2:4" x14ac:dyDescent="0.35">
      <c r="B76" s="459" t="s">
        <v>277</v>
      </c>
    </row>
    <row r="77" spans="2:4" x14ac:dyDescent="0.35">
      <c r="B77" s="459" t="s">
        <v>176</v>
      </c>
    </row>
    <row r="78" spans="2:4" x14ac:dyDescent="0.35">
      <c r="B78" s="459" t="s">
        <v>211</v>
      </c>
      <c r="D78" s="460">
        <f>C27</f>
        <v>0.71554931654545628</v>
      </c>
    </row>
    <row r="80" spans="2:4" x14ac:dyDescent="0.35">
      <c r="C80" s="461"/>
      <c r="D80" s="461"/>
    </row>
    <row r="81" spans="2:5" x14ac:dyDescent="0.35">
      <c r="B81" s="462" t="s">
        <v>278</v>
      </c>
      <c r="C81" s="463"/>
      <c r="D81" s="463"/>
    </row>
    <row r="82" spans="2:5" x14ac:dyDescent="0.35">
      <c r="B82" s="459" t="s">
        <v>285</v>
      </c>
      <c r="C82" s="464"/>
      <c r="D82" s="464"/>
    </row>
    <row r="83" spans="2:5" x14ac:dyDescent="0.35">
      <c r="B83" s="459" t="s">
        <v>292</v>
      </c>
      <c r="C83" s="464"/>
      <c r="D83" s="464"/>
    </row>
    <row r="84" spans="2:5" x14ac:dyDescent="0.35">
      <c r="B84" s="459" t="s">
        <v>287</v>
      </c>
      <c r="E84" s="465"/>
    </row>
    <row r="85" spans="2:5" x14ac:dyDescent="0.35">
      <c r="B85" s="459" t="s">
        <v>288</v>
      </c>
      <c r="E85" s="461"/>
    </row>
    <row r="86" spans="2:5" x14ac:dyDescent="0.35">
      <c r="B86" s="459" t="s">
        <v>293</v>
      </c>
      <c r="E86" s="466"/>
    </row>
    <row r="88" spans="2:5" x14ac:dyDescent="0.35">
      <c r="B88" s="462" t="s">
        <v>51</v>
      </c>
    </row>
    <row r="89" spans="2:5" x14ac:dyDescent="0.35">
      <c r="B89" s="459" t="s">
        <v>303</v>
      </c>
    </row>
    <row r="90" spans="2:5" x14ac:dyDescent="0.35">
      <c r="B90" s="459" t="s">
        <v>301</v>
      </c>
    </row>
    <row r="91" spans="2:5" x14ac:dyDescent="0.35">
      <c r="B91" s="459" t="s">
        <v>302</v>
      </c>
    </row>
  </sheetData>
  <sheetProtection sheet="1" objects="1" scenarios="1" selectLockedCells="1"/>
  <mergeCells count="2">
    <mergeCell ref="B36:C36"/>
    <mergeCell ref="B67:C67"/>
  </mergeCells>
  <conditionalFormatting sqref="I51">
    <cfRule type="cellIs" dxfId="31" priority="3" operator="lessThan">
      <formula>0.05</formula>
    </cfRule>
    <cfRule type="cellIs" dxfId="30" priority="4" operator="greaterThan">
      <formula>0.05</formula>
    </cfRule>
  </conditionalFormatting>
  <conditionalFormatting sqref="C75">
    <cfRule type="cellIs" dxfId="29" priority="1" operator="lessThan">
      <formula>0.1</formula>
    </cfRule>
    <cfRule type="cellIs" dxfId="28" priority="2" operator="greaterThan">
      <formula>0.1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alseek_marketing">
                <anchor moveWithCells="1" sizeWithCells="1">
                  <from>
                    <xdr:col>4</xdr:col>
                    <xdr:colOff>1174750</xdr:colOff>
                    <xdr:row>16</xdr:row>
                    <xdr:rowOff>95250</xdr:rowOff>
                  </from>
                  <to>
                    <xdr:col>7</xdr:col>
                    <xdr:colOff>381000</xdr:colOff>
                    <xdr:row>18</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D3FEC-C6CD-4438-9206-D0BAAB6C21BF}">
  <sheetPr codeName="Sheet4">
    <tabColor rgb="FF0070C0"/>
  </sheetPr>
  <dimension ref="A2:W83"/>
  <sheetViews>
    <sheetView showGridLines="0" topLeftCell="A39" zoomScale="45" workbookViewId="0">
      <selection activeCell="D5" sqref="D5"/>
    </sheetView>
  </sheetViews>
  <sheetFormatPr defaultColWidth="8.83203125" defaultRowHeight="15.5" x14ac:dyDescent="0.35"/>
  <cols>
    <col min="1" max="1" width="1.5" style="100" customWidth="1"/>
    <col min="2" max="2" width="10.5" style="100" customWidth="1"/>
    <col min="3" max="3" width="18.33203125" style="100" bestFit="1" customWidth="1"/>
    <col min="4" max="4" width="27.58203125" style="100" customWidth="1"/>
    <col min="5" max="5" width="22.83203125" style="100" bestFit="1" customWidth="1"/>
    <col min="6" max="6" width="19" style="100" bestFit="1" customWidth="1"/>
    <col min="7" max="7" width="20.83203125" style="100" customWidth="1"/>
    <col min="8" max="8" width="19.33203125" style="100" customWidth="1"/>
    <col min="9" max="9" width="9.5" style="100" bestFit="1" customWidth="1"/>
    <col min="10" max="10" width="13.5" style="100" bestFit="1" customWidth="1"/>
    <col min="11" max="11" width="10.58203125" style="100" bestFit="1" customWidth="1"/>
    <col min="12" max="12" width="10" style="100" bestFit="1" customWidth="1"/>
    <col min="13" max="13" width="8.5" style="100" bestFit="1" customWidth="1"/>
    <col min="14" max="14" width="10" style="100" bestFit="1" customWidth="1"/>
    <col min="15" max="20" width="8.5" style="100"/>
    <col min="21" max="21" width="47.58203125" customWidth="1"/>
    <col min="22" max="22" width="21.83203125" customWidth="1"/>
    <col min="23" max="23" width="33.58203125" customWidth="1"/>
  </cols>
  <sheetData>
    <row r="2" spans="1:23" x14ac:dyDescent="0.35">
      <c r="B2" s="86" t="s">
        <v>88</v>
      </c>
      <c r="C2" s="87" t="s">
        <v>184</v>
      </c>
      <c r="D2" s="86" t="s">
        <v>111</v>
      </c>
      <c r="T2" s="299" t="s">
        <v>342</v>
      </c>
      <c r="U2" s="300"/>
      <c r="V2" s="300"/>
      <c r="W2" s="358"/>
    </row>
    <row r="3" spans="1:23" x14ac:dyDescent="0.35">
      <c r="B3" s="161">
        <v>2014</v>
      </c>
      <c r="C3" s="162">
        <f>'Marketing Effects'!D4</f>
        <v>41312</v>
      </c>
      <c r="D3" s="251">
        <f>'Sensitivity for Marketing'!D30</f>
        <v>88722.961323857307</v>
      </c>
      <c r="G3" s="228" t="s">
        <v>210</v>
      </c>
      <c r="J3" s="241"/>
      <c r="T3" s="302" t="s">
        <v>105</v>
      </c>
      <c r="U3" s="303" t="s">
        <v>107</v>
      </c>
      <c r="V3" s="303" t="s">
        <v>106</v>
      </c>
      <c r="W3" s="318"/>
    </row>
    <row r="4" spans="1:23" x14ac:dyDescent="0.35">
      <c r="B4" s="161">
        <v>2015</v>
      </c>
      <c r="C4" s="162">
        <f>'Marketing Effects'!D5</f>
        <v>115898</v>
      </c>
      <c r="D4" s="251">
        <f>'Sensitivity for Marketing'!D31</f>
        <v>99905.972926698625</v>
      </c>
      <c r="G4" s="271">
        <f>'Sensitivity for Marketing'!B38</f>
        <v>11183.01160284218</v>
      </c>
      <c r="J4" s="397"/>
      <c r="T4" s="305" t="s">
        <v>465</v>
      </c>
      <c r="U4" s="33" t="s">
        <v>466</v>
      </c>
      <c r="V4" s="33" t="s">
        <v>344</v>
      </c>
      <c r="W4" s="318"/>
    </row>
    <row r="5" spans="1:23" x14ac:dyDescent="0.35">
      <c r="B5" s="161">
        <v>2016</v>
      </c>
      <c r="C5" s="162">
        <f>'Marketing Effects'!D6</f>
        <v>115828</v>
      </c>
      <c r="D5" s="251">
        <f>'Sensitivity for Marketing'!D32</f>
        <v>111088.98452954367</v>
      </c>
      <c r="G5" s="228" t="s">
        <v>209</v>
      </c>
      <c r="J5" s="397"/>
      <c r="T5" s="305" t="s">
        <v>467</v>
      </c>
      <c r="U5" s="33" t="s">
        <v>184</v>
      </c>
      <c r="V5" s="33" t="str">
        <f ca="1">_xlfn.FORMULATEXT(C3)</f>
        <v>='Marketing Effects'!D4</v>
      </c>
      <c r="W5" s="318"/>
    </row>
    <row r="6" spans="1:23" x14ac:dyDescent="0.35">
      <c r="B6" s="161">
        <v>2017</v>
      </c>
      <c r="C6" s="162">
        <f>'Marketing Effects'!D7</f>
        <v>128466</v>
      </c>
      <c r="D6" s="251">
        <f>'Sensitivity for Marketing'!D33</f>
        <v>122271.99613238499</v>
      </c>
      <c r="G6" s="242">
        <f>G4/D5</f>
        <v>0.10066715120497031</v>
      </c>
      <c r="J6" s="397"/>
      <c r="T6" s="305" t="s">
        <v>468</v>
      </c>
      <c r="U6" s="33" t="s">
        <v>469</v>
      </c>
      <c r="V6" s="33" t="str">
        <f ca="1">_xlfn.FORMULATEXT(D3)</f>
        <v>='Sensitivity for Marketing'!D30</v>
      </c>
      <c r="W6" s="318"/>
    </row>
    <row r="7" spans="1:23" x14ac:dyDescent="0.35">
      <c r="B7" s="161">
        <v>2018</v>
      </c>
      <c r="C7" s="162">
        <f>'Marketing Effects'!D8</f>
        <v>127746</v>
      </c>
      <c r="D7" s="251">
        <f>'Sensitivity for Marketing'!D34</f>
        <v>133455.0077352263</v>
      </c>
      <c r="J7" s="397"/>
      <c r="T7" s="305" t="s">
        <v>471</v>
      </c>
      <c r="U7" s="33" t="s">
        <v>210</v>
      </c>
      <c r="V7" s="33" t="str">
        <f ca="1">_xlfn.FORMULATEXT(G4)</f>
        <v>='Sensitivity for Marketing'!B38</v>
      </c>
      <c r="W7" s="318"/>
    </row>
    <row r="8" spans="1:23" x14ac:dyDescent="0.35">
      <c r="A8" s="59"/>
      <c r="B8" s="59"/>
      <c r="C8" s="60"/>
      <c r="D8" s="59"/>
      <c r="E8" s="94"/>
      <c r="F8" s="537"/>
      <c r="G8" s="537"/>
      <c r="I8" s="94"/>
      <c r="J8" s="397"/>
      <c r="K8" s="60"/>
      <c r="L8" s="60"/>
      <c r="M8" s="60"/>
      <c r="N8" s="60"/>
      <c r="O8" s="60"/>
      <c r="P8" s="60"/>
      <c r="Q8" s="59"/>
      <c r="R8" s="95"/>
      <c r="S8" s="95"/>
      <c r="T8" s="305" t="s">
        <v>472</v>
      </c>
      <c r="U8" s="33" t="s">
        <v>209</v>
      </c>
      <c r="V8" s="33" t="str">
        <f ca="1">_xlfn.FORMULATEXT(G6)</f>
        <v>=G4/D5</v>
      </c>
      <c r="W8" s="318"/>
    </row>
    <row r="9" spans="1:23" x14ac:dyDescent="0.35">
      <c r="A9" s="96"/>
      <c r="B9" s="30" t="s">
        <v>124</v>
      </c>
      <c r="C9" s="32"/>
      <c r="D9" s="32"/>
      <c r="E9" s="32"/>
      <c r="F9" s="30"/>
      <c r="G9" s="30"/>
      <c r="I9" s="30"/>
      <c r="J9" s="30"/>
      <c r="K9" s="31"/>
      <c r="L9" s="31"/>
      <c r="M9" s="30"/>
      <c r="N9" s="60"/>
      <c r="O9" s="60"/>
      <c r="P9" s="60"/>
      <c r="Q9" s="60"/>
      <c r="R9" s="95"/>
      <c r="S9" s="95"/>
      <c r="T9" s="305" t="s">
        <v>473</v>
      </c>
      <c r="U9" s="33" t="s">
        <v>88</v>
      </c>
      <c r="V9" s="33" t="s">
        <v>344</v>
      </c>
      <c r="W9" s="318"/>
    </row>
    <row r="10" spans="1:23" x14ac:dyDescent="0.35">
      <c r="A10" s="97"/>
      <c r="B10" s="202" t="s">
        <v>88</v>
      </c>
      <c r="C10" s="202" t="s">
        <v>117</v>
      </c>
      <c r="D10" s="202" t="s">
        <v>52</v>
      </c>
      <c r="E10" s="202" t="s">
        <v>309</v>
      </c>
      <c r="F10" s="202" t="s">
        <v>170</v>
      </c>
      <c r="G10" s="202" t="s">
        <v>208</v>
      </c>
      <c r="H10" s="202" t="s">
        <v>101</v>
      </c>
      <c r="I10" s="98"/>
      <c r="J10" s="285" t="s">
        <v>132</v>
      </c>
      <c r="K10" s="32"/>
      <c r="L10" s="95"/>
      <c r="M10" s="65"/>
      <c r="N10" s="65"/>
      <c r="O10" s="65"/>
      <c r="P10" s="61"/>
      <c r="Q10" s="95"/>
      <c r="R10" s="95"/>
      <c r="S10" s="95"/>
      <c r="T10" s="305" t="s">
        <v>474</v>
      </c>
      <c r="U10" s="33" t="s">
        <v>117</v>
      </c>
      <c r="V10" s="33" t="s">
        <v>344</v>
      </c>
      <c r="W10" s="318"/>
    </row>
    <row r="11" spans="1:23" x14ac:dyDescent="0.35">
      <c r="A11" s="97"/>
      <c r="B11" s="195">
        <v>2016</v>
      </c>
      <c r="C11" s="328" t="s">
        <v>116</v>
      </c>
      <c r="D11" s="329">
        <v>60</v>
      </c>
      <c r="E11" s="186">
        <f>D11/30</f>
        <v>2</v>
      </c>
      <c r="F11" s="186">
        <f>'Past Inputs'!H25</f>
        <v>758</v>
      </c>
      <c r="G11" s="186">
        <f>F11*(1+G6)</f>
        <v>834.30570061336755</v>
      </c>
      <c r="H11" s="187">
        <f>((G12-G11)/G11)/((D12-D11)/D11)</f>
        <v>-1.7812583698934152</v>
      </c>
      <c r="I11" s="45"/>
      <c r="J11" s="103" t="s">
        <v>125</v>
      </c>
      <c r="K11" s="47"/>
      <c r="L11" s="95"/>
      <c r="M11" s="65"/>
      <c r="N11" s="65"/>
      <c r="O11" s="65"/>
      <c r="P11" s="59"/>
      <c r="Q11" s="95"/>
      <c r="R11" s="95"/>
      <c r="S11" s="95"/>
      <c r="T11" s="305" t="s">
        <v>475</v>
      </c>
      <c r="U11" s="33" t="s">
        <v>476</v>
      </c>
      <c r="V11" s="33" t="s">
        <v>344</v>
      </c>
      <c r="W11" s="318"/>
    </row>
    <row r="12" spans="1:23" x14ac:dyDescent="0.35">
      <c r="A12" s="97"/>
      <c r="B12" s="195">
        <v>2017</v>
      </c>
      <c r="C12" s="328" t="s">
        <v>116</v>
      </c>
      <c r="D12" s="329">
        <v>63</v>
      </c>
      <c r="E12" s="186">
        <f>D12/30</f>
        <v>2.1</v>
      </c>
      <c r="F12" s="186">
        <f>'Past Inputs'!H35</f>
        <v>760</v>
      </c>
      <c r="G12" s="186">
        <f>F12</f>
        <v>760</v>
      </c>
      <c r="H12" s="187"/>
      <c r="I12" s="45"/>
      <c r="J12" s="103" t="s">
        <v>126</v>
      </c>
      <c r="K12" s="46"/>
      <c r="L12" s="95"/>
      <c r="M12" s="65"/>
      <c r="N12" s="65"/>
      <c r="O12" s="65"/>
      <c r="P12" s="59"/>
      <c r="Q12" s="95"/>
      <c r="R12" s="95"/>
      <c r="S12" s="95"/>
      <c r="T12" s="305" t="s">
        <v>477</v>
      </c>
      <c r="U12" s="33" t="s">
        <v>478</v>
      </c>
      <c r="V12" s="33" t="str">
        <f ca="1">_xlfn.FORMULATEXT(E11)</f>
        <v>=D11/30</v>
      </c>
      <c r="W12" s="318"/>
    </row>
    <row r="13" spans="1:23" x14ac:dyDescent="0.35">
      <c r="A13" s="97"/>
      <c r="B13" s="185"/>
      <c r="C13" s="173"/>
      <c r="D13" s="174"/>
      <c r="F13" s="173"/>
      <c r="G13" s="173"/>
      <c r="I13" s="45"/>
      <c r="J13" s="45"/>
      <c r="K13" s="46"/>
      <c r="L13" s="95"/>
      <c r="M13" s="95"/>
      <c r="N13" s="95"/>
      <c r="O13" s="95"/>
      <c r="R13" s="95"/>
      <c r="S13" s="95"/>
      <c r="T13" s="305" t="s">
        <v>479</v>
      </c>
      <c r="U13" s="33" t="s">
        <v>170</v>
      </c>
      <c r="V13" s="33" t="str">
        <f ca="1">_xlfn.FORMULATEXT(F11)</f>
        <v>='Past Inputs'!H25</v>
      </c>
      <c r="W13" s="318"/>
    </row>
    <row r="14" spans="1:23" x14ac:dyDescent="0.35">
      <c r="A14" s="97"/>
      <c r="B14" s="202" t="s">
        <v>88</v>
      </c>
      <c r="C14" s="202" t="s">
        <v>117</v>
      </c>
      <c r="D14" s="327" t="s">
        <v>52</v>
      </c>
      <c r="E14" s="202" t="s">
        <v>309</v>
      </c>
      <c r="F14" s="202" t="s">
        <v>170</v>
      </c>
      <c r="G14" s="202" t="s">
        <v>208</v>
      </c>
      <c r="H14" s="202" t="s">
        <v>101</v>
      </c>
      <c r="I14" s="45"/>
      <c r="J14" s="95"/>
      <c r="K14" s="46"/>
      <c r="L14" s="95"/>
      <c r="M14" s="65"/>
      <c r="N14" s="65"/>
      <c r="O14" s="65"/>
      <c r="P14" s="59"/>
      <c r="Q14" s="95"/>
      <c r="R14" s="95"/>
      <c r="T14" s="305" t="s">
        <v>480</v>
      </c>
      <c r="U14" s="33" t="s">
        <v>481</v>
      </c>
      <c r="V14" s="33" t="str">
        <f ca="1">_xlfn.FORMULATEXT(G11)</f>
        <v>=F11*(1+G6)</v>
      </c>
      <c r="W14" s="318"/>
    </row>
    <row r="15" spans="1:23" x14ac:dyDescent="0.35">
      <c r="A15" s="97"/>
      <c r="B15" s="195">
        <v>2016</v>
      </c>
      <c r="C15" s="328" t="s">
        <v>118</v>
      </c>
      <c r="D15" s="329">
        <v>100</v>
      </c>
      <c r="E15" s="186">
        <f>D15/50</f>
        <v>2</v>
      </c>
      <c r="F15" s="186">
        <f>'Past Inputs'!H26</f>
        <v>652</v>
      </c>
      <c r="G15" s="186">
        <f>F15*(1+G6)</f>
        <v>717.63498258564073</v>
      </c>
      <c r="H15" s="187">
        <f>((G16-G15)/G15)/((D16-D15)/D15)</f>
        <v>-1.6911803404159702</v>
      </c>
      <c r="I15" s="95"/>
      <c r="J15" s="95" t="s">
        <v>307</v>
      </c>
      <c r="K15" s="95"/>
      <c r="L15" s="95"/>
      <c r="N15" s="61"/>
      <c r="O15" s="60"/>
      <c r="P15" s="60"/>
      <c r="Q15" s="95"/>
      <c r="R15" s="95"/>
      <c r="T15" s="305" t="s">
        <v>482</v>
      </c>
      <c r="U15" s="33" t="s">
        <v>101</v>
      </c>
      <c r="V15" s="33" t="str">
        <f ca="1">_xlfn.FORMULATEXT(H11)</f>
        <v>=((G12-G11)/G11)/((D12-D11)/D11)</v>
      </c>
      <c r="W15" s="318"/>
    </row>
    <row r="16" spans="1:23" x14ac:dyDescent="0.35">
      <c r="A16" s="97"/>
      <c r="B16" s="195">
        <v>2017</v>
      </c>
      <c r="C16" s="328" t="s">
        <v>118</v>
      </c>
      <c r="D16" s="329">
        <v>90</v>
      </c>
      <c r="E16" s="186">
        <f>D16/50</f>
        <v>1.8</v>
      </c>
      <c r="F16" s="186">
        <f>'Past Inputs'!H36</f>
        <v>839</v>
      </c>
      <c r="G16" s="186">
        <f>F16</f>
        <v>839</v>
      </c>
      <c r="H16" s="187"/>
      <c r="I16" s="95"/>
      <c r="J16" s="95" t="s">
        <v>308</v>
      </c>
      <c r="K16" s="95"/>
      <c r="L16" s="95"/>
      <c r="N16" s="61"/>
      <c r="O16" s="60"/>
      <c r="P16" s="60"/>
      <c r="Q16" s="95"/>
      <c r="R16" s="95"/>
      <c r="T16" s="305" t="s">
        <v>483</v>
      </c>
      <c r="U16" s="33" t="s">
        <v>484</v>
      </c>
      <c r="V16" t="str">
        <f ca="1">_xlfn.FORMULATEXT(D21)</f>
        <v>=D39*120%</v>
      </c>
      <c r="W16" s="318"/>
    </row>
    <row r="17" spans="1:23" x14ac:dyDescent="0.35">
      <c r="A17" s="97"/>
      <c r="B17" s="95"/>
      <c r="C17" s="95"/>
      <c r="D17" s="175"/>
      <c r="E17" s="95"/>
      <c r="J17" s="95"/>
      <c r="K17" s="95"/>
      <c r="L17" s="95"/>
      <c r="N17" s="61"/>
      <c r="O17" s="60"/>
      <c r="P17" s="60"/>
      <c r="Q17" s="95"/>
      <c r="R17" s="95"/>
      <c r="S17" s="95"/>
      <c r="T17" s="305" t="s">
        <v>485</v>
      </c>
      <c r="U17" s="33" t="s">
        <v>541</v>
      </c>
      <c r="V17" t="str">
        <f ca="1">_xlfn.FORMULATEXT(E21)</f>
        <v>=H11*(D21/D39-1)*E39+E39</v>
      </c>
      <c r="W17" s="318"/>
    </row>
    <row r="18" spans="1:23" x14ac:dyDescent="0.35">
      <c r="A18" s="97"/>
      <c r="B18" s="95"/>
      <c r="C18" s="95"/>
      <c r="D18" s="175"/>
      <c r="E18" s="95"/>
      <c r="F18" s="77"/>
      <c r="G18" s="95"/>
      <c r="H18" s="95"/>
      <c r="I18" s="95"/>
      <c r="J18" s="95"/>
      <c r="K18" s="95"/>
      <c r="L18" s="95"/>
      <c r="N18" s="65"/>
      <c r="O18" s="65"/>
      <c r="P18" s="65"/>
      <c r="Q18" s="59"/>
      <c r="R18" s="95"/>
      <c r="S18" s="95"/>
      <c r="T18" s="305" t="s">
        <v>486</v>
      </c>
      <c r="U18" s="33" t="s">
        <v>542</v>
      </c>
      <c r="V18" t="str">
        <f ca="1">_xlfn.FORMULATEXT(F21)</f>
        <v>='Past Inputs'!$Q$51</v>
      </c>
      <c r="W18" s="318"/>
    </row>
    <row r="19" spans="1:23" x14ac:dyDescent="0.35">
      <c r="A19" s="97"/>
      <c r="B19" s="30" t="s">
        <v>122</v>
      </c>
      <c r="C19" s="43"/>
      <c r="D19" s="176"/>
      <c r="E19" s="95"/>
      <c r="F19" s="62"/>
      <c r="G19" s="63"/>
      <c r="H19" s="63"/>
      <c r="I19" s="63"/>
      <c r="J19" s="62"/>
      <c r="K19" s="64"/>
      <c r="L19" s="65"/>
      <c r="M19" s="65"/>
      <c r="N19" s="65"/>
      <c r="O19" s="61"/>
      <c r="P19" s="60"/>
      <c r="Q19" s="60"/>
      <c r="R19" s="95"/>
      <c r="S19" s="95"/>
      <c r="T19" s="305" t="s">
        <v>487</v>
      </c>
      <c r="U19" s="33" t="s">
        <v>543</v>
      </c>
      <c r="V19" t="str">
        <f ca="1">_xlfn.FORMULATEXT(G21)</f>
        <v>='Past Inputs'!$U$5</v>
      </c>
      <c r="W19" s="318"/>
    </row>
    <row r="20" spans="1:23" x14ac:dyDescent="0.35">
      <c r="A20" s="66"/>
      <c r="B20" s="184" t="s">
        <v>3</v>
      </c>
      <c r="C20" s="198" t="s">
        <v>117</v>
      </c>
      <c r="D20" s="196" t="s">
        <v>52</v>
      </c>
      <c r="E20" s="198" t="s">
        <v>42</v>
      </c>
      <c r="F20" s="198" t="s">
        <v>120</v>
      </c>
      <c r="G20" s="198" t="s">
        <v>260</v>
      </c>
      <c r="H20" s="198" t="s">
        <v>67</v>
      </c>
      <c r="I20" s="198" t="s">
        <v>37</v>
      </c>
      <c r="J20" s="198" t="s">
        <v>119</v>
      </c>
      <c r="K20" s="198" t="s">
        <v>1</v>
      </c>
      <c r="L20" s="198" t="s">
        <v>45</v>
      </c>
      <c r="O20" s="60"/>
      <c r="P20" s="60"/>
      <c r="Q20" s="59"/>
      <c r="R20" s="95"/>
      <c r="S20" s="95"/>
      <c r="T20" s="305" t="s">
        <v>488</v>
      </c>
      <c r="U20" s="33" t="s">
        <v>544</v>
      </c>
      <c r="V20" t="str">
        <f ca="1">_xlfn.FORMULATEXT(H21)</f>
        <v>='Past Inputs'!$G$45</v>
      </c>
      <c r="W20" s="318"/>
    </row>
    <row r="21" spans="1:23" x14ac:dyDescent="0.35">
      <c r="A21" s="59"/>
      <c r="C21" s="202" t="s">
        <v>116</v>
      </c>
      <c r="D21" s="332">
        <f>D39*120%</f>
        <v>75.599999999999994</v>
      </c>
      <c r="E21" s="211">
        <f>H11*(D21/D39-1)*E39+E39</f>
        <v>490.5362244282436</v>
      </c>
      <c r="F21" s="212">
        <f>'Past Inputs'!$Q$51</f>
        <v>66461.09</v>
      </c>
      <c r="G21" s="209">
        <f>'Past Inputs'!$U$5</f>
        <v>0.294738</v>
      </c>
      <c r="H21" s="209">
        <f>'Past Inputs'!$G$45</f>
        <v>4.46</v>
      </c>
      <c r="I21" s="210">
        <v>30</v>
      </c>
      <c r="J21" s="211">
        <f>I21*E21</f>
        <v>14716.086732847309</v>
      </c>
      <c r="K21" s="188">
        <f>D21*E21</f>
        <v>37084.538566775213</v>
      </c>
      <c r="L21" s="188">
        <f>G21*J21+H21*E21</f>
        <v>6525.1815324159161</v>
      </c>
      <c r="O21" s="60"/>
      <c r="P21" s="60"/>
      <c r="Q21" s="59"/>
      <c r="R21" s="95"/>
      <c r="S21" s="95"/>
      <c r="T21" s="305" t="s">
        <v>489</v>
      </c>
      <c r="U21" s="33" t="s">
        <v>545</v>
      </c>
      <c r="V21" t="s">
        <v>344</v>
      </c>
      <c r="W21" s="318"/>
    </row>
    <row r="22" spans="1:23" x14ac:dyDescent="0.35">
      <c r="A22" s="96"/>
      <c r="C22" s="202" t="s">
        <v>118</v>
      </c>
      <c r="D22" s="332">
        <f>D40*120%</f>
        <v>108</v>
      </c>
      <c r="E22" s="211">
        <f>H15*(D22/D40-1)*E40+E40</f>
        <v>547.27877169519866</v>
      </c>
      <c r="F22" s="190"/>
      <c r="G22" s="209">
        <f>'Past Inputs'!$U$5</f>
        <v>0.294738</v>
      </c>
      <c r="H22" s="209">
        <f>'Past Inputs'!$G$46</f>
        <v>5.28</v>
      </c>
      <c r="I22" s="210">
        <v>50</v>
      </c>
      <c r="J22" s="211">
        <f>I22*E22</f>
        <v>27363.938584759933</v>
      </c>
      <c r="K22" s="188">
        <f>D22*E22</f>
        <v>59106.107343081458</v>
      </c>
      <c r="L22" s="188">
        <f>G22*J22+H22*E22</f>
        <v>10954.824445145623</v>
      </c>
      <c r="Q22" s="60"/>
      <c r="R22" s="95"/>
      <c r="S22" s="95"/>
      <c r="T22" s="305" t="s">
        <v>490</v>
      </c>
      <c r="U22" s="33" t="s">
        <v>546</v>
      </c>
      <c r="V22" t="str">
        <f ca="1">_xlfn.FORMULATEXT(J21)</f>
        <v>=I21*E21</v>
      </c>
      <c r="W22" s="318"/>
    </row>
    <row r="23" spans="1:23" x14ac:dyDescent="0.35">
      <c r="A23" s="97"/>
      <c r="C23" s="202" t="s">
        <v>91</v>
      </c>
      <c r="D23" s="332">
        <v>18</v>
      </c>
      <c r="E23" s="211">
        <f>E32</f>
        <v>295</v>
      </c>
      <c r="F23" s="190"/>
      <c r="G23" s="209">
        <f>'Past Inputs'!$U$8</f>
        <v>2.5891999999999998E-2</v>
      </c>
      <c r="H23" s="209">
        <f>'Past Inputs'!$G$49</f>
        <v>2.1800000000000002</v>
      </c>
      <c r="I23" s="210">
        <v>100</v>
      </c>
      <c r="J23" s="211">
        <f>I23*E23</f>
        <v>29500</v>
      </c>
      <c r="K23" s="188">
        <f>D23*E23</f>
        <v>5310</v>
      </c>
      <c r="L23" s="188">
        <f>G23*J23+H23*E23</f>
        <v>1406.914</v>
      </c>
      <c r="Q23" s="61"/>
      <c r="R23" s="95"/>
      <c r="S23" s="95"/>
      <c r="T23" s="305" t="s">
        <v>491</v>
      </c>
      <c r="U23" s="33" t="s">
        <v>547</v>
      </c>
      <c r="V23" t="str">
        <f ca="1">_xlfn.FORMULATEXT(K21)</f>
        <v>=D21*E21</v>
      </c>
      <c r="W23" s="318"/>
    </row>
    <row r="24" spans="1:23" x14ac:dyDescent="0.35">
      <c r="A24" s="97"/>
      <c r="C24" s="47"/>
      <c r="D24" s="181"/>
      <c r="E24" s="99"/>
      <c r="F24" s="190"/>
      <c r="G24" s="191"/>
      <c r="H24" s="191"/>
      <c r="I24" s="191"/>
      <c r="J24" s="62"/>
      <c r="K24" s="179"/>
      <c r="L24" s="180"/>
      <c r="M24" s="180"/>
      <c r="N24" s="65"/>
      <c r="Q24" s="61"/>
      <c r="R24" s="95"/>
      <c r="S24" s="95"/>
      <c r="T24" s="305" t="s">
        <v>492</v>
      </c>
      <c r="U24" s="33" t="s">
        <v>548</v>
      </c>
      <c r="V24" t="str">
        <f ca="1">_xlfn.FORMULATEXT(L21)</f>
        <v>=G21*J21+H21*E21</v>
      </c>
      <c r="W24" s="318"/>
    </row>
    <row r="25" spans="1:23" x14ac:dyDescent="0.35">
      <c r="A25" s="97"/>
      <c r="C25" s="43"/>
      <c r="D25" s="182"/>
      <c r="F25" s="190"/>
      <c r="G25" s="191"/>
      <c r="H25" s="191"/>
      <c r="I25" s="191"/>
      <c r="K25" s="196" t="s">
        <v>46</v>
      </c>
      <c r="L25" s="330" t="s">
        <v>43</v>
      </c>
      <c r="M25" s="331" t="s">
        <v>44</v>
      </c>
      <c r="N25" s="198" t="s">
        <v>47</v>
      </c>
      <c r="Q25" s="59"/>
      <c r="R25" s="95"/>
      <c r="S25" s="95"/>
      <c r="T25" s="305" t="s">
        <v>549</v>
      </c>
      <c r="U25" s="33" t="s">
        <v>550</v>
      </c>
      <c r="V25" t="str">
        <f ca="1">_xlfn.FORMULATEXT(K26)</f>
        <v>=SUM(K21:K23)</v>
      </c>
      <c r="W25" s="318"/>
    </row>
    <row r="26" spans="1:23" x14ac:dyDescent="0.35">
      <c r="A26" s="97"/>
      <c r="C26" s="43"/>
      <c r="D26" s="182"/>
      <c r="E26" s="62"/>
      <c r="F26" s="190"/>
      <c r="G26" s="191"/>
      <c r="H26" s="191"/>
      <c r="I26" s="191"/>
      <c r="J26" s="193" t="s">
        <v>17</v>
      </c>
      <c r="K26" s="188">
        <f>SUM(K21:K23)</f>
        <v>101500.64590985667</v>
      </c>
      <c r="L26" s="188">
        <f>SUM(L21:L23,F21)</f>
        <v>85348.009977561538</v>
      </c>
      <c r="M26" s="188">
        <f>K26-L26</f>
        <v>16152.635932295132</v>
      </c>
      <c r="N26" s="189">
        <f>M26/K26</f>
        <v>0.15913825756971423</v>
      </c>
      <c r="O26" s="65"/>
      <c r="P26" s="65"/>
      <c r="Q26" s="59"/>
      <c r="R26" s="95"/>
      <c r="S26" s="95"/>
      <c r="T26" s="305" t="s">
        <v>551</v>
      </c>
      <c r="U26" s="33" t="s">
        <v>552</v>
      </c>
      <c r="V26" t="str">
        <f ca="1">_xlfn.FORMULATEXT(L26)</f>
        <v>=SUM(L21:L23,F21)</v>
      </c>
      <c r="W26" s="318"/>
    </row>
    <row r="27" spans="1:23" x14ac:dyDescent="0.35">
      <c r="A27" s="97"/>
      <c r="C27" s="173"/>
      <c r="D27" s="181"/>
      <c r="F27" s="192"/>
      <c r="G27" s="173"/>
      <c r="H27" s="173"/>
      <c r="I27" s="173"/>
      <c r="K27" s="177"/>
      <c r="L27" s="177"/>
      <c r="M27" s="177"/>
      <c r="R27" s="95"/>
      <c r="S27" s="95"/>
      <c r="T27" s="305" t="s">
        <v>553</v>
      </c>
      <c r="U27" s="33" t="s">
        <v>554</v>
      </c>
      <c r="V27" t="str">
        <f ca="1">_xlfn.FORMULATEXT(M26)</f>
        <v>=K26-L26</v>
      </c>
      <c r="W27" s="318"/>
    </row>
    <row r="28" spans="1:23" x14ac:dyDescent="0.35">
      <c r="A28" s="97"/>
      <c r="C28" s="173"/>
      <c r="D28" s="181"/>
      <c r="F28" s="192"/>
      <c r="G28" s="173"/>
      <c r="H28" s="173"/>
      <c r="I28" s="173"/>
      <c r="K28" s="177"/>
      <c r="L28" s="177"/>
      <c r="M28" s="177"/>
      <c r="R28" s="95"/>
      <c r="S28" s="95"/>
      <c r="T28" s="305" t="s">
        <v>555</v>
      </c>
      <c r="U28" s="33" t="s">
        <v>556</v>
      </c>
      <c r="V28" t="str">
        <f ca="1">_xlfn.FORMULATEXT(N26)</f>
        <v>=M26/K26</v>
      </c>
      <c r="W28" s="318"/>
    </row>
    <row r="29" spans="1:23" x14ac:dyDescent="0.35">
      <c r="A29" s="97"/>
      <c r="B29" s="184" t="s">
        <v>7</v>
      </c>
      <c r="C29" s="198" t="s">
        <v>117</v>
      </c>
      <c r="D29" s="196" t="s">
        <v>52</v>
      </c>
      <c r="E29" s="198" t="s">
        <v>42</v>
      </c>
      <c r="F29" s="196" t="s">
        <v>120</v>
      </c>
      <c r="G29" s="198" t="s">
        <v>260</v>
      </c>
      <c r="H29" s="198" t="s">
        <v>67</v>
      </c>
      <c r="I29" s="198" t="s">
        <v>37</v>
      </c>
      <c r="J29" s="198" t="s">
        <v>119</v>
      </c>
      <c r="K29" s="196" t="s">
        <v>1</v>
      </c>
      <c r="L29" s="196" t="s">
        <v>45</v>
      </c>
      <c r="O29" s="65"/>
      <c r="P29" s="42"/>
      <c r="R29" s="95"/>
      <c r="S29" s="95"/>
      <c r="T29" s="305" t="s">
        <v>557</v>
      </c>
      <c r="U29" s="33" t="s">
        <v>558</v>
      </c>
      <c r="V29" t="s">
        <v>344</v>
      </c>
      <c r="W29" s="318"/>
    </row>
    <row r="30" spans="1:23" x14ac:dyDescent="0.35">
      <c r="A30" s="97"/>
      <c r="C30" s="202" t="s">
        <v>116</v>
      </c>
      <c r="D30" s="332">
        <f>D39*110%</f>
        <v>69.300000000000011</v>
      </c>
      <c r="E30" s="211">
        <f>H11*(D30/D39-1)*E39+E39</f>
        <v>626.26811221412163</v>
      </c>
      <c r="F30" s="212">
        <f>'Past Inputs'!$Q$51</f>
        <v>66461.09</v>
      </c>
      <c r="G30" s="209">
        <f>'Past Inputs'!$U$5</f>
        <v>0.294738</v>
      </c>
      <c r="H30" s="209">
        <f>'Past Inputs'!$G$45</f>
        <v>4.46</v>
      </c>
      <c r="I30" s="210">
        <v>30</v>
      </c>
      <c r="J30" s="211">
        <f>I30*E30</f>
        <v>18788.043366423648</v>
      </c>
      <c r="K30" s="188">
        <f>D30*E30</f>
        <v>43400.380176438637</v>
      </c>
      <c r="L30" s="188">
        <f>G30*J30+H30*E30</f>
        <v>8330.7061062079556</v>
      </c>
      <c r="O30" s="65"/>
      <c r="P30" s="42"/>
      <c r="R30" s="95"/>
      <c r="S30" s="95"/>
      <c r="T30" s="307"/>
      <c r="U30" s="308"/>
      <c r="V30" s="320"/>
      <c r="W30" s="321"/>
    </row>
    <row r="31" spans="1:23" x14ac:dyDescent="0.35">
      <c r="A31" s="97"/>
      <c r="C31" s="202" t="s">
        <v>118</v>
      </c>
      <c r="D31" s="332">
        <f>D40*110%</f>
        <v>99.000000000000014</v>
      </c>
      <c r="E31" s="211">
        <f>H15*(D31/D40-1)*E40+E40</f>
        <v>687.1393858475991</v>
      </c>
      <c r="F31" s="190"/>
      <c r="G31" s="209">
        <f>'Past Inputs'!$U$5</f>
        <v>0.294738</v>
      </c>
      <c r="H31" s="209">
        <f>'Past Inputs'!$G$46</f>
        <v>5.28</v>
      </c>
      <c r="I31" s="210">
        <v>50</v>
      </c>
      <c r="J31" s="211">
        <f>I31*E31</f>
        <v>34356.969292379952</v>
      </c>
      <c r="K31" s="188">
        <f>D31*E31</f>
        <v>68026.799198912326</v>
      </c>
      <c r="L31" s="188">
        <f>G31*J31+H31*E31</f>
        <v>13754.400372572805</v>
      </c>
      <c r="O31" s="65"/>
      <c r="P31" s="42"/>
      <c r="R31" s="95"/>
      <c r="S31" s="95"/>
    </row>
    <row r="32" spans="1:23" x14ac:dyDescent="0.35">
      <c r="A32" s="97"/>
      <c r="C32" s="202" t="s">
        <v>91</v>
      </c>
      <c r="D32" s="332">
        <v>18</v>
      </c>
      <c r="E32" s="211">
        <f>E41</f>
        <v>295</v>
      </c>
      <c r="F32" s="190"/>
      <c r="G32" s="209">
        <f>'Past Inputs'!$U$8</f>
        <v>2.5891999999999998E-2</v>
      </c>
      <c r="H32" s="209">
        <f>'Past Inputs'!$G$49</f>
        <v>2.1800000000000002</v>
      </c>
      <c r="I32" s="210">
        <v>100</v>
      </c>
      <c r="J32" s="211">
        <f>I32*E32</f>
        <v>29500</v>
      </c>
      <c r="K32" s="188">
        <f>D32*E32</f>
        <v>5310</v>
      </c>
      <c r="L32" s="188">
        <f>G32*J32+H32*E32</f>
        <v>1406.914</v>
      </c>
      <c r="O32" s="65"/>
      <c r="P32" s="42"/>
      <c r="R32" s="95"/>
      <c r="S32" s="95"/>
      <c r="T32" s="95"/>
      <c r="U32" s="33"/>
    </row>
    <row r="33" spans="1:21" x14ac:dyDescent="0.35">
      <c r="A33" s="97"/>
      <c r="C33" s="47"/>
      <c r="D33" s="181"/>
      <c r="E33" s="99"/>
      <c r="F33" s="190"/>
      <c r="G33" s="191"/>
      <c r="H33" s="191"/>
      <c r="I33" s="191"/>
      <c r="J33" s="62"/>
      <c r="K33" s="179"/>
      <c r="L33" s="180"/>
      <c r="M33" s="180"/>
      <c r="N33" s="65"/>
      <c r="O33" s="65"/>
      <c r="P33" s="42"/>
      <c r="R33" s="95"/>
      <c r="S33" s="95"/>
      <c r="T33" s="95"/>
      <c r="U33" s="33"/>
    </row>
    <row r="34" spans="1:21" x14ac:dyDescent="0.35">
      <c r="A34" s="97"/>
      <c r="C34" s="43"/>
      <c r="D34" s="182"/>
      <c r="F34" s="190"/>
      <c r="G34" s="191"/>
      <c r="H34" s="191"/>
      <c r="I34" s="191"/>
      <c r="K34" s="196" t="s">
        <v>46</v>
      </c>
      <c r="L34" s="330" t="s">
        <v>43</v>
      </c>
      <c r="M34" s="331" t="s">
        <v>44</v>
      </c>
      <c r="N34" s="198" t="s">
        <v>47</v>
      </c>
      <c r="O34" s="65"/>
      <c r="P34" s="42"/>
      <c r="R34" s="95"/>
      <c r="S34" s="95"/>
      <c r="T34" s="95"/>
      <c r="U34" s="33"/>
    </row>
    <row r="35" spans="1:21" x14ac:dyDescent="0.35">
      <c r="A35" s="97"/>
      <c r="C35" s="43"/>
      <c r="D35" s="182"/>
      <c r="E35" s="62"/>
      <c r="F35" s="190"/>
      <c r="G35" s="191"/>
      <c r="H35" s="191"/>
      <c r="I35" s="191"/>
      <c r="J35" s="193" t="s">
        <v>17</v>
      </c>
      <c r="K35" s="188">
        <f>SUM(K30:K32)</f>
        <v>116737.17937535097</v>
      </c>
      <c r="L35" s="188">
        <f>SUM(L30:L32,F30)</f>
        <v>89953.110478780756</v>
      </c>
      <c r="M35" s="188">
        <f>K35-L35</f>
        <v>26784.068896570214</v>
      </c>
      <c r="N35" s="189">
        <f>M35/K35</f>
        <v>0.22943906165875433</v>
      </c>
      <c r="O35" s="65"/>
      <c r="P35" s="42"/>
      <c r="R35" s="95"/>
      <c r="S35" s="95"/>
      <c r="T35" s="95"/>
      <c r="U35" s="33"/>
    </row>
    <row r="36" spans="1:21" x14ac:dyDescent="0.35">
      <c r="A36" s="97"/>
      <c r="C36" s="173"/>
      <c r="D36" s="181"/>
      <c r="F36" s="192"/>
      <c r="G36" s="173"/>
      <c r="H36" s="173"/>
      <c r="I36" s="173"/>
      <c r="K36" s="177"/>
      <c r="L36" s="177"/>
      <c r="M36" s="177"/>
      <c r="O36" s="65"/>
      <c r="P36" s="42"/>
      <c r="R36" s="95"/>
      <c r="S36" s="95"/>
      <c r="T36" s="95"/>
      <c r="U36" s="33"/>
    </row>
    <row r="37" spans="1:21" x14ac:dyDescent="0.35">
      <c r="A37" s="97"/>
      <c r="B37" s="80" t="s">
        <v>127</v>
      </c>
      <c r="C37" s="43"/>
      <c r="D37" s="182"/>
      <c r="E37" s="62"/>
      <c r="F37" s="190"/>
      <c r="G37" s="191"/>
      <c r="H37" s="191"/>
      <c r="I37" s="191"/>
      <c r="J37" s="62"/>
      <c r="K37" s="180"/>
      <c r="L37" s="179"/>
      <c r="M37" s="179"/>
      <c r="N37" s="65"/>
      <c r="O37" s="65"/>
      <c r="P37" s="42"/>
      <c r="R37" s="95"/>
      <c r="S37" s="95"/>
      <c r="T37" s="95"/>
      <c r="U37" s="33"/>
    </row>
    <row r="38" spans="1:21" x14ac:dyDescent="0.35">
      <c r="A38" s="97"/>
      <c r="B38" s="184" t="s">
        <v>8</v>
      </c>
      <c r="C38" s="198" t="s">
        <v>117</v>
      </c>
      <c r="D38" s="196" t="s">
        <v>52</v>
      </c>
      <c r="E38" s="198" t="s">
        <v>42</v>
      </c>
      <c r="F38" s="196" t="s">
        <v>120</v>
      </c>
      <c r="G38" s="198" t="s">
        <v>260</v>
      </c>
      <c r="H38" s="198" t="s">
        <v>67</v>
      </c>
      <c r="I38" s="198" t="s">
        <v>37</v>
      </c>
      <c r="J38" s="198" t="s">
        <v>119</v>
      </c>
      <c r="K38" s="196" t="s">
        <v>1</v>
      </c>
      <c r="L38" s="196" t="s">
        <v>45</v>
      </c>
      <c r="O38" s="65"/>
      <c r="P38" s="42"/>
      <c r="R38" s="95"/>
      <c r="S38" s="95"/>
      <c r="T38" s="95"/>
      <c r="U38" s="33"/>
    </row>
    <row r="39" spans="1:21" x14ac:dyDescent="0.35">
      <c r="A39" s="97"/>
      <c r="B39" s="59"/>
      <c r="C39" s="202" t="s">
        <v>116</v>
      </c>
      <c r="D39" s="332">
        <f>D12</f>
        <v>63</v>
      </c>
      <c r="E39" s="211">
        <f>'Past Inputs'!H45</f>
        <v>762</v>
      </c>
      <c r="F39" s="212">
        <f>'Past Inputs'!$Q$51</f>
        <v>66461.09</v>
      </c>
      <c r="G39" s="209">
        <f>'Past Inputs'!$U$5</f>
        <v>0.294738</v>
      </c>
      <c r="H39" s="209">
        <f>'Past Inputs'!$G$45</f>
        <v>4.46</v>
      </c>
      <c r="I39" s="210">
        <v>30</v>
      </c>
      <c r="J39" s="211">
        <f>I39*E39</f>
        <v>22860</v>
      </c>
      <c r="K39" s="188">
        <f>D39*E39</f>
        <v>48006</v>
      </c>
      <c r="L39" s="188">
        <f>G39*J39+H39*E39</f>
        <v>10136.230680000001</v>
      </c>
      <c r="O39" s="65"/>
      <c r="P39" s="42"/>
      <c r="R39" s="95"/>
      <c r="S39" s="95"/>
      <c r="T39" s="95"/>
      <c r="U39" s="33"/>
    </row>
    <row r="40" spans="1:21" x14ac:dyDescent="0.35">
      <c r="A40" s="97"/>
      <c r="B40" s="59"/>
      <c r="C40" s="202" t="s">
        <v>118</v>
      </c>
      <c r="D40" s="332">
        <f>D16</f>
        <v>90</v>
      </c>
      <c r="E40" s="211">
        <f>'Past Inputs'!H46</f>
        <v>827</v>
      </c>
      <c r="F40" s="190"/>
      <c r="G40" s="209">
        <f>'Past Inputs'!$U$5</f>
        <v>0.294738</v>
      </c>
      <c r="H40" s="209">
        <f>'Past Inputs'!$G$46</f>
        <v>5.28</v>
      </c>
      <c r="I40" s="210">
        <v>50</v>
      </c>
      <c r="J40" s="211">
        <f>I40*E40</f>
        <v>41350</v>
      </c>
      <c r="K40" s="188">
        <f>D40*E40</f>
        <v>74430</v>
      </c>
      <c r="L40" s="188">
        <f>G40*J40+H40*E40</f>
        <v>16553.976300000002</v>
      </c>
      <c r="O40" s="65"/>
      <c r="P40" s="42"/>
      <c r="R40" s="95"/>
      <c r="S40" s="95"/>
      <c r="T40" s="95"/>
      <c r="U40" s="33"/>
    </row>
    <row r="41" spans="1:21" x14ac:dyDescent="0.35">
      <c r="A41" s="97"/>
      <c r="B41" s="59"/>
      <c r="C41" s="202" t="s">
        <v>91</v>
      </c>
      <c r="D41" s="332">
        <v>18</v>
      </c>
      <c r="E41" s="211">
        <f>'Past Inputs'!H49</f>
        <v>295</v>
      </c>
      <c r="F41" s="190"/>
      <c r="G41" s="209">
        <f>'Past Inputs'!$U$8</f>
        <v>2.5891999999999998E-2</v>
      </c>
      <c r="H41" s="209">
        <f>'Past Inputs'!$G$49</f>
        <v>2.1800000000000002</v>
      </c>
      <c r="I41" s="210">
        <v>100</v>
      </c>
      <c r="J41" s="211">
        <f>I41*E41</f>
        <v>29500</v>
      </c>
      <c r="K41" s="188">
        <f>D41*E41</f>
        <v>5310</v>
      </c>
      <c r="L41" s="188">
        <f>G41*J41+H41*E41</f>
        <v>1406.914</v>
      </c>
      <c r="O41" s="65"/>
      <c r="P41" s="42"/>
      <c r="R41" s="95"/>
      <c r="S41" s="95"/>
      <c r="T41" s="95"/>
      <c r="U41" s="33"/>
    </row>
    <row r="42" spans="1:21" x14ac:dyDescent="0.35">
      <c r="A42" s="97"/>
      <c r="B42" s="59"/>
      <c r="C42" s="47"/>
      <c r="D42" s="181"/>
      <c r="E42" s="99"/>
      <c r="F42" s="190"/>
      <c r="G42" s="191"/>
      <c r="H42" s="191"/>
      <c r="I42" s="191"/>
      <c r="J42" s="62"/>
      <c r="K42" s="179"/>
      <c r="L42" s="180"/>
      <c r="M42" s="180"/>
      <c r="N42" s="65"/>
      <c r="O42" s="65"/>
      <c r="P42" s="42"/>
      <c r="R42" s="95"/>
      <c r="S42" s="95"/>
      <c r="T42" s="95"/>
      <c r="U42" s="33"/>
    </row>
    <row r="43" spans="1:21" x14ac:dyDescent="0.35">
      <c r="A43" s="97"/>
      <c r="B43" s="47"/>
      <c r="C43" s="43"/>
      <c r="D43" s="182"/>
      <c r="F43" s="190"/>
      <c r="G43" s="191"/>
      <c r="H43" s="191"/>
      <c r="I43" s="191"/>
      <c r="K43" s="196" t="s">
        <v>46</v>
      </c>
      <c r="L43" s="330" t="s">
        <v>43</v>
      </c>
      <c r="M43" s="331" t="s">
        <v>44</v>
      </c>
      <c r="N43" s="198" t="s">
        <v>47</v>
      </c>
      <c r="O43" s="65"/>
      <c r="P43" s="42"/>
      <c r="R43" s="95"/>
      <c r="S43" s="95"/>
      <c r="T43" s="95"/>
      <c r="U43" s="33"/>
    </row>
    <row r="44" spans="1:21" x14ac:dyDescent="0.35">
      <c r="A44" s="97"/>
      <c r="B44" s="47"/>
      <c r="C44" s="43"/>
      <c r="D44" s="182"/>
      <c r="E44" s="62"/>
      <c r="F44" s="190"/>
      <c r="G44" s="191"/>
      <c r="H44" s="191"/>
      <c r="I44" s="191"/>
      <c r="J44" s="193" t="s">
        <v>17</v>
      </c>
      <c r="K44" s="188">
        <f>SUM(K39:K41)</f>
        <v>127746</v>
      </c>
      <c r="L44" s="188">
        <f>SUM(L39:L41,F39)</f>
        <v>94558.210980000003</v>
      </c>
      <c r="M44" s="188">
        <f>K44-L44</f>
        <v>33187.789019999997</v>
      </c>
      <c r="N44" s="189">
        <f>M44/K44</f>
        <v>0.25979513268517213</v>
      </c>
      <c r="O44" s="65"/>
      <c r="P44" s="42"/>
      <c r="R44" s="95"/>
      <c r="S44" s="95"/>
      <c r="T44" s="95"/>
      <c r="U44" s="33"/>
    </row>
    <row r="45" spans="1:21" x14ac:dyDescent="0.35">
      <c r="A45" s="97"/>
      <c r="B45" s="47"/>
      <c r="C45" s="43"/>
      <c r="D45" s="182"/>
      <c r="E45" s="62"/>
      <c r="F45" s="190"/>
      <c r="G45" s="191"/>
      <c r="H45" s="191"/>
      <c r="I45" s="191"/>
      <c r="J45" s="62"/>
      <c r="K45" s="180"/>
      <c r="L45" s="179"/>
      <c r="M45" s="179"/>
      <c r="N45" s="65"/>
      <c r="O45" s="65"/>
      <c r="P45" s="42"/>
      <c r="R45" s="95"/>
      <c r="S45" s="95"/>
      <c r="T45" s="95"/>
      <c r="U45" s="33"/>
    </row>
    <row r="46" spans="1:21" x14ac:dyDescent="0.35">
      <c r="A46" s="97"/>
      <c r="B46" s="47"/>
      <c r="C46" s="43"/>
      <c r="D46" s="182"/>
      <c r="E46" s="62"/>
      <c r="F46" s="190"/>
      <c r="G46" s="191"/>
      <c r="H46" s="191"/>
      <c r="I46" s="191"/>
      <c r="J46" s="62"/>
      <c r="K46" s="180"/>
      <c r="L46" s="179"/>
      <c r="M46" s="179"/>
      <c r="N46" s="65"/>
      <c r="O46" s="65"/>
      <c r="P46" s="42"/>
      <c r="R46" s="95"/>
      <c r="S46" s="95"/>
      <c r="T46" s="95"/>
      <c r="U46" s="33"/>
    </row>
    <row r="47" spans="1:21" x14ac:dyDescent="0.35">
      <c r="A47" s="97"/>
      <c r="B47" s="183" t="s">
        <v>9</v>
      </c>
      <c r="C47" s="198" t="s">
        <v>117</v>
      </c>
      <c r="D47" s="196" t="s">
        <v>52</v>
      </c>
      <c r="E47" s="198" t="s">
        <v>42</v>
      </c>
      <c r="F47" s="196" t="s">
        <v>120</v>
      </c>
      <c r="G47" s="198" t="s">
        <v>260</v>
      </c>
      <c r="H47" s="198" t="s">
        <v>67</v>
      </c>
      <c r="I47" s="198" t="s">
        <v>37</v>
      </c>
      <c r="J47" s="198" t="s">
        <v>119</v>
      </c>
      <c r="K47" s="196" t="s">
        <v>1</v>
      </c>
      <c r="L47" s="196" t="s">
        <v>45</v>
      </c>
      <c r="O47" s="65"/>
      <c r="P47" s="42"/>
      <c r="R47" s="95"/>
      <c r="S47" s="95"/>
      <c r="T47" s="95"/>
      <c r="U47" s="33"/>
    </row>
    <row r="48" spans="1:21" x14ac:dyDescent="0.35">
      <c r="A48" s="97"/>
      <c r="B48" s="47"/>
      <c r="C48" s="202" t="s">
        <v>116</v>
      </c>
      <c r="D48" s="332">
        <f>D39*90%</f>
        <v>56.7</v>
      </c>
      <c r="E48" s="211">
        <f>H11*(D48/D39-1)*E39+E39</f>
        <v>897.73188778587814</v>
      </c>
      <c r="F48" s="212">
        <f>'Past Inputs'!$Q$51</f>
        <v>66461.09</v>
      </c>
      <c r="G48" s="209">
        <f>'Past Inputs'!$U$5</f>
        <v>0.294738</v>
      </c>
      <c r="H48" s="209">
        <f>'Past Inputs'!$G$45</f>
        <v>4.46</v>
      </c>
      <c r="I48" s="210">
        <v>30</v>
      </c>
      <c r="J48" s="211">
        <f>I48*E48</f>
        <v>26931.956633576345</v>
      </c>
      <c r="K48" s="188">
        <f>D48*E48</f>
        <v>50901.398037459294</v>
      </c>
      <c r="L48" s="188">
        <f>G48*J48+H48*E48</f>
        <v>11941.755253792042</v>
      </c>
      <c r="O48" s="65"/>
      <c r="P48" s="42"/>
      <c r="R48" s="95"/>
      <c r="S48" s="95"/>
      <c r="T48" s="95"/>
      <c r="U48" s="33"/>
    </row>
    <row r="49" spans="1:21" x14ac:dyDescent="0.35">
      <c r="A49" s="97"/>
      <c r="B49" s="47"/>
      <c r="C49" s="202" t="s">
        <v>118</v>
      </c>
      <c r="D49" s="332">
        <f>D40*90%</f>
        <v>81</v>
      </c>
      <c r="E49" s="211">
        <f>H15*(D49/D40-1)*E40+E40</f>
        <v>966.86061415240067</v>
      </c>
      <c r="F49" s="190"/>
      <c r="G49" s="209">
        <f>'Past Inputs'!$U$5</f>
        <v>0.294738</v>
      </c>
      <c r="H49" s="209">
        <f>'Past Inputs'!$G$46</f>
        <v>5.28</v>
      </c>
      <c r="I49" s="210">
        <v>50</v>
      </c>
      <c r="J49" s="211">
        <f>I49*E49</f>
        <v>48343.030707620033</v>
      </c>
      <c r="K49" s="188">
        <f>D49*E49</f>
        <v>78315.709746344452</v>
      </c>
      <c r="L49" s="188">
        <f>G49*J49+H49*E49</f>
        <v>19353.552227427186</v>
      </c>
      <c r="O49" s="65"/>
      <c r="P49" s="42"/>
      <c r="R49" s="95"/>
      <c r="S49" s="95"/>
      <c r="T49" s="95"/>
      <c r="U49" s="33"/>
    </row>
    <row r="50" spans="1:21" x14ac:dyDescent="0.35">
      <c r="A50" s="97"/>
      <c r="B50" s="47"/>
      <c r="C50" s="202" t="s">
        <v>91</v>
      </c>
      <c r="D50" s="332">
        <v>18</v>
      </c>
      <c r="E50" s="211">
        <f>E41</f>
        <v>295</v>
      </c>
      <c r="F50" s="190"/>
      <c r="G50" s="209">
        <f>'Past Inputs'!$U$8</f>
        <v>2.5891999999999998E-2</v>
      </c>
      <c r="H50" s="209">
        <f>'Past Inputs'!$G$49</f>
        <v>2.1800000000000002</v>
      </c>
      <c r="I50" s="210">
        <v>100</v>
      </c>
      <c r="J50" s="211">
        <f>I50*E50</f>
        <v>29500</v>
      </c>
      <c r="K50" s="188">
        <f>D50*E50</f>
        <v>5310</v>
      </c>
      <c r="L50" s="188">
        <f>G50*J50+H50*E50</f>
        <v>1406.914</v>
      </c>
      <c r="O50" s="65"/>
      <c r="P50" s="42"/>
      <c r="R50" s="95"/>
      <c r="S50" s="95"/>
      <c r="T50" s="95"/>
      <c r="U50" s="33"/>
    </row>
    <row r="51" spans="1:21" x14ac:dyDescent="0.35">
      <c r="A51" s="97"/>
      <c r="B51" s="47"/>
      <c r="C51" s="47"/>
      <c r="D51" s="181"/>
      <c r="E51" s="99"/>
      <c r="F51" s="190"/>
      <c r="G51" s="191"/>
      <c r="H51" s="191"/>
      <c r="I51" s="191"/>
      <c r="J51" s="62"/>
      <c r="K51" s="179"/>
      <c r="L51" s="180"/>
      <c r="M51" s="180"/>
      <c r="N51" s="65"/>
      <c r="O51" s="65"/>
      <c r="P51" s="42"/>
      <c r="R51" s="95"/>
      <c r="S51" s="95"/>
      <c r="T51" s="95"/>
      <c r="U51" s="33"/>
    </row>
    <row r="52" spans="1:21" x14ac:dyDescent="0.35">
      <c r="A52" s="97"/>
      <c r="B52" s="47"/>
      <c r="C52" s="43"/>
      <c r="D52" s="182"/>
      <c r="F52" s="190"/>
      <c r="G52" s="191"/>
      <c r="H52" s="191"/>
      <c r="I52" s="191"/>
      <c r="K52" s="196" t="s">
        <v>46</v>
      </c>
      <c r="L52" s="330" t="s">
        <v>43</v>
      </c>
      <c r="M52" s="331" t="s">
        <v>44</v>
      </c>
      <c r="N52" s="198" t="s">
        <v>47</v>
      </c>
      <c r="O52" s="65"/>
      <c r="P52" s="65"/>
      <c r="Q52" s="42"/>
      <c r="R52" s="95"/>
      <c r="S52" s="95"/>
      <c r="T52" s="95"/>
      <c r="U52" s="33"/>
    </row>
    <row r="53" spans="1:21" x14ac:dyDescent="0.35">
      <c r="A53" s="97"/>
      <c r="B53" s="47"/>
      <c r="C53" s="43"/>
      <c r="D53" s="182"/>
      <c r="E53" s="62"/>
      <c r="F53" s="190"/>
      <c r="G53" s="191"/>
      <c r="H53" s="191"/>
      <c r="I53" s="191"/>
      <c r="J53" s="193" t="s">
        <v>17</v>
      </c>
      <c r="K53" s="188">
        <f>SUM(K48:K50)</f>
        <v>134527.10778380375</v>
      </c>
      <c r="L53" s="188">
        <f>SUM(L48:L50,F48)</f>
        <v>99163.311481219222</v>
      </c>
      <c r="M53" s="188">
        <f>K53-L53</f>
        <v>35363.796302584524</v>
      </c>
      <c r="N53" s="189">
        <f>M53/K53</f>
        <v>0.26287487247118319</v>
      </c>
      <c r="O53" s="65"/>
      <c r="P53" s="65"/>
      <c r="Q53" s="42"/>
      <c r="R53" s="95"/>
      <c r="S53" s="95"/>
      <c r="T53" s="95"/>
      <c r="U53" s="33"/>
    </row>
    <row r="54" spans="1:21" x14ac:dyDescent="0.35">
      <c r="A54" s="97"/>
      <c r="B54" s="47"/>
      <c r="C54" s="43"/>
      <c r="D54" s="182"/>
      <c r="E54" s="62"/>
      <c r="F54" s="190"/>
      <c r="G54" s="191"/>
      <c r="H54" s="191"/>
      <c r="I54" s="191"/>
      <c r="J54" s="62"/>
      <c r="K54" s="180"/>
      <c r="L54" s="179"/>
      <c r="M54" s="179"/>
      <c r="N54" s="65"/>
      <c r="O54" s="65"/>
      <c r="P54" s="65"/>
      <c r="Q54" s="42"/>
      <c r="R54" s="95"/>
      <c r="S54" s="95"/>
      <c r="T54" s="95"/>
      <c r="U54" s="33"/>
    </row>
    <row r="55" spans="1:21" x14ac:dyDescent="0.35">
      <c r="A55" s="97"/>
      <c r="B55" s="47"/>
      <c r="C55" s="43"/>
      <c r="D55" s="182"/>
      <c r="E55" s="62"/>
      <c r="F55" s="190"/>
      <c r="G55" s="191"/>
      <c r="H55" s="191"/>
      <c r="I55" s="191"/>
      <c r="J55" s="62"/>
      <c r="K55" s="180"/>
      <c r="L55" s="179"/>
      <c r="M55" s="179"/>
      <c r="N55" s="65"/>
      <c r="O55" s="65"/>
      <c r="P55" s="65"/>
      <c r="Q55" s="42"/>
      <c r="R55" s="95"/>
      <c r="S55" s="95"/>
      <c r="T55" s="95"/>
      <c r="U55" s="33"/>
    </row>
    <row r="56" spans="1:21" x14ac:dyDescent="0.35">
      <c r="A56" s="97"/>
      <c r="B56" s="183" t="s">
        <v>53</v>
      </c>
      <c r="C56" s="198" t="s">
        <v>117</v>
      </c>
      <c r="D56" s="196" t="s">
        <v>52</v>
      </c>
      <c r="E56" s="198" t="s">
        <v>42</v>
      </c>
      <c r="F56" s="196" t="s">
        <v>120</v>
      </c>
      <c r="G56" s="198" t="s">
        <v>260</v>
      </c>
      <c r="H56" s="198" t="s">
        <v>67</v>
      </c>
      <c r="I56" s="198" t="s">
        <v>37</v>
      </c>
      <c r="J56" s="198" t="s">
        <v>119</v>
      </c>
      <c r="K56" s="196" t="s">
        <v>1</v>
      </c>
      <c r="L56" s="196" t="s">
        <v>45</v>
      </c>
      <c r="O56" s="65"/>
      <c r="P56" s="65"/>
      <c r="Q56" s="42"/>
      <c r="R56" s="95"/>
      <c r="S56" s="95"/>
      <c r="T56" s="95"/>
      <c r="U56" s="33"/>
    </row>
    <row r="57" spans="1:21" x14ac:dyDescent="0.35">
      <c r="A57" s="97"/>
      <c r="B57" s="47"/>
      <c r="C57" s="202" t="s">
        <v>116</v>
      </c>
      <c r="D57" s="332">
        <f>D39*80%</f>
        <v>50.400000000000006</v>
      </c>
      <c r="E57" s="211">
        <f>H11*(D57/D39-1)*E39+E39</f>
        <v>1033.4637755717563</v>
      </c>
      <c r="F57" s="212">
        <f>'Past Inputs'!$Q$51</f>
        <v>66461.09</v>
      </c>
      <c r="G57" s="209">
        <f>'Past Inputs'!$U$5</f>
        <v>0.294738</v>
      </c>
      <c r="H57" s="209">
        <f>'Past Inputs'!$G$45</f>
        <v>4.46</v>
      </c>
      <c r="I57" s="210">
        <v>30</v>
      </c>
      <c r="J57" s="211">
        <f>I57*E57</f>
        <v>31003.91326715269</v>
      </c>
      <c r="K57" s="188">
        <f>D57*E57</f>
        <v>52086.574288816526</v>
      </c>
      <c r="L57" s="188">
        <f>G57*J57+H57*E57</f>
        <v>13747.279827584083</v>
      </c>
      <c r="O57" s="65"/>
      <c r="P57" s="65"/>
      <c r="Q57" s="42"/>
      <c r="R57" s="95"/>
      <c r="S57" s="95"/>
      <c r="T57" s="95"/>
      <c r="U57" s="33"/>
    </row>
    <row r="58" spans="1:21" x14ac:dyDescent="0.35">
      <c r="A58" s="97"/>
      <c r="B58" s="47"/>
      <c r="C58" s="202" t="s">
        <v>118</v>
      </c>
      <c r="D58" s="332">
        <f>D40*80%</f>
        <v>72</v>
      </c>
      <c r="E58" s="211">
        <f>H15*(D58/D40-1)*E40+E40</f>
        <v>1106.7212283048013</v>
      </c>
      <c r="F58" s="190"/>
      <c r="G58" s="209">
        <f>'Past Inputs'!$U$5</f>
        <v>0.294738</v>
      </c>
      <c r="H58" s="209">
        <f>'Past Inputs'!$G$46</f>
        <v>5.28</v>
      </c>
      <c r="I58" s="210">
        <v>50</v>
      </c>
      <c r="J58" s="211">
        <f>I58*E58</f>
        <v>55336.061415240067</v>
      </c>
      <c r="K58" s="188">
        <f>D58*E58</f>
        <v>79683.928437945695</v>
      </c>
      <c r="L58" s="188">
        <f>G58*J58+H58*E58</f>
        <v>22153.128154854377</v>
      </c>
      <c r="O58" s="65"/>
      <c r="P58" s="65"/>
      <c r="Q58" s="42"/>
      <c r="R58" s="95"/>
      <c r="S58" s="95"/>
      <c r="T58" s="95"/>
      <c r="U58" s="33"/>
    </row>
    <row r="59" spans="1:21" x14ac:dyDescent="0.35">
      <c r="A59" s="97"/>
      <c r="B59" s="47"/>
      <c r="C59" s="202" t="s">
        <v>91</v>
      </c>
      <c r="D59" s="332">
        <v>18</v>
      </c>
      <c r="E59" s="211">
        <f>E50</f>
        <v>295</v>
      </c>
      <c r="F59" s="190"/>
      <c r="G59" s="209">
        <f>'Past Inputs'!$U$8</f>
        <v>2.5891999999999998E-2</v>
      </c>
      <c r="H59" s="209">
        <f>'Past Inputs'!$G$49</f>
        <v>2.1800000000000002</v>
      </c>
      <c r="I59" s="210">
        <v>100</v>
      </c>
      <c r="J59" s="211">
        <f>I59*E59</f>
        <v>29500</v>
      </c>
      <c r="K59" s="188">
        <f>D59*E59</f>
        <v>5310</v>
      </c>
      <c r="L59" s="188">
        <f>G59*J59+H59*E59</f>
        <v>1406.914</v>
      </c>
      <c r="O59" s="65"/>
      <c r="P59" s="65"/>
      <c r="Q59" s="42"/>
      <c r="R59" s="95"/>
      <c r="S59" s="95"/>
      <c r="T59" s="95"/>
      <c r="U59" s="33"/>
    </row>
    <row r="60" spans="1:21" x14ac:dyDescent="0.35">
      <c r="A60" s="97"/>
      <c r="B60" s="47"/>
      <c r="C60" s="47"/>
      <c r="D60" s="181"/>
      <c r="E60" s="99"/>
      <c r="F60" s="62"/>
      <c r="G60" s="63"/>
      <c r="H60" s="63"/>
      <c r="I60" s="63"/>
      <c r="J60" s="62"/>
      <c r="K60" s="179"/>
      <c r="L60" s="180"/>
      <c r="M60" s="180"/>
      <c r="N60" s="65"/>
      <c r="O60" s="65"/>
      <c r="P60" s="65"/>
      <c r="Q60" s="42"/>
      <c r="R60" s="95"/>
      <c r="S60" s="95"/>
      <c r="T60" s="95"/>
      <c r="U60" s="33"/>
    </row>
    <row r="61" spans="1:21" x14ac:dyDescent="0.35">
      <c r="A61" s="97"/>
      <c r="B61" s="47"/>
      <c r="C61" s="43"/>
      <c r="D61" s="176"/>
      <c r="F61" s="62"/>
      <c r="G61" s="63"/>
      <c r="H61" s="63"/>
      <c r="I61" s="63"/>
      <c r="K61" s="196" t="s">
        <v>46</v>
      </c>
      <c r="L61" s="330" t="s">
        <v>43</v>
      </c>
      <c r="M61" s="331" t="s">
        <v>44</v>
      </c>
      <c r="N61" s="198" t="s">
        <v>47</v>
      </c>
      <c r="O61" s="65"/>
      <c r="P61" s="65"/>
      <c r="Q61" s="42"/>
      <c r="R61" s="95"/>
      <c r="S61" s="95"/>
      <c r="T61" s="95"/>
      <c r="U61" s="33"/>
    </row>
    <row r="62" spans="1:21" x14ac:dyDescent="0.35">
      <c r="A62" s="97"/>
      <c r="B62" s="47"/>
      <c r="C62" s="43"/>
      <c r="D62" s="176"/>
      <c r="E62" s="62"/>
      <c r="F62" s="62"/>
      <c r="G62" s="63"/>
      <c r="H62" s="65"/>
      <c r="I62" s="63"/>
      <c r="J62" s="193" t="s">
        <v>17</v>
      </c>
      <c r="K62" s="188">
        <f>SUM(K57:K59)</f>
        <v>137080.50272676221</v>
      </c>
      <c r="L62" s="188">
        <f>SUM(L57:L59,F57)</f>
        <v>103768.41198243845</v>
      </c>
      <c r="M62" s="188">
        <f>K62-L62</f>
        <v>33312.090744323752</v>
      </c>
      <c r="N62" s="189">
        <f>M62/K62</f>
        <v>0.24301115097836767</v>
      </c>
      <c r="O62" s="65"/>
      <c r="P62" s="65"/>
      <c r="Q62" s="42"/>
      <c r="R62" s="95"/>
      <c r="S62" s="95"/>
      <c r="T62" s="95"/>
      <c r="U62" s="33"/>
    </row>
    <row r="63" spans="1:21" x14ac:dyDescent="0.35">
      <c r="A63" s="97"/>
      <c r="B63" s="47"/>
      <c r="C63" s="43"/>
      <c r="D63" s="176"/>
      <c r="E63" s="62"/>
      <c r="F63" s="62"/>
      <c r="G63" s="63"/>
      <c r="H63" s="63"/>
      <c r="I63" s="63"/>
      <c r="J63" s="62"/>
      <c r="K63" s="180"/>
      <c r="L63" s="179"/>
      <c r="M63" s="179"/>
      <c r="N63" s="65"/>
      <c r="O63" s="65"/>
      <c r="P63" s="65"/>
      <c r="Q63" s="42"/>
      <c r="R63" s="95"/>
      <c r="S63" s="95"/>
      <c r="T63" s="95"/>
      <c r="U63" s="33"/>
    </row>
    <row r="64" spans="1:21" x14ac:dyDescent="0.35">
      <c r="A64" s="95"/>
      <c r="B64" s="30" t="s">
        <v>50</v>
      </c>
      <c r="C64" s="95"/>
      <c r="D64" s="175"/>
      <c r="E64" s="95"/>
      <c r="F64" s="95"/>
      <c r="G64" s="95"/>
      <c r="H64" s="95"/>
      <c r="I64" s="95"/>
      <c r="J64" s="95"/>
      <c r="K64" s="175"/>
      <c r="L64" s="175"/>
      <c r="M64" s="175"/>
      <c r="N64" s="95"/>
      <c r="O64" s="95"/>
      <c r="P64" s="95"/>
      <c r="Q64" s="95"/>
      <c r="R64" s="95"/>
      <c r="S64" s="95"/>
      <c r="T64" s="95"/>
      <c r="U64" s="33"/>
    </row>
    <row r="65" spans="1:22" x14ac:dyDescent="0.35">
      <c r="B65" s="193"/>
      <c r="C65" s="194" t="s">
        <v>52</v>
      </c>
      <c r="D65" s="196" t="s">
        <v>46</v>
      </c>
      <c r="E65" s="197" t="s">
        <v>43</v>
      </c>
      <c r="F65" s="198" t="s">
        <v>44</v>
      </c>
      <c r="G65" s="198" t="s">
        <v>47</v>
      </c>
      <c r="H65" s="95"/>
      <c r="I65" s="95"/>
      <c r="J65" s="95"/>
      <c r="K65" s="175"/>
      <c r="L65" s="175"/>
      <c r="M65" s="272"/>
      <c r="N65" s="95"/>
      <c r="O65" s="95"/>
      <c r="P65" s="95"/>
      <c r="Q65" s="95"/>
      <c r="R65" s="95"/>
      <c r="S65" s="95"/>
      <c r="T65" s="95"/>
      <c r="U65" s="33"/>
      <c r="V65" s="33"/>
    </row>
    <row r="66" spans="1:22" x14ac:dyDescent="0.35">
      <c r="B66" s="194" t="s">
        <v>3</v>
      </c>
      <c r="C66" s="199">
        <v>1.2</v>
      </c>
      <c r="D66" s="188">
        <f>K26</f>
        <v>101500.64590985667</v>
      </c>
      <c r="E66" s="188">
        <f>L26</f>
        <v>85348.009977561538</v>
      </c>
      <c r="F66" s="188">
        <f>D66-E66</f>
        <v>16152.635932295132</v>
      </c>
      <c r="G66" s="199">
        <f>IF(F66&lt;0,0,F66/D66)</f>
        <v>0.15913825756971423</v>
      </c>
      <c r="H66" s="95"/>
      <c r="I66" s="95"/>
      <c r="J66" s="95"/>
      <c r="K66" s="175"/>
      <c r="L66" s="175"/>
      <c r="M66" s="179"/>
      <c r="N66" s="95"/>
      <c r="O66" s="95"/>
      <c r="P66" s="95"/>
      <c r="Q66" s="95"/>
      <c r="R66" s="95"/>
      <c r="S66" s="95"/>
      <c r="T66" s="95"/>
      <c r="U66" s="33"/>
      <c r="V66" s="33"/>
    </row>
    <row r="67" spans="1:22" x14ac:dyDescent="0.35">
      <c r="B67" s="195" t="s">
        <v>7</v>
      </c>
      <c r="C67" s="199">
        <v>1.1000000000000001</v>
      </c>
      <c r="D67" s="188">
        <f>K35</f>
        <v>116737.17937535097</v>
      </c>
      <c r="E67" s="200">
        <f>L35</f>
        <v>89953.110478780756</v>
      </c>
      <c r="F67" s="188">
        <f>D67-E67</f>
        <v>26784.068896570214</v>
      </c>
      <c r="G67" s="199">
        <f>IF(F67&lt;0,0,F67/D67)</f>
        <v>0.22943906165875433</v>
      </c>
      <c r="H67" s="95"/>
      <c r="I67" s="95"/>
      <c r="J67" s="95"/>
      <c r="K67" s="175"/>
      <c r="L67" s="175"/>
      <c r="M67" s="179"/>
      <c r="N67" s="95"/>
      <c r="O67" s="95"/>
      <c r="P67" s="95"/>
      <c r="Q67" s="95"/>
      <c r="R67" s="95"/>
      <c r="S67" s="95"/>
      <c r="T67" s="95"/>
      <c r="U67" s="33"/>
      <c r="V67" s="33"/>
    </row>
    <row r="68" spans="1:22" x14ac:dyDescent="0.35">
      <c r="B68" s="194" t="s">
        <v>8</v>
      </c>
      <c r="C68" s="199">
        <v>1</v>
      </c>
      <c r="D68" s="188">
        <f>K44</f>
        <v>127746</v>
      </c>
      <c r="E68" s="188">
        <f>L44</f>
        <v>94558.210980000003</v>
      </c>
      <c r="F68" s="188">
        <f>D68-E68</f>
        <v>33187.789019999997</v>
      </c>
      <c r="G68" s="199">
        <f>IF(F68&lt;0,0,F68/D68)</f>
        <v>0.25979513268517213</v>
      </c>
      <c r="H68" s="95"/>
      <c r="I68" s="95"/>
      <c r="J68" s="95"/>
      <c r="K68" s="175"/>
      <c r="L68" s="175"/>
      <c r="M68" s="179"/>
      <c r="N68" s="95"/>
      <c r="O68" s="95"/>
      <c r="P68" s="95"/>
      <c r="Q68" s="95"/>
      <c r="R68" s="95"/>
      <c r="S68" s="95"/>
      <c r="T68" s="95"/>
      <c r="U68" s="33"/>
      <c r="V68" s="33"/>
    </row>
    <row r="69" spans="1:22" x14ac:dyDescent="0.35">
      <c r="B69" s="195" t="s">
        <v>9</v>
      </c>
      <c r="C69" s="199">
        <v>0.9</v>
      </c>
      <c r="D69" s="188">
        <f>K53</f>
        <v>134527.10778380375</v>
      </c>
      <c r="E69" s="200">
        <f>L53</f>
        <v>99163.311481219222</v>
      </c>
      <c r="F69" s="188">
        <f>D69-E69</f>
        <v>35363.796302584524</v>
      </c>
      <c r="G69" s="199">
        <f>IF(F69&lt;0,0,F69/D69)</f>
        <v>0.26287487247118319</v>
      </c>
      <c r="H69" s="95"/>
      <c r="I69" s="95"/>
      <c r="J69" s="95"/>
      <c r="K69" s="175"/>
      <c r="L69" s="175"/>
      <c r="M69" s="175"/>
      <c r="N69" s="95"/>
      <c r="O69" s="95"/>
      <c r="P69" s="95"/>
      <c r="Q69" s="95"/>
      <c r="R69" s="95"/>
      <c r="S69" s="95"/>
      <c r="T69" s="95"/>
      <c r="U69" s="33"/>
      <c r="V69" s="33"/>
    </row>
    <row r="70" spans="1:22" x14ac:dyDescent="0.35">
      <c r="B70" s="194" t="s">
        <v>53</v>
      </c>
      <c r="C70" s="199">
        <v>0.8</v>
      </c>
      <c r="D70" s="188">
        <f>K62</f>
        <v>137080.50272676221</v>
      </c>
      <c r="E70" s="188">
        <f>L62</f>
        <v>103768.41198243845</v>
      </c>
      <c r="F70" s="188">
        <f>D70-E70</f>
        <v>33312.090744323752</v>
      </c>
      <c r="G70" s="199">
        <f>IF(F70&lt;0,0,F70/D70)</f>
        <v>0.24301115097836767</v>
      </c>
      <c r="H70" s="95"/>
      <c r="I70" s="95"/>
      <c r="J70" s="95"/>
      <c r="K70" s="175"/>
      <c r="L70" s="175"/>
      <c r="M70" s="175"/>
      <c r="N70" s="95"/>
      <c r="O70" s="95"/>
      <c r="P70" s="95"/>
      <c r="Q70" s="95"/>
      <c r="R70" s="95"/>
      <c r="S70" s="95"/>
      <c r="T70" s="95"/>
      <c r="U70" s="33"/>
      <c r="V70" s="33"/>
    </row>
    <row r="71" spans="1:22" x14ac:dyDescent="0.35">
      <c r="A71" s="95"/>
      <c r="B71" s="95"/>
      <c r="C71" s="95"/>
      <c r="D71" s="175"/>
      <c r="E71" s="95"/>
      <c r="F71" s="95"/>
      <c r="G71" s="95"/>
      <c r="H71" s="95"/>
      <c r="I71" s="95"/>
      <c r="J71" s="95"/>
      <c r="K71" s="175"/>
      <c r="L71" s="175"/>
      <c r="M71" s="175"/>
      <c r="N71" s="95"/>
      <c r="O71" s="95"/>
      <c r="P71" s="95"/>
      <c r="Q71" s="95"/>
      <c r="R71" s="95"/>
      <c r="S71" s="95"/>
      <c r="T71" s="95"/>
      <c r="U71" s="33"/>
      <c r="V71" s="33"/>
    </row>
    <row r="72" spans="1:22" x14ac:dyDescent="0.35">
      <c r="A72" s="95"/>
      <c r="B72" s="30" t="s">
        <v>278</v>
      </c>
      <c r="C72" s="95"/>
      <c r="D72" s="175"/>
      <c r="E72" s="95"/>
      <c r="F72" s="95"/>
      <c r="G72" s="95"/>
      <c r="H72" s="95"/>
      <c r="I72" s="95"/>
      <c r="J72" s="95"/>
      <c r="K72" s="175"/>
      <c r="L72" s="175"/>
      <c r="M72" s="175"/>
      <c r="N72" s="95"/>
      <c r="O72" s="95"/>
      <c r="P72" s="95"/>
      <c r="Q72" s="95"/>
      <c r="R72" s="95"/>
      <c r="S72" s="95"/>
      <c r="T72" s="95"/>
      <c r="U72" s="33"/>
      <c r="V72" s="33"/>
    </row>
    <row r="73" spans="1:22" x14ac:dyDescent="0.35">
      <c r="A73" s="95"/>
      <c r="B73" s="100" t="s">
        <v>294</v>
      </c>
      <c r="C73" s="95"/>
      <c r="D73" s="175"/>
      <c r="E73" s="95"/>
      <c r="F73" s="95"/>
      <c r="G73" s="95"/>
      <c r="H73" s="95"/>
      <c r="I73" s="95"/>
      <c r="J73" s="95"/>
      <c r="K73" s="175"/>
      <c r="L73" s="175"/>
      <c r="M73" s="175"/>
      <c r="N73" s="95"/>
      <c r="O73" s="95"/>
      <c r="P73" s="95"/>
      <c r="Q73" s="95"/>
      <c r="R73" s="95"/>
      <c r="S73" s="95"/>
      <c r="T73" s="95"/>
      <c r="U73" s="33"/>
      <c r="V73" s="33"/>
    </row>
    <row r="74" spans="1:22" x14ac:dyDescent="0.35">
      <c r="A74" s="95"/>
      <c r="B74" s="100" t="s">
        <v>295</v>
      </c>
      <c r="C74" s="95"/>
      <c r="D74" s="175"/>
      <c r="E74" s="95"/>
      <c r="F74" s="95"/>
      <c r="G74" s="95"/>
      <c r="H74" s="95"/>
      <c r="I74" s="95"/>
      <c r="J74" s="95"/>
      <c r="K74" s="175"/>
      <c r="L74" s="175"/>
      <c r="M74" s="175"/>
      <c r="N74" s="95"/>
      <c r="O74" s="95"/>
      <c r="P74" s="95"/>
      <c r="Q74" s="95"/>
      <c r="R74" s="95"/>
      <c r="S74" s="95"/>
      <c r="T74" s="95"/>
      <c r="U74" s="33"/>
      <c r="V74" s="33"/>
    </row>
    <row r="75" spans="1:22" x14ac:dyDescent="0.35">
      <c r="A75" s="95"/>
      <c r="B75" s="100" t="s">
        <v>296</v>
      </c>
      <c r="C75" s="95"/>
      <c r="D75" s="175"/>
      <c r="E75" s="95"/>
      <c r="F75" s="95"/>
      <c r="G75" s="95"/>
      <c r="H75" s="95"/>
      <c r="I75" s="95"/>
      <c r="J75" s="95"/>
      <c r="K75" s="175"/>
      <c r="L75" s="175"/>
      <c r="M75" s="175"/>
      <c r="N75" s="95"/>
      <c r="O75" s="95"/>
      <c r="P75" s="95"/>
      <c r="Q75" s="95"/>
      <c r="R75" s="95"/>
      <c r="S75" s="95"/>
      <c r="T75" s="95"/>
      <c r="U75" s="33"/>
      <c r="V75" s="33"/>
    </row>
    <row r="76" spans="1:22" x14ac:dyDescent="0.35">
      <c r="A76" s="95"/>
      <c r="B76" s="95" t="s">
        <v>297</v>
      </c>
      <c r="C76" s="95"/>
      <c r="D76" s="175"/>
      <c r="E76" s="95"/>
      <c r="F76" s="95"/>
      <c r="G76" s="95"/>
      <c r="H76" s="95"/>
      <c r="I76" s="95"/>
      <c r="J76" s="95"/>
      <c r="K76" s="95"/>
      <c r="L76" s="95"/>
      <c r="M76" s="95"/>
      <c r="N76" s="95"/>
      <c r="O76" s="95"/>
      <c r="P76" s="95"/>
      <c r="Q76" s="95"/>
      <c r="R76" s="95"/>
      <c r="S76" s="95"/>
      <c r="T76" s="95"/>
      <c r="U76" s="33"/>
      <c r="V76" s="33"/>
    </row>
    <row r="77" spans="1:22" x14ac:dyDescent="0.35">
      <c r="A77" s="95"/>
      <c r="B77" s="95" t="s">
        <v>298</v>
      </c>
      <c r="C77" s="95"/>
      <c r="D77" s="175"/>
      <c r="E77" s="95"/>
      <c r="F77" s="95"/>
      <c r="G77" s="95"/>
      <c r="H77" s="95"/>
      <c r="I77" s="95"/>
      <c r="J77" s="95"/>
      <c r="K77" s="95"/>
      <c r="L77" s="95"/>
      <c r="M77" s="95"/>
      <c r="N77" s="95"/>
      <c r="O77" s="95"/>
      <c r="P77" s="95"/>
      <c r="Q77" s="95"/>
      <c r="R77" s="95"/>
      <c r="S77" s="95"/>
      <c r="T77" s="95"/>
      <c r="U77" s="33"/>
      <c r="V77" s="33"/>
    </row>
    <row r="78" spans="1:22" x14ac:dyDescent="0.35">
      <c r="A78" s="95"/>
      <c r="B78" s="95" t="s">
        <v>300</v>
      </c>
      <c r="C78" s="95"/>
      <c r="D78" s="175"/>
      <c r="E78" s="95"/>
      <c r="F78" s="95"/>
      <c r="G78" s="95"/>
      <c r="H78" s="95"/>
      <c r="I78" s="95"/>
      <c r="J78" s="95"/>
      <c r="K78" s="95"/>
      <c r="L78" s="95"/>
      <c r="M78" s="95"/>
      <c r="N78" s="95"/>
      <c r="O78" s="95"/>
      <c r="P78" s="95"/>
      <c r="Q78" s="95"/>
      <c r="R78" s="95"/>
      <c r="S78" s="95"/>
      <c r="T78" s="95"/>
      <c r="U78" s="33"/>
      <c r="V78" s="33"/>
    </row>
    <row r="79" spans="1:22" x14ac:dyDescent="0.35">
      <c r="A79" s="95"/>
      <c r="B79" s="95" t="s">
        <v>299</v>
      </c>
      <c r="C79" s="95"/>
      <c r="D79" s="95"/>
      <c r="E79" s="95"/>
      <c r="F79" s="95"/>
      <c r="G79" s="95"/>
      <c r="H79" s="95"/>
      <c r="I79" s="95"/>
      <c r="J79" s="95"/>
      <c r="K79" s="95"/>
      <c r="L79" s="95"/>
      <c r="M79" s="95"/>
      <c r="N79" s="95"/>
      <c r="O79" s="95"/>
      <c r="P79" s="95"/>
      <c r="Q79" s="95"/>
      <c r="R79" s="95"/>
      <c r="S79" s="95"/>
      <c r="T79" s="95"/>
      <c r="U79" s="33"/>
      <c r="V79" s="33"/>
    </row>
    <row r="80" spans="1:22" x14ac:dyDescent="0.35">
      <c r="A80" s="95"/>
      <c r="B80" s="95"/>
      <c r="C80" s="95"/>
      <c r="D80" s="95"/>
      <c r="E80" s="95"/>
      <c r="F80" s="95"/>
      <c r="G80" s="95"/>
      <c r="H80" s="95"/>
      <c r="I80" s="95"/>
      <c r="J80" s="95"/>
      <c r="K80" s="95"/>
      <c r="L80" s="95"/>
      <c r="M80" s="95"/>
      <c r="N80" s="95"/>
      <c r="O80" s="95"/>
      <c r="P80" s="95"/>
      <c r="Q80" s="95"/>
      <c r="R80" s="95"/>
      <c r="S80" s="95"/>
      <c r="T80" s="95"/>
      <c r="U80" s="33"/>
      <c r="V80" s="33"/>
    </row>
    <row r="81" spans="1:22" x14ac:dyDescent="0.35">
      <c r="A81" s="95"/>
      <c r="B81" s="30" t="s">
        <v>51</v>
      </c>
      <c r="C81" s="95"/>
      <c r="D81" s="95"/>
      <c r="E81" s="95"/>
      <c r="F81" s="95"/>
      <c r="G81" s="95"/>
      <c r="H81" s="95"/>
      <c r="I81" s="95"/>
      <c r="J81" s="95"/>
      <c r="K81" s="95"/>
      <c r="L81" s="95"/>
      <c r="M81" s="95"/>
      <c r="N81" s="95"/>
      <c r="O81" s="95"/>
      <c r="P81" s="95"/>
      <c r="Q81" s="95"/>
      <c r="R81" s="95"/>
      <c r="S81" s="95"/>
      <c r="T81" s="95"/>
      <c r="U81" s="33"/>
      <c r="V81" s="33"/>
    </row>
    <row r="82" spans="1:22" x14ac:dyDescent="0.35">
      <c r="A82" s="95"/>
      <c r="B82" s="95" t="s">
        <v>304</v>
      </c>
      <c r="C82" s="95"/>
      <c r="D82" s="95"/>
      <c r="E82" s="95"/>
      <c r="F82" s="95"/>
      <c r="G82" s="95"/>
      <c r="H82" s="95"/>
      <c r="I82" s="95"/>
      <c r="J82" s="95"/>
      <c r="K82" s="95"/>
      <c r="L82" s="95"/>
      <c r="M82" s="95"/>
      <c r="N82" s="95"/>
      <c r="O82" s="95"/>
      <c r="P82" s="95"/>
      <c r="Q82" s="95"/>
      <c r="R82" s="95"/>
      <c r="S82" s="95"/>
      <c r="T82" s="95"/>
      <c r="U82" s="33"/>
      <c r="V82" s="33"/>
    </row>
    <row r="83" spans="1:22" x14ac:dyDescent="0.35">
      <c r="A83" s="95"/>
      <c r="B83" s="95" t="s">
        <v>305</v>
      </c>
      <c r="C83" s="95"/>
      <c r="D83" s="95"/>
      <c r="E83" s="95"/>
      <c r="F83" s="95"/>
      <c r="G83" s="95"/>
      <c r="H83" s="95"/>
      <c r="I83" s="95"/>
      <c r="J83" s="95"/>
      <c r="K83" s="95"/>
      <c r="L83" s="95"/>
      <c r="M83" s="95"/>
      <c r="N83" s="95"/>
      <c r="O83" s="95"/>
      <c r="P83" s="95"/>
      <c r="Q83" s="95"/>
      <c r="R83" s="95"/>
      <c r="S83" s="95"/>
      <c r="T83" s="95"/>
      <c r="U83" s="33"/>
      <c r="V83" s="33"/>
    </row>
  </sheetData>
  <sheetProtection algorithmName="SHA-512" hashValue="uS/bIVK8zmNxu49aIOY1Napr1BFe+2rUsBVkboXJwY/Enelhs/R/xh7FHiFvXxJ1hatki6NOV6fr/BjqItywpQ==" saltValue="coeOo9tAELPTVxexRvyd2g==" spinCount="100000" sheet="1" objects="1" scenarios="1"/>
  <mergeCells count="1">
    <mergeCell ref="F8:G8"/>
  </mergeCells>
  <conditionalFormatting sqref="D11:D12 D15:D16">
    <cfRule type="cellIs" dxfId="27" priority="99" stopIfTrue="1" operator="equal">
      <formula>""</formula>
    </cfRule>
  </conditionalFormatting>
  <conditionalFormatting sqref="B11">
    <cfRule type="cellIs" dxfId="26" priority="67" stopIfTrue="1" operator="equal">
      <formula>""</formula>
    </cfRule>
  </conditionalFormatting>
  <conditionalFormatting sqref="H15">
    <cfRule type="cellIs" dxfId="25" priority="3" operator="lessThan">
      <formula>$H$11</formula>
    </cfRule>
    <cfRule type="cellIs" dxfId="24" priority="4" operator="greaterThan">
      <formula>$H$11</formula>
    </cfRule>
  </conditionalFormatting>
  <conditionalFormatting sqref="H11">
    <cfRule type="cellIs" dxfId="23" priority="1" operator="lessThan">
      <formula>$H$15</formula>
    </cfRule>
    <cfRule type="cellIs" dxfId="22" priority="2" operator="greaterThan">
      <formula>$H$15</formula>
    </cfRule>
  </conditionalFormatting>
  <dataValidations disablePrompts="1" count="1">
    <dataValidation type="list" errorStyle="information" allowBlank="1" showInputMessage="1" showErrorMessage="1" sqref="C37 C52:C55 C61:C63" xr:uid="{C3AE2232-7CD3-4A65-B035-560D7B3B919A}">
      <formula1>#REF!</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CDF6C-93F5-426D-A44F-CDC55F3CD05F}">
  <sheetPr codeName="Sheet13">
    <tabColor rgb="FF002060"/>
  </sheetPr>
  <dimension ref="A1:AC55"/>
  <sheetViews>
    <sheetView showGridLines="0" topLeftCell="C18" zoomScale="67" zoomScaleNormal="145" zoomScalePageLayoutView="110" workbookViewId="0">
      <selection activeCell="D15" sqref="D15"/>
    </sheetView>
  </sheetViews>
  <sheetFormatPr defaultColWidth="8" defaultRowHeight="13" x14ac:dyDescent="0.3"/>
  <cols>
    <col min="1" max="1" width="0.58203125" style="48" customWidth="1"/>
    <col min="2" max="2" width="9.33203125" style="48" customWidth="1"/>
    <col min="3" max="3" width="16.08203125" style="48" bestFit="1" customWidth="1"/>
    <col min="4" max="4" width="9" style="48" customWidth="1"/>
    <col min="5" max="6" width="8.5" style="48" bestFit="1" customWidth="1"/>
    <col min="7" max="7" width="16.08203125" style="48" bestFit="1" customWidth="1"/>
    <col min="8" max="10" width="8.5" style="48" bestFit="1" customWidth="1"/>
    <col min="11" max="11" width="16.4140625" style="48" bestFit="1" customWidth="1"/>
    <col min="12" max="12" width="18.9140625" style="48" bestFit="1" customWidth="1"/>
    <col min="13" max="13" width="9.58203125" style="48" bestFit="1" customWidth="1"/>
    <col min="14" max="14" width="13.58203125" style="48" bestFit="1" customWidth="1"/>
    <col min="15" max="15" width="10.9140625" style="48" bestFit="1" customWidth="1"/>
    <col min="16" max="16" width="10.08203125" style="48" bestFit="1" customWidth="1"/>
    <col min="17" max="17" width="8.58203125" style="48" bestFit="1" customWidth="1"/>
    <col min="18" max="18" width="10.4140625" style="48" bestFit="1" customWidth="1"/>
    <col min="19" max="21" width="8.83203125" style="48" bestFit="1" customWidth="1"/>
    <col min="22" max="26" width="8" style="48"/>
    <col min="27" max="27" width="37.58203125" style="48" customWidth="1"/>
    <col min="28" max="28" width="77.58203125" style="48" customWidth="1"/>
    <col min="29" max="29" width="60.08203125" style="48" customWidth="1"/>
    <col min="30" max="16384" width="8" style="48"/>
  </cols>
  <sheetData>
    <row r="1" spans="1:29" ht="15.5" x14ac:dyDescent="0.35">
      <c r="B1" s="49" t="s">
        <v>828</v>
      </c>
      <c r="AA1" s="299" t="s">
        <v>342</v>
      </c>
      <c r="AB1" s="300"/>
      <c r="AC1" s="301"/>
    </row>
    <row r="2" spans="1:29" ht="15.5" x14ac:dyDescent="0.35">
      <c r="G2" s="30" t="s">
        <v>321</v>
      </c>
      <c r="O2" s="3"/>
      <c r="AA2" s="302" t="s">
        <v>105</v>
      </c>
      <c r="AB2" s="303" t="s">
        <v>107</v>
      </c>
      <c r="AC2" s="304" t="s">
        <v>106</v>
      </c>
    </row>
    <row r="3" spans="1:29" ht="15.5" x14ac:dyDescent="0.35">
      <c r="B3" s="49"/>
      <c r="C3" s="30" t="s">
        <v>101</v>
      </c>
      <c r="F3" s="222" t="s">
        <v>127</v>
      </c>
      <c r="G3" s="203" t="s">
        <v>117</v>
      </c>
      <c r="H3" s="203" t="s">
        <v>52</v>
      </c>
      <c r="I3" s="203" t="s">
        <v>42</v>
      </c>
      <c r="J3" s="203" t="s">
        <v>120</v>
      </c>
      <c r="K3" s="203" t="s">
        <v>121</v>
      </c>
      <c r="L3" s="203" t="s">
        <v>123</v>
      </c>
      <c r="M3" s="203" t="s">
        <v>37</v>
      </c>
      <c r="N3" s="203" t="s">
        <v>119</v>
      </c>
      <c r="O3" s="203" t="s">
        <v>1</v>
      </c>
      <c r="P3" s="203" t="s">
        <v>45</v>
      </c>
      <c r="Q3" s="249"/>
      <c r="R3" s="100"/>
      <c r="AA3" s="305" t="s">
        <v>345</v>
      </c>
      <c r="AB3" s="33" t="s">
        <v>559</v>
      </c>
      <c r="AC3" s="306" t="str">
        <f ca="1">_xlfn.FORMULATEXT(D$5)</f>
        <v>='Price Elasticty of Demand'!H11</v>
      </c>
    </row>
    <row r="4" spans="1:29" ht="15.5" x14ac:dyDescent="0.35">
      <c r="B4" s="49"/>
      <c r="C4" s="202" t="s">
        <v>117</v>
      </c>
      <c r="D4" s="198" t="s">
        <v>130</v>
      </c>
      <c r="E4" s="97"/>
      <c r="F4" s="59"/>
      <c r="G4" s="202" t="s">
        <v>116</v>
      </c>
      <c r="H4" s="188">
        <f>'Price Elasticty of Demand'!D39</f>
        <v>63</v>
      </c>
      <c r="I4" s="201">
        <f>'Price Elasticty of Demand'!E39</f>
        <v>762</v>
      </c>
      <c r="J4" s="188">
        <f>'Price Elasticty of Demand'!F39</f>
        <v>66461.09</v>
      </c>
      <c r="K4" s="188">
        <f>'Price Elasticty of Demand'!G39</f>
        <v>0.294738</v>
      </c>
      <c r="L4" s="188">
        <f>'Price Elasticty of Demand'!H39</f>
        <v>4.46</v>
      </c>
      <c r="M4" s="201">
        <f>'Price Elasticty of Demand'!I39</f>
        <v>30</v>
      </c>
      <c r="N4" s="201">
        <f>'Price Elasticty of Demand'!J39</f>
        <v>22860</v>
      </c>
      <c r="O4" s="188">
        <f>'Price Elasticty of Demand'!K39</f>
        <v>48006</v>
      </c>
      <c r="P4" s="188">
        <f>'Price Elasticty of Demand'!L39</f>
        <v>10136.230680000001</v>
      </c>
      <c r="Q4" s="179"/>
      <c r="R4" s="100"/>
      <c r="AA4" s="305" t="s">
        <v>560</v>
      </c>
      <c r="AB4" s="33" t="s">
        <v>561</v>
      </c>
      <c r="AC4" s="306" t="str">
        <f ca="1">_xlfn.FORMULATEXT(H$4)</f>
        <v>='Price Elasticty of Demand'!D39</v>
      </c>
    </row>
    <row r="5" spans="1:29" ht="15.5" x14ac:dyDescent="0.35">
      <c r="B5" s="49"/>
      <c r="C5" s="202" t="s">
        <v>116</v>
      </c>
      <c r="D5" s="201">
        <f>'Price Elasticty of Demand'!H11</f>
        <v>-1.7812583698934152</v>
      </c>
      <c r="E5" s="97"/>
      <c r="F5" s="59"/>
      <c r="G5" s="202" t="s">
        <v>118</v>
      </c>
      <c r="H5" s="188">
        <f>'Price Elasticty of Demand'!D40</f>
        <v>90</v>
      </c>
      <c r="I5" s="201">
        <f>'Price Elasticty of Demand'!E40</f>
        <v>827</v>
      </c>
      <c r="J5" s="178"/>
      <c r="K5" s="188">
        <f>'Price Elasticty of Demand'!G40</f>
        <v>0.294738</v>
      </c>
      <c r="L5" s="188">
        <f>'Price Elasticty of Demand'!H40</f>
        <v>5.28</v>
      </c>
      <c r="M5" s="201">
        <f>'Price Elasticty of Demand'!I40</f>
        <v>50</v>
      </c>
      <c r="N5" s="201">
        <f>'Price Elasticty of Demand'!J40</f>
        <v>41350</v>
      </c>
      <c r="O5" s="188">
        <f>'Price Elasticty of Demand'!K40</f>
        <v>74430</v>
      </c>
      <c r="P5" s="188">
        <f>'Price Elasticty of Demand'!L40</f>
        <v>16553.976300000002</v>
      </c>
      <c r="Q5" s="179"/>
      <c r="R5" s="100"/>
      <c r="AA5" s="361" t="s">
        <v>562</v>
      </c>
      <c r="AB5" s="33" t="s">
        <v>541</v>
      </c>
      <c r="AC5" s="306" t="str">
        <f ca="1">_xlfn.FORMULATEXT(I$4)</f>
        <v>='Price Elasticty of Demand'!E39</v>
      </c>
    </row>
    <row r="6" spans="1:29" ht="15.5" x14ac:dyDescent="0.35">
      <c r="B6" s="49"/>
      <c r="C6" s="202" t="s">
        <v>118</v>
      </c>
      <c r="D6" s="201">
        <f>'Price Elasticty of Demand'!H15</f>
        <v>-1.6911803404159702</v>
      </c>
      <c r="E6" s="97"/>
      <c r="F6" s="59"/>
      <c r="G6" s="202" t="s">
        <v>91</v>
      </c>
      <c r="H6" s="188">
        <f>'Price Elasticty of Demand'!D41</f>
        <v>18</v>
      </c>
      <c r="I6" s="201">
        <f>'Price Elasticty of Demand'!E41</f>
        <v>295</v>
      </c>
      <c r="J6" s="178"/>
      <c r="K6" s="188">
        <f>'Price Elasticty of Demand'!G41</f>
        <v>2.5891999999999998E-2</v>
      </c>
      <c r="L6" s="188">
        <f>'Price Elasticty of Demand'!H41</f>
        <v>2.1800000000000002</v>
      </c>
      <c r="M6" s="201">
        <f>'Price Elasticty of Demand'!I41</f>
        <v>100</v>
      </c>
      <c r="N6" s="201">
        <f>'Price Elasticty of Demand'!J41</f>
        <v>29500</v>
      </c>
      <c r="O6" s="188">
        <f>'Price Elasticty of Demand'!K41</f>
        <v>5310</v>
      </c>
      <c r="P6" s="188">
        <f>'Price Elasticty of Demand'!L41</f>
        <v>1406.914</v>
      </c>
      <c r="Q6" s="179"/>
      <c r="R6" s="100"/>
      <c r="AA6" s="361" t="s">
        <v>563</v>
      </c>
      <c r="AB6" s="362" t="s">
        <v>120</v>
      </c>
      <c r="AC6" s="366" t="s">
        <v>344</v>
      </c>
    </row>
    <row r="7" spans="1:29" ht="15.5" x14ac:dyDescent="0.35">
      <c r="B7" s="49"/>
      <c r="E7" s="97"/>
      <c r="F7" s="59"/>
      <c r="G7" s="47"/>
      <c r="H7" s="100"/>
      <c r="I7" s="99"/>
      <c r="J7" s="178"/>
      <c r="K7" s="63"/>
      <c r="L7" s="63"/>
      <c r="M7" s="63"/>
      <c r="N7" s="62"/>
      <c r="O7" s="79"/>
      <c r="P7" s="64"/>
      <c r="Q7" s="64"/>
      <c r="R7" s="65"/>
      <c r="AA7" s="305" t="s">
        <v>564</v>
      </c>
      <c r="AB7" s="33" t="s">
        <v>565</v>
      </c>
      <c r="AC7" s="306" t="str">
        <f ca="1">_xlfn.FORMULATEXT(J4)</f>
        <v>='Price Elasticty of Demand'!F39</v>
      </c>
    </row>
    <row r="8" spans="1:29" ht="15.5" x14ac:dyDescent="0.35">
      <c r="B8" s="49"/>
      <c r="E8" s="97"/>
      <c r="F8" s="47"/>
      <c r="G8" s="43"/>
      <c r="H8" s="59"/>
      <c r="I8" s="100"/>
      <c r="J8" s="178"/>
      <c r="K8" s="63"/>
      <c r="L8" s="63"/>
      <c r="M8" s="63"/>
      <c r="N8" s="218"/>
      <c r="O8" s="193" t="s">
        <v>46</v>
      </c>
      <c r="P8" s="214" t="s">
        <v>43</v>
      </c>
      <c r="Q8" s="215" t="s">
        <v>44</v>
      </c>
      <c r="R8" s="203" t="s">
        <v>47</v>
      </c>
      <c r="AA8" s="305" t="s">
        <v>566</v>
      </c>
      <c r="AB8" s="33" t="s">
        <v>567</v>
      </c>
      <c r="AC8" s="306" t="str">
        <f ca="1">_xlfn.FORMULATEXT(I$4)</f>
        <v>='Price Elasticty of Demand'!E39</v>
      </c>
    </row>
    <row r="9" spans="1:29" ht="15.5" x14ac:dyDescent="0.35">
      <c r="B9" s="49"/>
      <c r="E9" s="97"/>
      <c r="F9" s="47"/>
      <c r="G9" s="43"/>
      <c r="H9" s="110"/>
      <c r="I9" s="62"/>
      <c r="J9" s="178"/>
      <c r="L9" s="63"/>
      <c r="M9" s="63"/>
      <c r="N9" s="193" t="s">
        <v>17</v>
      </c>
      <c r="O9" s="188">
        <f>SUM(O4:O6)</f>
        <v>127746</v>
      </c>
      <c r="P9" s="188">
        <f>SUM(P4:P6,J4)</f>
        <v>94558.210980000003</v>
      </c>
      <c r="Q9" s="188">
        <f>O9-P9</f>
        <v>33187.789019999997</v>
      </c>
      <c r="R9" s="189">
        <f>Q9/O9</f>
        <v>0.25979513268517213</v>
      </c>
      <c r="AA9" s="305" t="s">
        <v>568</v>
      </c>
      <c r="AB9" s="33" t="s">
        <v>545</v>
      </c>
      <c r="AC9" s="306" t="s">
        <v>344</v>
      </c>
    </row>
    <row r="10" spans="1:29" ht="20.149999999999999" customHeight="1" x14ac:dyDescent="0.35">
      <c r="A10" s="4"/>
      <c r="B10" s="50"/>
      <c r="C10" s="51"/>
      <c r="D10" s="51"/>
      <c r="E10" s="50"/>
      <c r="F10" s="50"/>
      <c r="G10" s="50"/>
      <c r="H10" s="111"/>
      <c r="I10" s="50"/>
      <c r="J10" s="204"/>
      <c r="K10" s="50"/>
      <c r="L10" s="50"/>
      <c r="M10" s="50"/>
      <c r="N10" s="50"/>
      <c r="O10" s="50"/>
      <c r="P10" s="50"/>
      <c r="AA10" s="305" t="s">
        <v>569</v>
      </c>
      <c r="AB10" s="33" t="s">
        <v>570</v>
      </c>
      <c r="AC10" s="306" t="str">
        <f ca="1">_xlfn.FORMULATEXT(N4)</f>
        <v>='Price Elasticty of Demand'!J39</v>
      </c>
    </row>
    <row r="11" spans="1:29" ht="20.149999999999999" customHeight="1" x14ac:dyDescent="0.35">
      <c r="A11" s="50"/>
      <c r="B11" s="50"/>
      <c r="E11" s="50"/>
      <c r="F11" s="59"/>
      <c r="G11" s="30" t="s">
        <v>322</v>
      </c>
      <c r="H11" s="538" t="s">
        <v>133</v>
      </c>
      <c r="I11" s="538"/>
      <c r="J11" s="205"/>
      <c r="K11" s="60"/>
      <c r="L11" s="60"/>
      <c r="M11" s="60"/>
      <c r="N11" s="60"/>
      <c r="O11" s="60"/>
      <c r="P11" s="60"/>
      <c r="Q11" s="59"/>
      <c r="AA11" s="305" t="s">
        <v>571</v>
      </c>
      <c r="AB11" s="33" t="s">
        <v>572</v>
      </c>
      <c r="AC11" s="306" t="str">
        <f ca="1">_xlfn.FORMULATEXT(O4)</f>
        <v>='Price Elasticty of Demand'!K39</v>
      </c>
    </row>
    <row r="12" spans="1:29" ht="15.5" x14ac:dyDescent="0.35">
      <c r="A12" s="50"/>
      <c r="C12" s="67"/>
      <c r="D12" s="44"/>
      <c r="E12" s="44"/>
      <c r="F12" s="59"/>
      <c r="G12" s="203" t="s">
        <v>117</v>
      </c>
      <c r="H12" s="203" t="s">
        <v>52</v>
      </c>
      <c r="I12" s="203" t="s">
        <v>42</v>
      </c>
      <c r="J12" s="213" t="s">
        <v>120</v>
      </c>
      <c r="K12" s="203" t="s">
        <v>121</v>
      </c>
      <c r="L12" s="203" t="s">
        <v>123</v>
      </c>
      <c r="M12" s="203" t="s">
        <v>37</v>
      </c>
      <c r="N12" s="203" t="s">
        <v>119</v>
      </c>
      <c r="O12" s="203" t="s">
        <v>1</v>
      </c>
      <c r="P12" s="203" t="s">
        <v>45</v>
      </c>
      <c r="Q12" s="249"/>
      <c r="R12" s="100"/>
      <c r="AA12" s="305" t="s">
        <v>573</v>
      </c>
      <c r="AB12" s="33" t="s">
        <v>574</v>
      </c>
      <c r="AC12" s="306" t="str">
        <f ca="1">_xlfn.FORMULATEXT(P4)</f>
        <v>='Price Elasticty of Demand'!L39</v>
      </c>
    </row>
    <row r="13" spans="1:29" ht="15.5" x14ac:dyDescent="0.35">
      <c r="A13" s="50"/>
      <c r="C13" s="68"/>
      <c r="D13" s="298" t="s">
        <v>320</v>
      </c>
      <c r="E13" s="78"/>
      <c r="F13" s="59"/>
      <c r="G13" s="202" t="s">
        <v>116</v>
      </c>
      <c r="H13" s="208">
        <v>50.400000000000006</v>
      </c>
      <c r="I13" s="211">
        <f>I4*D5*(H13/H4-1)+I4</f>
        <v>1033.4637755717563</v>
      </c>
      <c r="J13" s="212">
        <f>'Past Inputs'!$Q$51</f>
        <v>66461.09</v>
      </c>
      <c r="K13" s="209">
        <f>'Past Inputs'!$U$5</f>
        <v>0.294738</v>
      </c>
      <c r="L13" s="209">
        <f>'Past Inputs'!$G$45</f>
        <v>4.46</v>
      </c>
      <c r="M13" s="210">
        <v>30</v>
      </c>
      <c r="N13" s="211">
        <f>M13*I13</f>
        <v>31003.91326715269</v>
      </c>
      <c r="O13" s="188">
        <f>H13*I13</f>
        <v>52086.574288816526</v>
      </c>
      <c r="P13" s="188">
        <f>K13*N13+L13*I13</f>
        <v>13747.279827584083</v>
      </c>
      <c r="Q13" s="179"/>
      <c r="R13" s="100"/>
      <c r="AA13" s="305" t="s">
        <v>575</v>
      </c>
      <c r="AB13" s="33" t="s">
        <v>576</v>
      </c>
      <c r="AC13" s="306" t="str">
        <f ca="1">_xlfn.FORMULATEXT(I13)</f>
        <v>=I4*D5*(H13/H4-1)+I4</v>
      </c>
    </row>
    <row r="14" spans="1:29" ht="15.5" x14ac:dyDescent="0.35">
      <c r="A14" s="50"/>
      <c r="C14" s="52"/>
      <c r="D14" s="207" t="s">
        <v>169</v>
      </c>
      <c r="E14" s="43"/>
      <c r="F14" s="59"/>
      <c r="G14" s="202" t="s">
        <v>118</v>
      </c>
      <c r="H14" s="208">
        <v>81</v>
      </c>
      <c r="I14" s="211">
        <f>I5*D6*(H14/H5-1)+I5</f>
        <v>966.86061415240067</v>
      </c>
      <c r="J14" s="107"/>
      <c r="K14" s="209">
        <f>'Past Inputs'!$U$5</f>
        <v>0.294738</v>
      </c>
      <c r="L14" s="209">
        <f>'Past Inputs'!$G$46</f>
        <v>5.28</v>
      </c>
      <c r="M14" s="210">
        <v>50</v>
      </c>
      <c r="N14" s="211">
        <f>M14*I14</f>
        <v>48343.030707620033</v>
      </c>
      <c r="O14" s="188">
        <f>H14*I14</f>
        <v>78315.709746344452</v>
      </c>
      <c r="P14" s="188">
        <f>K14*N14+L14*I14</f>
        <v>19353.552227427186</v>
      </c>
      <c r="Q14" s="179"/>
      <c r="R14" s="100"/>
      <c r="AA14" s="361" t="s">
        <v>577</v>
      </c>
      <c r="AB14" s="33" t="s">
        <v>578</v>
      </c>
      <c r="AC14" s="306" t="s">
        <v>344</v>
      </c>
    </row>
    <row r="15" spans="1:29" ht="15.5" x14ac:dyDescent="0.35">
      <c r="A15" s="50"/>
      <c r="C15" s="52"/>
      <c r="D15" s="524">
        <v>0.05</v>
      </c>
      <c r="E15" s="43"/>
      <c r="F15" s="59"/>
      <c r="G15" s="202" t="s">
        <v>91</v>
      </c>
      <c r="H15" s="188">
        <v>18</v>
      </c>
      <c r="I15" s="211">
        <f>I6</f>
        <v>295</v>
      </c>
      <c r="J15" s="107"/>
      <c r="K15" s="209">
        <f>'Past Inputs'!$U$8</f>
        <v>2.5891999999999998E-2</v>
      </c>
      <c r="L15" s="209">
        <f>'Past Inputs'!$G$49</f>
        <v>2.1800000000000002</v>
      </c>
      <c r="M15" s="210">
        <v>100</v>
      </c>
      <c r="N15" s="211">
        <f>M15*I15</f>
        <v>29500</v>
      </c>
      <c r="O15" s="188">
        <f>H15*I15</f>
        <v>5310</v>
      </c>
      <c r="P15" s="188">
        <f>K15*N15+L15*I15</f>
        <v>1406.914</v>
      </c>
      <c r="Q15" s="179"/>
      <c r="R15" s="100"/>
      <c r="AA15" s="305" t="s">
        <v>422</v>
      </c>
      <c r="AB15" s="33" t="s">
        <v>579</v>
      </c>
      <c r="AC15" s="318" t="str">
        <f ca="1">_xlfn.FORMULATEXT(C20)</f>
        <v>=Q18</v>
      </c>
    </row>
    <row r="16" spans="1:29" ht="15.5" x14ac:dyDescent="0.35">
      <c r="A16" s="50"/>
      <c r="C16" s="52"/>
      <c r="E16" s="43"/>
      <c r="F16" s="59"/>
      <c r="G16" s="47"/>
      <c r="H16" s="100"/>
      <c r="I16" s="99"/>
      <c r="J16" s="62"/>
      <c r="K16" s="63"/>
      <c r="L16" s="63"/>
      <c r="M16" s="63"/>
      <c r="N16" s="62"/>
      <c r="O16" s="179"/>
      <c r="P16" s="180"/>
      <c r="Q16" s="180"/>
      <c r="R16" s="65"/>
      <c r="AA16" s="305" t="s">
        <v>580</v>
      </c>
      <c r="AB16" s="33" t="s">
        <v>581</v>
      </c>
      <c r="AC16" s="318" t="str">
        <f ca="1">_xlfn.FORMULATEXT(D21)</f>
        <v>{=TABLE(H13,H14)}</v>
      </c>
    </row>
    <row r="17" spans="1:29" ht="16" customHeight="1" x14ac:dyDescent="0.35">
      <c r="A17" s="50"/>
      <c r="C17" s="52"/>
      <c r="D17" s="47"/>
      <c r="E17" s="43"/>
      <c r="F17" s="59"/>
      <c r="G17" s="43"/>
      <c r="H17" s="59"/>
      <c r="I17" s="100"/>
      <c r="J17" s="62"/>
      <c r="K17" s="63"/>
      <c r="L17" s="63"/>
      <c r="M17" s="63"/>
      <c r="N17" s="218"/>
      <c r="O17" s="213" t="s">
        <v>46</v>
      </c>
      <c r="P17" s="216" t="s">
        <v>43</v>
      </c>
      <c r="Q17" s="217" t="s">
        <v>44</v>
      </c>
      <c r="R17" s="203" t="s">
        <v>47</v>
      </c>
      <c r="AA17" s="307" t="s">
        <v>789</v>
      </c>
      <c r="AB17" s="308" t="s">
        <v>790</v>
      </c>
      <c r="AC17" s="321"/>
    </row>
    <row r="18" spans="1:29" ht="14.5" customHeight="1" x14ac:dyDescent="0.3">
      <c r="A18" s="50"/>
      <c r="C18" s="52"/>
      <c r="D18" s="47"/>
      <c r="E18" s="43"/>
      <c r="F18" s="59"/>
      <c r="G18" s="43"/>
      <c r="H18" s="59"/>
      <c r="I18" s="62"/>
      <c r="J18" s="62"/>
      <c r="K18" s="63"/>
      <c r="L18" s="63"/>
      <c r="M18" s="63"/>
      <c r="N18" s="193" t="s">
        <v>17</v>
      </c>
      <c r="O18" s="188">
        <f>SUM(O13:O15)</f>
        <v>135712.28403516096</v>
      </c>
      <c r="P18" s="188">
        <f>SUM(P13:P15,J13)</f>
        <v>100968.83605501126</v>
      </c>
      <c r="Q18" s="188">
        <f>O18-P18</f>
        <v>34743.447980149707</v>
      </c>
      <c r="R18" s="189">
        <f>Q18/O18</f>
        <v>0.2560081294567868</v>
      </c>
    </row>
    <row r="19" spans="1:29" ht="14.25" customHeight="1" x14ac:dyDescent="0.3">
      <c r="A19" s="50"/>
      <c r="C19" s="53" t="s">
        <v>129</v>
      </c>
      <c r="D19" s="50" t="s">
        <v>23</v>
      </c>
      <c r="E19" s="57"/>
      <c r="F19" s="55"/>
      <c r="G19" s="55"/>
      <c r="H19" s="55"/>
      <c r="I19" s="55"/>
      <c r="J19" s="55"/>
      <c r="K19" s="55"/>
      <c r="L19" s="55"/>
      <c r="M19" s="55"/>
      <c r="N19" s="55"/>
      <c r="O19" s="55"/>
      <c r="P19" s="50"/>
    </row>
    <row r="20" spans="1:29" x14ac:dyDescent="0.3">
      <c r="B20" s="104" t="s">
        <v>128</v>
      </c>
      <c r="C20" s="213">
        <f>Q18</f>
        <v>34743.447980149707</v>
      </c>
      <c r="D20" s="105">
        <f>I20*(100%+5*D15)</f>
        <v>78.75</v>
      </c>
      <c r="E20" s="105">
        <f>I20*(100%+4*D15)</f>
        <v>75.599999999999994</v>
      </c>
      <c r="F20" s="105">
        <f>I20*(100%+3*D15)</f>
        <v>72.449999999999989</v>
      </c>
      <c r="G20" s="105">
        <f>I20*(100%+2*D15)</f>
        <v>69.300000000000011</v>
      </c>
      <c r="H20" s="105">
        <f>I20*(100%+1*D15)</f>
        <v>66.150000000000006</v>
      </c>
      <c r="I20" s="106">
        <f>'Price Elasticty of Demand'!D39</f>
        <v>63</v>
      </c>
      <c r="J20" s="105">
        <f>I20*(100%-D15)</f>
        <v>59.849999999999994</v>
      </c>
      <c r="K20" s="105">
        <f>I20*(100%-2*$D$15)</f>
        <v>56.7</v>
      </c>
      <c r="L20" s="105">
        <f>I20*(100%-3*D15)</f>
        <v>53.55</v>
      </c>
      <c r="M20" s="105">
        <f>I20*(100%-4*D15)</f>
        <v>50.400000000000006</v>
      </c>
      <c r="N20" s="105">
        <f>I20*(100%-5*D15)</f>
        <v>47.25</v>
      </c>
    </row>
    <row r="21" spans="1:29" x14ac:dyDescent="0.3">
      <c r="C21" s="105">
        <f>C26*(1+5*D15)</f>
        <v>112.5</v>
      </c>
      <c r="D21" s="206">
        <f t="dataTable" ref="D21:N31" dt2D="1" dtr="1" r1="H13" r2="H14"/>
        <v>9251.527134840595</v>
      </c>
      <c r="E21" s="206">
        <v>12148.018822564569</v>
      </c>
      <c r="F21" s="206">
        <v>14616.955063763016</v>
      </c>
      <c r="G21" s="206">
        <v>16658.335858435952</v>
      </c>
      <c r="H21" s="206">
        <v>18272.161206583376</v>
      </c>
      <c r="I21" s="206">
        <v>19458.431108205259</v>
      </c>
      <c r="J21" s="206">
        <v>20217.145563301645</v>
      </c>
      <c r="K21" s="206">
        <v>20548.304571872519</v>
      </c>
      <c r="L21" s="206">
        <v>20451.908133917881</v>
      </c>
      <c r="M21" s="206">
        <v>19927.956249437731</v>
      </c>
      <c r="N21" s="206">
        <v>18976.448918432041</v>
      </c>
    </row>
    <row r="22" spans="1:29" x14ac:dyDescent="0.3">
      <c r="B22" s="55"/>
      <c r="C22" s="105">
        <f>C26*(1+4*D15)</f>
        <v>108</v>
      </c>
      <c r="D22" s="206">
        <v>13256.144244571173</v>
      </c>
      <c r="E22" s="206">
        <v>16152.635932295132</v>
      </c>
      <c r="F22" s="206">
        <v>18621.57217349358</v>
      </c>
      <c r="G22" s="206">
        <v>20662.95296816653</v>
      </c>
      <c r="H22" s="206">
        <v>22276.778316313925</v>
      </c>
      <c r="I22" s="206">
        <v>23463.048217935837</v>
      </c>
      <c r="J22" s="206">
        <v>24221.762673032223</v>
      </c>
      <c r="K22" s="206">
        <v>24552.921681603082</v>
      </c>
      <c r="L22" s="206">
        <v>24456.52524364843</v>
      </c>
      <c r="M22" s="206">
        <v>23932.57335916828</v>
      </c>
      <c r="N22" s="206">
        <v>22981.066028162604</v>
      </c>
    </row>
    <row r="23" spans="1:29" x14ac:dyDescent="0.3">
      <c r="C23" s="105">
        <f>C26*(1+3*D15)</f>
        <v>103.49999999999999</v>
      </c>
      <c r="D23" s="206">
        <v>16631.388590615912</v>
      </c>
      <c r="E23" s="206">
        <v>19527.880278339886</v>
      </c>
      <c r="F23" s="206">
        <v>21996.816519538334</v>
      </c>
      <c r="G23" s="206">
        <v>24038.197314211269</v>
      </c>
      <c r="H23" s="206">
        <v>25652.022662358679</v>
      </c>
      <c r="I23" s="206">
        <v>26838.292563980591</v>
      </c>
      <c r="J23" s="206">
        <v>27597.007019076962</v>
      </c>
      <c r="K23" s="206">
        <v>27928.166027647836</v>
      </c>
      <c r="L23" s="206">
        <v>27831.769589693184</v>
      </c>
      <c r="M23" s="206">
        <v>27307.81770521302</v>
      </c>
      <c r="N23" s="206">
        <v>26356.310374207344</v>
      </c>
      <c r="P23" s="55"/>
    </row>
    <row r="24" spans="1:29" x14ac:dyDescent="0.3">
      <c r="C24" s="105">
        <f>C26*(1+2*D15)</f>
        <v>99.000000000000014</v>
      </c>
      <c r="D24" s="206">
        <v>19377.260172974857</v>
      </c>
      <c r="E24" s="206">
        <v>22273.751860698816</v>
      </c>
      <c r="F24" s="206">
        <v>24742.688101897264</v>
      </c>
      <c r="G24" s="206">
        <v>26784.068896570214</v>
      </c>
      <c r="H24" s="206">
        <v>28397.894244717609</v>
      </c>
      <c r="I24" s="206">
        <v>29584.164146339521</v>
      </c>
      <c r="J24" s="206">
        <v>30342.878601435907</v>
      </c>
      <c r="K24" s="206">
        <v>30674.037610006781</v>
      </c>
      <c r="L24" s="206">
        <v>30577.641172052114</v>
      </c>
      <c r="M24" s="206">
        <v>30053.689287571964</v>
      </c>
      <c r="N24" s="206">
        <v>29102.181956566303</v>
      </c>
    </row>
    <row r="25" spans="1:29" x14ac:dyDescent="0.3">
      <c r="C25" s="105">
        <f>C26+$D$15*C26</f>
        <v>94.5</v>
      </c>
      <c r="D25" s="206">
        <v>21493.758991647992</v>
      </c>
      <c r="E25" s="206">
        <v>24390.250679371966</v>
      </c>
      <c r="F25" s="206">
        <v>26859.186920570399</v>
      </c>
      <c r="G25" s="206">
        <v>28900.567715243349</v>
      </c>
      <c r="H25" s="206">
        <v>30514.393063390758</v>
      </c>
      <c r="I25" s="206">
        <v>31700.662965012671</v>
      </c>
      <c r="J25" s="206">
        <v>32459.377420109042</v>
      </c>
      <c r="K25" s="206">
        <v>32790.536428679916</v>
      </c>
      <c r="L25" s="206">
        <v>32694.139990725263</v>
      </c>
      <c r="M25" s="206">
        <v>32170.188106245114</v>
      </c>
      <c r="N25" s="206">
        <v>31218.680775239438</v>
      </c>
    </row>
    <row r="26" spans="1:29" x14ac:dyDescent="0.3">
      <c r="C26" s="106">
        <f>'Price Elasticty of Demand'!D40</f>
        <v>90</v>
      </c>
      <c r="D26" s="206">
        <v>22980.885046635332</v>
      </c>
      <c r="E26" s="206">
        <v>25877.376734359292</v>
      </c>
      <c r="F26" s="206">
        <v>28346.312975557754</v>
      </c>
      <c r="G26" s="206">
        <v>30387.693770230675</v>
      </c>
      <c r="H26" s="206">
        <v>32001.519118378113</v>
      </c>
      <c r="I26" s="206">
        <v>33187.789019999997</v>
      </c>
      <c r="J26" s="206">
        <v>33946.503475096382</v>
      </c>
      <c r="K26" s="206">
        <v>34277.662483667256</v>
      </c>
      <c r="L26" s="206">
        <v>34181.266045712604</v>
      </c>
      <c r="M26" s="206">
        <v>33657.314161232454</v>
      </c>
      <c r="N26" s="206">
        <v>32705.806830226764</v>
      </c>
    </row>
    <row r="27" spans="1:29" x14ac:dyDescent="0.3">
      <c r="B27" s="56"/>
      <c r="C27" s="105">
        <f>C26*(1-1*D15)</f>
        <v>85.5</v>
      </c>
      <c r="D27" s="206">
        <v>23838.638337936878</v>
      </c>
      <c r="E27" s="206">
        <v>26735.130025660837</v>
      </c>
      <c r="F27" s="206">
        <v>29204.066266859285</v>
      </c>
      <c r="G27" s="206">
        <v>31245.447061532235</v>
      </c>
      <c r="H27" s="206">
        <v>32859.272409679645</v>
      </c>
      <c r="I27" s="206">
        <v>34045.542311301542</v>
      </c>
      <c r="J27" s="206">
        <v>34804.256766397913</v>
      </c>
      <c r="K27" s="206">
        <v>35135.415774968787</v>
      </c>
      <c r="L27" s="206">
        <v>35039.01933701415</v>
      </c>
      <c r="M27" s="206">
        <v>34515.067452533985</v>
      </c>
      <c r="N27" s="206">
        <v>33563.560121528324</v>
      </c>
    </row>
    <row r="28" spans="1:29" x14ac:dyDescent="0.3">
      <c r="C28" s="105">
        <f>C26*(1-2*D15)</f>
        <v>81</v>
      </c>
      <c r="D28" s="206">
        <v>24067.0188655526</v>
      </c>
      <c r="E28" s="206">
        <v>26963.510553276559</v>
      </c>
      <c r="F28" s="206">
        <v>29432.446794475021</v>
      </c>
      <c r="G28" s="206">
        <v>31473.827589147942</v>
      </c>
      <c r="H28" s="206">
        <v>33087.652937295381</v>
      </c>
      <c r="I28" s="206">
        <v>34273.922838917264</v>
      </c>
      <c r="J28" s="206">
        <v>35032.63729401365</v>
      </c>
      <c r="K28" s="206">
        <v>35363.796302584524</v>
      </c>
      <c r="L28" s="206">
        <v>35267.399864629871</v>
      </c>
      <c r="M28" s="206">
        <v>34743.447980149707</v>
      </c>
      <c r="N28" s="206">
        <v>33791.940649144031</v>
      </c>
    </row>
    <row r="29" spans="1:29" x14ac:dyDescent="0.3">
      <c r="C29" s="105">
        <f>C26*(1-3*D15)</f>
        <v>76.5</v>
      </c>
      <c r="D29" s="206">
        <v>23666.026629482527</v>
      </c>
      <c r="E29" s="206">
        <v>26562.518317206501</v>
      </c>
      <c r="F29" s="206">
        <v>29031.454558404948</v>
      </c>
      <c r="G29" s="206">
        <v>31072.835353077884</v>
      </c>
      <c r="H29" s="206">
        <v>32686.660701225308</v>
      </c>
      <c r="I29" s="206">
        <v>33872.930602847206</v>
      </c>
      <c r="J29" s="206">
        <v>34631.645057943591</v>
      </c>
      <c r="K29" s="206">
        <v>34962.804066514451</v>
      </c>
      <c r="L29" s="206">
        <v>34866.407628559828</v>
      </c>
      <c r="M29" s="206">
        <v>34342.455744079634</v>
      </c>
      <c r="N29" s="206">
        <v>33390.948413073958</v>
      </c>
    </row>
    <row r="30" spans="1:29" x14ac:dyDescent="0.3">
      <c r="C30" s="105">
        <f>C26*(1-4*D15)</f>
        <v>72</v>
      </c>
      <c r="D30" s="206">
        <v>22635.661629726645</v>
      </c>
      <c r="E30" s="206">
        <v>25532.153317450618</v>
      </c>
      <c r="F30" s="206">
        <v>28001.089558649081</v>
      </c>
      <c r="G30" s="206">
        <v>30042.470353321987</v>
      </c>
      <c r="H30" s="206">
        <v>31656.29570146944</v>
      </c>
      <c r="I30" s="206">
        <v>32842.565603091323</v>
      </c>
      <c r="J30" s="206">
        <v>33601.280058187695</v>
      </c>
      <c r="K30" s="206">
        <v>33932.439066758583</v>
      </c>
      <c r="L30" s="206">
        <v>33836.042628803931</v>
      </c>
      <c r="M30" s="206">
        <v>33312.090744323752</v>
      </c>
      <c r="N30" s="206">
        <v>32360.583413318091</v>
      </c>
    </row>
    <row r="31" spans="1:29" x14ac:dyDescent="0.3">
      <c r="B31" s="56"/>
      <c r="C31" s="105">
        <f>C26*(1-5*D15)</f>
        <v>67.5</v>
      </c>
      <c r="D31" s="206">
        <v>20975.923866284982</v>
      </c>
      <c r="E31" s="206">
        <v>23872.415554008941</v>
      </c>
      <c r="F31" s="206">
        <v>26341.351795207389</v>
      </c>
      <c r="G31" s="206">
        <v>28382.732589880339</v>
      </c>
      <c r="H31" s="206">
        <v>29996.557938027749</v>
      </c>
      <c r="I31" s="206">
        <v>31182.827839649632</v>
      </c>
      <c r="J31" s="206">
        <v>31941.542294746017</v>
      </c>
      <c r="K31" s="206">
        <v>32272.701303316891</v>
      </c>
      <c r="L31" s="206">
        <v>32176.304865362239</v>
      </c>
      <c r="M31" s="206">
        <v>31652.352980882104</v>
      </c>
      <c r="N31" s="206">
        <v>30700.845649876428</v>
      </c>
    </row>
    <row r="32" spans="1:29" x14ac:dyDescent="0.3">
      <c r="D32" s="58"/>
      <c r="E32" s="539"/>
      <c r="F32" s="539"/>
    </row>
    <row r="33" spans="2:16" x14ac:dyDescent="0.3">
      <c r="D33" s="58"/>
      <c r="E33" s="50"/>
      <c r="F33" s="50"/>
    </row>
    <row r="34" spans="2:16" x14ac:dyDescent="0.3">
      <c r="C34" s="30" t="s">
        <v>278</v>
      </c>
      <c r="D34" s="58"/>
      <c r="E34" s="50"/>
      <c r="F34" s="50"/>
    </row>
    <row r="35" spans="2:16" x14ac:dyDescent="0.3">
      <c r="C35" s="48" t="s">
        <v>306</v>
      </c>
      <c r="D35" s="58"/>
      <c r="E35" s="50"/>
      <c r="F35" s="50"/>
    </row>
    <row r="36" spans="2:16" x14ac:dyDescent="0.3">
      <c r="C36" s="55" t="s">
        <v>310</v>
      </c>
      <c r="D36" s="54"/>
      <c r="E36" s="54"/>
      <c r="F36" s="54"/>
      <c r="G36" s="54"/>
      <c r="H36" s="54"/>
      <c r="I36" s="54"/>
      <c r="J36" s="54"/>
      <c r="K36" s="54"/>
      <c r="L36" s="54"/>
      <c r="M36" s="54"/>
      <c r="N36" s="54"/>
      <c r="O36" s="54"/>
    </row>
    <row r="37" spans="2:16" x14ac:dyDescent="0.3">
      <c r="B37" s="56"/>
      <c r="D37" s="54"/>
      <c r="E37" s="54"/>
      <c r="F37" s="54"/>
      <c r="G37" s="54"/>
      <c r="H37" s="54"/>
      <c r="I37" s="54"/>
      <c r="J37" s="54"/>
      <c r="K37" s="54"/>
      <c r="L37" s="54"/>
      <c r="M37" s="54"/>
      <c r="N37" s="54"/>
      <c r="O37" s="54"/>
    </row>
    <row r="38" spans="2:16" x14ac:dyDescent="0.3">
      <c r="D38" s="54"/>
      <c r="E38" s="51"/>
      <c r="F38" s="54"/>
      <c r="G38" s="54"/>
      <c r="H38" s="54"/>
      <c r="I38" s="54"/>
      <c r="J38" s="54"/>
      <c r="K38" s="54"/>
      <c r="L38" s="54"/>
      <c r="M38" s="54"/>
      <c r="N38" s="54"/>
      <c r="O38" s="54"/>
    </row>
    <row r="39" spans="2:16" x14ac:dyDescent="0.3">
      <c r="P39" s="55"/>
    </row>
    <row r="55" spans="4:6" x14ac:dyDescent="0.3">
      <c r="D55" s="58"/>
      <c r="E55" s="539"/>
      <c r="F55" s="539"/>
    </row>
  </sheetData>
  <sheetProtection algorithmName="SHA-512" hashValue="fNSTsXfFErl1WKWBMN6wNq0cmXT+A7Lkxo0HFkwuVeYH1qOeqo+/95TIVkrNmlv0II9vJqlBu+ivjw3ceTEaGw==" saltValue="n4R4OnzsYBStEBxS+bqr7Q==" spinCount="100000" sheet="1" objects="1" scenarios="1"/>
  <mergeCells count="3">
    <mergeCell ref="H11:I11"/>
    <mergeCell ref="E32:F32"/>
    <mergeCell ref="E55:F55"/>
  </mergeCells>
  <conditionalFormatting sqref="D20:N20">
    <cfRule type="cellIs" dxfId="21" priority="17" stopIfTrue="1" operator="equal">
      <formula>$E$13</formula>
    </cfRule>
  </conditionalFormatting>
  <conditionalFormatting sqref="C21:C31">
    <cfRule type="cellIs" dxfId="20" priority="3" stopIfTrue="1" operator="equal">
      <formula>$G$13</formula>
    </cfRule>
  </conditionalFormatting>
  <conditionalFormatting sqref="D21:N31">
    <cfRule type="colorScale" priority="1">
      <colorScale>
        <cfvo type="min"/>
        <cfvo type="percentile" val="50"/>
        <cfvo type="max"/>
        <color rgb="FFF8696B"/>
        <color rgb="FFFFEB84"/>
        <color rgb="FF63BE7B"/>
      </colorScale>
    </cfRule>
  </conditionalFormatting>
  <dataValidations count="3">
    <dataValidation type="list" errorStyle="information" allowBlank="1" showInputMessage="1" showErrorMessage="1" sqref="E13:E18" xr:uid="{4E43F223-39A0-4965-B9C4-EC5DA47A91AD}">
      <formula1>#REF!</formula1>
    </dataValidation>
    <dataValidation type="list" allowBlank="1" showInputMessage="1" showErrorMessage="1" sqref="H13" xr:uid="{20087F66-BC3A-49CF-AF0E-CB1F58E54A3A}">
      <formula1>$D$20:$N$20</formula1>
    </dataValidation>
    <dataValidation type="list" allowBlank="1" showInputMessage="1" showErrorMessage="1" sqref="H14" xr:uid="{D9CDA084-FB61-4724-BCA2-0D8AFCE34564}">
      <formula1>$C$21:$C$31</formula1>
    </dataValidation>
  </dataValidations>
  <pageMargins left="0.74803149606299213" right="0.74803149606299213" top="0.74803149606299213" bottom="0.74803149606299213" header="0.31496062992125984" footer="0.31496062992125984"/>
  <pageSetup paperSize="9" orientation="portrait"/>
  <headerFooter alignWithMargins="0">
    <oddFooter>&amp;L&amp;"-,Regular"LeongTY&amp;R&amp;"-,Regular"&amp;F/&amp;A</oddFooter>
  </headerFooter>
  <colBreaks count="1" manualBreakCount="1">
    <brk id="16" max="1048575" man="1"/>
  </colBreaks>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BBCA5-BC9D-46FE-8E39-9FB1B45E6A26}">
  <sheetPr codeName="Sheet11">
    <tabColor rgb="FF7030A0"/>
  </sheetPr>
  <dimension ref="A1:AB33"/>
  <sheetViews>
    <sheetView showGridLines="0" topLeftCell="J19" zoomScale="57" zoomScaleNormal="55" workbookViewId="0">
      <selection activeCell="I7" sqref="I7"/>
    </sheetView>
  </sheetViews>
  <sheetFormatPr defaultRowHeight="15.5" x14ac:dyDescent="0.35"/>
  <cols>
    <col min="1" max="1" width="16.58203125" bestFit="1" customWidth="1"/>
    <col min="2" max="2" width="10.83203125" bestFit="1" customWidth="1"/>
    <col min="3" max="3" width="22.33203125" bestFit="1" customWidth="1"/>
    <col min="4" max="4" width="10.5" bestFit="1" customWidth="1"/>
    <col min="5" max="5" width="9.83203125" bestFit="1" customWidth="1"/>
    <col min="6" max="6" width="10.33203125" bestFit="1" customWidth="1"/>
    <col min="7" max="7" width="23.33203125" bestFit="1" customWidth="1"/>
    <col min="8" max="9" width="9.83203125" bestFit="1" customWidth="1"/>
    <col min="10" max="10" width="23.5" bestFit="1" customWidth="1"/>
    <col min="11" max="13" width="11.75" bestFit="1" customWidth="1"/>
    <col min="14" max="14" width="16" bestFit="1" customWidth="1"/>
    <col min="15" max="15" width="18.5" bestFit="1" customWidth="1"/>
    <col min="16" max="16" width="12.33203125" customWidth="1"/>
    <col min="17" max="17" width="13.33203125" bestFit="1" customWidth="1"/>
    <col min="18" max="28" width="11.75" bestFit="1" customWidth="1"/>
  </cols>
  <sheetData>
    <row r="1" spans="1:18" x14ac:dyDescent="0.35">
      <c r="A1" s="69" t="s">
        <v>50</v>
      </c>
      <c r="B1" s="49" t="s">
        <v>829</v>
      </c>
    </row>
    <row r="3" spans="1:18" x14ac:dyDescent="0.35">
      <c r="C3" s="30" t="s">
        <v>101</v>
      </c>
      <c r="F3" s="48"/>
      <c r="G3" s="30" t="s">
        <v>321</v>
      </c>
      <c r="H3" s="48"/>
      <c r="I3" s="48"/>
      <c r="J3" s="48"/>
      <c r="K3" s="48"/>
      <c r="L3" s="48"/>
      <c r="M3" s="48"/>
      <c r="N3" s="48"/>
      <c r="O3" s="3"/>
      <c r="P3" s="48"/>
      <c r="Q3" s="48"/>
      <c r="R3" s="48"/>
    </row>
    <row r="4" spans="1:18" x14ac:dyDescent="0.35">
      <c r="C4" s="202" t="s">
        <v>117</v>
      </c>
      <c r="D4" s="198" t="s">
        <v>130</v>
      </c>
      <c r="F4" s="222" t="s">
        <v>127</v>
      </c>
      <c r="G4" s="203" t="s">
        <v>117</v>
      </c>
      <c r="H4" s="203" t="s">
        <v>52</v>
      </c>
      <c r="I4" s="203" t="s">
        <v>42</v>
      </c>
      <c r="J4" s="203" t="s">
        <v>120</v>
      </c>
      <c r="K4" s="203" t="s">
        <v>121</v>
      </c>
      <c r="L4" s="203" t="s">
        <v>123</v>
      </c>
      <c r="M4" s="203" t="s">
        <v>37</v>
      </c>
      <c r="N4" s="203" t="s">
        <v>119</v>
      </c>
      <c r="O4" s="203" t="s">
        <v>1</v>
      </c>
      <c r="P4" s="203" t="s">
        <v>45</v>
      </c>
      <c r="Q4" s="249" t="s">
        <v>824</v>
      </c>
      <c r="R4" s="100"/>
    </row>
    <row r="5" spans="1:18" x14ac:dyDescent="0.35">
      <c r="C5" s="202" t="s">
        <v>116</v>
      </c>
      <c r="D5" s="201">
        <f>'Trade-off Analysis'!D5</f>
        <v>-1.7812583698934152</v>
      </c>
      <c r="F5" s="59"/>
      <c r="G5" s="202" t="s">
        <v>116</v>
      </c>
      <c r="H5" s="188">
        <f>'Trade-off Analysis'!H4</f>
        <v>63</v>
      </c>
      <c r="I5" s="201">
        <f>'Trade-off Analysis'!I4</f>
        <v>762</v>
      </c>
      <c r="J5" s="201">
        <f>'Trade-off Analysis'!J4</f>
        <v>66461.09</v>
      </c>
      <c r="K5" s="188">
        <f>'Trade-off Analysis'!K4</f>
        <v>0.294738</v>
      </c>
      <c r="L5" s="188">
        <f>'Trade-off Analysis'!L4</f>
        <v>4.46</v>
      </c>
      <c r="M5" s="201">
        <f>'Trade-off Analysis'!M4</f>
        <v>30</v>
      </c>
      <c r="N5" s="201">
        <f>'Trade-off Analysis'!N4</f>
        <v>22860</v>
      </c>
      <c r="O5" s="201">
        <f>'Trade-off Analysis'!O4</f>
        <v>48006</v>
      </c>
      <c r="P5" s="201">
        <f>'Trade-off Analysis'!P4</f>
        <v>10136.230680000001</v>
      </c>
      <c r="Q5" s="179"/>
      <c r="R5" s="100"/>
    </row>
    <row r="6" spans="1:18" x14ac:dyDescent="0.35">
      <c r="C6" s="202" t="s">
        <v>118</v>
      </c>
      <c r="D6" s="201">
        <f>'Trade-off Analysis'!D6</f>
        <v>-1.6911803404159702</v>
      </c>
      <c r="F6" s="59"/>
      <c r="G6" s="202" t="s">
        <v>118</v>
      </c>
      <c r="H6" s="188">
        <f>'Trade-off Analysis'!H5</f>
        <v>90</v>
      </c>
      <c r="I6" s="201">
        <f>'Trade-off Analysis'!I5</f>
        <v>827</v>
      </c>
      <c r="J6" s="178"/>
      <c r="K6" s="188">
        <f>'Trade-off Analysis'!K5</f>
        <v>0.294738</v>
      </c>
      <c r="L6" s="188">
        <f>'Trade-off Analysis'!L5</f>
        <v>5.28</v>
      </c>
      <c r="M6" s="201">
        <f>'Trade-off Analysis'!M5</f>
        <v>50</v>
      </c>
      <c r="N6" s="201">
        <f>'Trade-off Analysis'!N5</f>
        <v>41350</v>
      </c>
      <c r="O6" s="201">
        <f>'Trade-off Analysis'!O5</f>
        <v>74430</v>
      </c>
      <c r="P6" s="201">
        <f>'Trade-off Analysis'!P5</f>
        <v>16553.976300000002</v>
      </c>
      <c r="Q6" s="179"/>
      <c r="R6" s="100"/>
    </row>
    <row r="7" spans="1:18" x14ac:dyDescent="0.35">
      <c r="F7" s="59"/>
      <c r="G7" s="202" t="s">
        <v>91</v>
      </c>
      <c r="H7" s="188">
        <f>'Trade-off Analysis'!H6</f>
        <v>18</v>
      </c>
      <c r="I7" s="201">
        <f>'Trade-off Analysis'!I6</f>
        <v>295</v>
      </c>
      <c r="J7" s="178"/>
      <c r="K7" s="188">
        <f>'Trade-off Analysis'!K6</f>
        <v>2.5891999999999998E-2</v>
      </c>
      <c r="L7" s="188">
        <f>'Trade-off Analysis'!L6</f>
        <v>2.1800000000000002</v>
      </c>
      <c r="M7" s="201">
        <f>'Trade-off Analysis'!M6</f>
        <v>100</v>
      </c>
      <c r="N7" s="201">
        <f>'Trade-off Analysis'!N6</f>
        <v>29500</v>
      </c>
      <c r="O7" s="201">
        <f>'Trade-off Analysis'!O6</f>
        <v>5310</v>
      </c>
      <c r="P7" s="201">
        <f>'Trade-off Analysis'!P6</f>
        <v>1406.914</v>
      </c>
      <c r="Q7" s="179"/>
      <c r="R7" s="100"/>
    </row>
    <row r="8" spans="1:18" x14ac:dyDescent="0.35">
      <c r="F8" s="59"/>
      <c r="G8" s="47"/>
      <c r="H8" s="100"/>
      <c r="I8" s="99"/>
      <c r="J8" s="178"/>
      <c r="K8" s="63"/>
      <c r="L8" s="63"/>
      <c r="M8" s="63"/>
      <c r="N8" s="62"/>
      <c r="O8" s="79"/>
      <c r="P8" s="64"/>
      <c r="Q8" s="64"/>
      <c r="R8" s="65"/>
    </row>
    <row r="9" spans="1:18" x14ac:dyDescent="0.35">
      <c r="F9" s="47"/>
      <c r="G9" s="43"/>
      <c r="H9" s="59"/>
      <c r="I9" s="100"/>
      <c r="J9" s="178"/>
      <c r="K9" s="63"/>
      <c r="L9" s="63"/>
      <c r="M9" s="63"/>
      <c r="N9" s="218"/>
      <c r="O9" s="193" t="s">
        <v>46</v>
      </c>
      <c r="P9" s="214" t="s">
        <v>43</v>
      </c>
      <c r="Q9" s="215" t="s">
        <v>44</v>
      </c>
      <c r="R9" s="203" t="s">
        <v>47</v>
      </c>
    </row>
    <row r="10" spans="1:18" x14ac:dyDescent="0.35">
      <c r="F10" s="47"/>
      <c r="G10" s="43"/>
      <c r="H10" s="110"/>
      <c r="I10" s="62"/>
      <c r="J10" s="178"/>
      <c r="K10" s="48"/>
      <c r="L10" s="63"/>
      <c r="M10" s="63"/>
      <c r="N10" s="193" t="s">
        <v>17</v>
      </c>
      <c r="O10" s="188">
        <f>SUM(O5:O7)</f>
        <v>127746</v>
      </c>
      <c r="P10" s="188">
        <f>SUM(P5:P7,J5)</f>
        <v>94558.210980000003</v>
      </c>
      <c r="Q10" s="188">
        <f>O10-P10</f>
        <v>33187.789019999997</v>
      </c>
      <c r="R10" s="189">
        <f>Q10/O10</f>
        <v>0.25979513268517213</v>
      </c>
    </row>
    <row r="12" spans="1:18" x14ac:dyDescent="0.35">
      <c r="G12" s="30" t="s">
        <v>322</v>
      </c>
    </row>
    <row r="13" spans="1:18" x14ac:dyDescent="0.35">
      <c r="G13" s="203" t="s">
        <v>117</v>
      </c>
      <c r="H13" s="203" t="s">
        <v>52</v>
      </c>
      <c r="I13" s="203" t="s">
        <v>42</v>
      </c>
      <c r="J13" s="203" t="s">
        <v>120</v>
      </c>
      <c r="K13" s="203" t="s">
        <v>121</v>
      </c>
      <c r="L13" s="203" t="s">
        <v>123</v>
      </c>
      <c r="M13" s="203" t="s">
        <v>37</v>
      </c>
      <c r="N13" s="203" t="s">
        <v>119</v>
      </c>
      <c r="O13" s="203" t="s">
        <v>1</v>
      </c>
      <c r="P13" s="203" t="s">
        <v>45</v>
      </c>
      <c r="Q13" s="407" t="s">
        <v>23</v>
      </c>
    </row>
    <row r="14" spans="1:18" x14ac:dyDescent="0.35">
      <c r="G14" s="202" t="s">
        <v>116</v>
      </c>
      <c r="H14" s="208">
        <v>50.400000000000006</v>
      </c>
      <c r="I14" s="211">
        <f>I5+(I5*D$5)*(H14/H5-1)</f>
        <v>1033.4637755717563</v>
      </c>
      <c r="J14" s="212">
        <f>'Trade-off Analysis'!J13</f>
        <v>66461.09</v>
      </c>
      <c r="K14" s="212">
        <f>'Trade-off Analysis'!K13</f>
        <v>0.294738</v>
      </c>
      <c r="L14" s="212">
        <f>'Trade-off Analysis'!L13</f>
        <v>4.46</v>
      </c>
      <c r="M14" s="412">
        <f>'Trade-off Analysis'!M13</f>
        <v>30</v>
      </c>
      <c r="N14" s="211">
        <f>M14*I14</f>
        <v>31003.91326715269</v>
      </c>
      <c r="O14" s="188">
        <f>H14*I14</f>
        <v>52086.574288816526</v>
      </c>
      <c r="P14" s="188">
        <f>K14*N14+L14*I14</f>
        <v>13747.279827584083</v>
      </c>
      <c r="Q14" s="212">
        <f>O14-P14</f>
        <v>38339.294461232443</v>
      </c>
    </row>
    <row r="15" spans="1:18" x14ac:dyDescent="0.35">
      <c r="G15" s="202" t="s">
        <v>118</v>
      </c>
      <c r="H15" s="208">
        <v>81</v>
      </c>
      <c r="I15" s="211">
        <f>I6+(I6*D$6)*(H15/H6-1)</f>
        <v>966.86061415240067</v>
      </c>
      <c r="J15" s="107"/>
      <c r="K15" s="209">
        <v>0.294738</v>
      </c>
      <c r="L15" s="209">
        <v>5.28</v>
      </c>
      <c r="M15" s="210">
        <v>50</v>
      </c>
      <c r="N15" s="211">
        <f>M15*I15</f>
        <v>48343.030707620033</v>
      </c>
      <c r="O15" s="188">
        <f>H15*I15</f>
        <v>78315.709746344452</v>
      </c>
      <c r="P15" s="188">
        <f>K15*N15+L15*I15</f>
        <v>19353.552227427186</v>
      </c>
      <c r="Q15" s="212">
        <f t="shared" ref="Q15:Q16" si="0">O15-P15</f>
        <v>58962.157518917265</v>
      </c>
    </row>
    <row r="16" spans="1:18" x14ac:dyDescent="0.35">
      <c r="G16" s="202" t="s">
        <v>91</v>
      </c>
      <c r="H16" s="188">
        <v>18</v>
      </c>
      <c r="I16" s="211">
        <f>I7+(I7*D$5)*(H16/H7-1)</f>
        <v>295</v>
      </c>
      <c r="J16" s="107"/>
      <c r="K16" s="209">
        <v>2.5891999999999998E-2</v>
      </c>
      <c r="L16" s="209">
        <v>2.1800000000000002</v>
      </c>
      <c r="M16" s="210">
        <v>100</v>
      </c>
      <c r="N16" s="211">
        <f>M16*I16</f>
        <v>29500</v>
      </c>
      <c r="O16" s="188">
        <f>H16*I16</f>
        <v>5310</v>
      </c>
      <c r="P16" s="188">
        <f>K16*N16+L16*I16</f>
        <v>1406.914</v>
      </c>
      <c r="Q16" s="212">
        <f t="shared" si="0"/>
        <v>3903.0860000000002</v>
      </c>
    </row>
    <row r="17" spans="2:28" x14ac:dyDescent="0.35">
      <c r="F17" s="47"/>
      <c r="G17" s="100"/>
      <c r="H17" s="99"/>
      <c r="I17" s="62"/>
      <c r="J17" s="63"/>
      <c r="K17" s="63"/>
      <c r="L17" s="63"/>
      <c r="M17" s="62"/>
      <c r="N17" s="179"/>
      <c r="O17" s="180"/>
      <c r="P17" s="180"/>
      <c r="Q17" s="65"/>
    </row>
    <row r="18" spans="2:28" x14ac:dyDescent="0.35">
      <c r="C18" s="202" t="s">
        <v>827</v>
      </c>
      <c r="L18" s="63"/>
      <c r="N18" s="218"/>
      <c r="O18" s="213" t="s">
        <v>46</v>
      </c>
      <c r="P18" s="216" t="s">
        <v>43</v>
      </c>
      <c r="Q18" s="217" t="s">
        <v>44</v>
      </c>
      <c r="R18" s="203" t="s">
        <v>47</v>
      </c>
    </row>
    <row r="19" spans="2:28" x14ac:dyDescent="0.35">
      <c r="C19" s="523">
        <v>0.05</v>
      </c>
      <c r="L19" s="63"/>
      <c r="N19" s="193" t="s">
        <v>17</v>
      </c>
      <c r="O19" s="188">
        <f>SUM(O14:O16)</f>
        <v>135712.28403516096</v>
      </c>
      <c r="P19" s="188">
        <f>SUM(P14:P16,J14)</f>
        <v>100968.83605501126</v>
      </c>
      <c r="Q19" s="188">
        <f>O19-P19</f>
        <v>34743.447980149707</v>
      </c>
      <c r="R19" s="189">
        <f>Q19/O19</f>
        <v>0.2560081294567868</v>
      </c>
    </row>
    <row r="21" spans="2:28" x14ac:dyDescent="0.35">
      <c r="C21" s="408" t="s">
        <v>830</v>
      </c>
      <c r="Q21" s="408" t="s">
        <v>825</v>
      </c>
      <c r="W21" s="43"/>
      <c r="X21" s="59"/>
      <c r="Y21" s="100"/>
      <c r="Z21" s="62"/>
      <c r="AA21" s="63"/>
      <c r="AB21" s="63"/>
    </row>
    <row r="22" spans="2:28" x14ac:dyDescent="0.35">
      <c r="B22" s="408" t="s">
        <v>831</v>
      </c>
      <c r="C22" s="411">
        <f>Q14</f>
        <v>38339.294461232443</v>
      </c>
      <c r="D22" s="105">
        <f>E22*(100%+$C19)</f>
        <v>-2.2733872155437713</v>
      </c>
      <c r="E22" s="105">
        <f>F22*(100%+$C19)</f>
        <v>-2.1651306814702584</v>
      </c>
      <c r="F22" s="105">
        <f>G22*(100%+$C19)</f>
        <v>-2.0620292204478652</v>
      </c>
      <c r="G22" s="105">
        <f>H22*(100%+$C19)</f>
        <v>-1.9638373528074904</v>
      </c>
      <c r="H22" s="105">
        <f>I22*(100%+$C19)</f>
        <v>-1.870321288388086</v>
      </c>
      <c r="I22" s="105">
        <f>D5</f>
        <v>-1.7812583698934152</v>
      </c>
      <c r="J22" s="105">
        <f>I22*(100%-$C19)</f>
        <v>-1.6921954513987445</v>
      </c>
      <c r="K22" s="105">
        <f>J22*(100%-$C19)</f>
        <v>-1.6075856788288072</v>
      </c>
      <c r="L22" s="105">
        <f>K22*(100%-$C19)</f>
        <v>-1.5272063948873669</v>
      </c>
      <c r="M22" s="105">
        <f>L22*(100%-$C19)</f>
        <v>-1.4508460751429983</v>
      </c>
      <c r="N22" s="105">
        <f>M22*(100%-$C19)</f>
        <v>-1.3783037713858484</v>
      </c>
      <c r="P22" s="408" t="s">
        <v>832</v>
      </c>
      <c r="Q22" s="411">
        <f>Q15</f>
        <v>58962.157518917265</v>
      </c>
      <c r="R22" s="105">
        <f>S22*(100%+$C19)</f>
        <v>-2.1584222873353771</v>
      </c>
      <c r="S22" s="105">
        <f>T22*(100%+$C19)</f>
        <v>-2.0556402736527399</v>
      </c>
      <c r="T22" s="105">
        <f>U22*(100%+$C19)</f>
        <v>-1.9577526415740378</v>
      </c>
      <c r="U22" s="105">
        <f>V22*(100%+$C19)</f>
        <v>-1.8645263253086073</v>
      </c>
      <c r="V22" s="105">
        <f>W22*(100%+$C19)</f>
        <v>-1.7757393574367688</v>
      </c>
      <c r="W22" s="105">
        <f>D6</f>
        <v>-1.6911803404159702</v>
      </c>
      <c r="X22" s="105">
        <f>W22*(100%-$C19)</f>
        <v>-1.6066213233951716</v>
      </c>
      <c r="Y22" s="105">
        <f>X22*(100%-$C19)</f>
        <v>-1.5262902572254129</v>
      </c>
      <c r="Z22" s="105">
        <f>Y22*(100%-$C19)</f>
        <v>-1.4499757443641421</v>
      </c>
      <c r="AA22" s="105">
        <f>Z22*(100%-$C19)</f>
        <v>-1.3774769571459349</v>
      </c>
      <c r="AB22" s="105">
        <f>AA22*(100%-$C19)</f>
        <v>-1.3086031092886381</v>
      </c>
    </row>
    <row r="23" spans="2:28" x14ac:dyDescent="0.35">
      <c r="C23" s="105">
        <v>78.75</v>
      </c>
      <c r="D23" s="409">
        <f t="dataTable" ref="D23:N33" dt2D="1" dtr="1" r1="D5" r2="H14" ca="1"/>
        <v>21527.092796242923</v>
      </c>
      <c r="E23" s="409">
        <v>15418.745604269985</v>
      </c>
      <c r="F23" s="409">
        <v>9988.1665535780503</v>
      </c>
      <c r="G23" s="409">
        <v>5900.1485200197894</v>
      </c>
      <c r="H23" s="409">
        <v>3701.5924800207749</v>
      </c>
      <c r="I23" s="409">
        <v>3701.5924800207749</v>
      </c>
      <c r="J23" s="409">
        <v>6010.076322019745</v>
      </c>
      <c r="K23" s="409">
        <v>10286.542639322819</v>
      </c>
      <c r="L23" s="409">
        <v>15932.314282154408</v>
      </c>
      <c r="M23" s="409">
        <v>22227.778323205785</v>
      </c>
      <c r="N23" s="409">
        <v>28481.262940727771</v>
      </c>
      <c r="P23" s="82"/>
      <c r="Q23" s="105">
        <v>112.5</v>
      </c>
      <c r="R23" s="409">
        <f t="dataTable" ref="R23:AB33" dt2D="1" dtr="1" r1="D6" r2="H15" ca="1"/>
        <v>35212.58815799412</v>
      </c>
      <c r="S23" s="409">
        <v>26318.443605344706</v>
      </c>
      <c r="T23" s="409">
        <v>18411.172855424658</v>
      </c>
      <c r="U23" s="409">
        <v>12458.756893855683</v>
      </c>
      <c r="V23" s="409">
        <v>9257.5185535484597</v>
      </c>
      <c r="W23" s="410">
        <v>9257.5185535484597</v>
      </c>
      <c r="X23" s="409">
        <v>12618.81881087104</v>
      </c>
      <c r="Y23" s="409">
        <v>18845.627537561122</v>
      </c>
      <c r="Z23" s="409">
        <v>27066.232477728972</v>
      </c>
      <c r="AA23" s="409">
        <v>36232.831141390117</v>
      </c>
      <c r="AB23" s="409">
        <v>45338.305076974575</v>
      </c>
    </row>
    <row r="24" spans="2:28" x14ac:dyDescent="0.35">
      <c r="C24" s="105">
        <v>75.599999999999994</v>
      </c>
      <c r="D24" s="409">
        <v>26682.377396251839</v>
      </c>
      <c r="E24" s="409">
        <v>22202.305907984581</v>
      </c>
      <c r="F24" s="409">
        <v>18219.332837665643</v>
      </c>
      <c r="G24" s="409">
        <v>15221.040098226376</v>
      </c>
      <c r="H24" s="409">
        <v>13608.543637137689</v>
      </c>
      <c r="I24" s="409">
        <v>13608.543637137689</v>
      </c>
      <c r="J24" s="409">
        <v>15301.664921280806</v>
      </c>
      <c r="K24" s="409">
        <v>18438.172100155924</v>
      </c>
      <c r="L24" s="409">
        <v>22578.974803636193</v>
      </c>
      <c r="M24" s="409">
        <v>27196.28421145595</v>
      </c>
      <c r="N24" s="409">
        <v>31782.804469193499</v>
      </c>
      <c r="P24" s="82"/>
      <c r="Q24" s="105">
        <v>108</v>
      </c>
      <c r="R24" s="409">
        <v>42509.281452020572</v>
      </c>
      <c r="S24" s="409">
        <v>35989.626417941938</v>
      </c>
      <c r="T24" s="409">
        <v>30193.377296357532</v>
      </c>
      <c r="U24" s="409">
        <v>25830.091039984174</v>
      </c>
      <c r="V24" s="409">
        <v>23483.494406983373</v>
      </c>
      <c r="W24" s="410">
        <v>23483.494406983373</v>
      </c>
      <c r="X24" s="409">
        <v>25947.420871634211</v>
      </c>
      <c r="Y24" s="409">
        <v>30511.844647399881</v>
      </c>
      <c r="Z24" s="409">
        <v>36537.776434776977</v>
      </c>
      <c r="AA24" s="409">
        <v>43257.147900930446</v>
      </c>
      <c r="AB24" s="409">
        <v>49931.713243374907</v>
      </c>
    </row>
    <row r="25" spans="2:28" x14ac:dyDescent="0.35">
      <c r="C25" s="105">
        <v>72.45</v>
      </c>
      <c r="D25" s="409">
        <v>30813.089526972297</v>
      </c>
      <c r="E25" s="409">
        <v>27740.491971701122</v>
      </c>
      <c r="F25" s="409">
        <v>25008.822767175508</v>
      </c>
      <c r="G25" s="409">
        <v>22952.483495511002</v>
      </c>
      <c r="H25" s="409">
        <v>21846.574204286546</v>
      </c>
      <c r="I25" s="409">
        <v>21846.574204286546</v>
      </c>
      <c r="J25" s="409">
        <v>23007.778960072221</v>
      </c>
      <c r="K25" s="409">
        <v>25158.910770165181</v>
      </c>
      <c r="L25" s="409">
        <v>27998.825333335382</v>
      </c>
      <c r="M25" s="409">
        <v>31165.545693836753</v>
      </c>
      <c r="N25" s="409">
        <v>34311.149724494004</v>
      </c>
      <c r="P25" s="82"/>
      <c r="Q25" s="105">
        <v>103.49999999999999</v>
      </c>
      <c r="R25" s="409">
        <v>48304.81497898353</v>
      </c>
      <c r="S25" s="409">
        <v>43836.140151424988</v>
      </c>
      <c r="T25" s="409">
        <v>39863.299194580846</v>
      </c>
      <c r="U25" s="409">
        <v>36872.633682775384</v>
      </c>
      <c r="V25" s="409">
        <v>35264.239181914149</v>
      </c>
      <c r="W25" s="410">
        <v>35264.239181914149</v>
      </c>
      <c r="X25" s="409">
        <v>36953.053407818443</v>
      </c>
      <c r="Y25" s="409">
        <v>40081.581761306144</v>
      </c>
      <c r="Z25" s="409">
        <v>44211.850855312361</v>
      </c>
      <c r="AA25" s="409">
        <v>48817.414488796639</v>
      </c>
      <c r="AB25" s="409">
        <v>53392.267295390171</v>
      </c>
    </row>
    <row r="26" spans="2:28" x14ac:dyDescent="0.35">
      <c r="C26" s="105">
        <v>69.3</v>
      </c>
      <c r="D26" s="409">
        <v>34003.13553127653</v>
      </c>
      <c r="E26" s="409">
        <v>32135.292479595446</v>
      </c>
      <c r="F26" s="409">
        <v>30474.700992626676</v>
      </c>
      <c r="G26" s="409">
        <v>29224.644989070912</v>
      </c>
      <c r="H26" s="409">
        <v>28552.358772524462</v>
      </c>
      <c r="I26" s="409">
        <v>28552.358772524462</v>
      </c>
      <c r="J26" s="409">
        <v>29258.259299898236</v>
      </c>
      <c r="K26" s="409">
        <v>30565.940026858159</v>
      </c>
      <c r="L26" s="409">
        <v>32292.334254792513</v>
      </c>
      <c r="M26" s="409">
        <v>34217.39489666935</v>
      </c>
      <c r="N26" s="409">
        <v>36129.618846051686</v>
      </c>
      <c r="P26" s="82"/>
      <c r="Q26" s="105">
        <v>99.000000000000014</v>
      </c>
      <c r="R26" s="409">
        <v>52722.323370612488</v>
      </c>
      <c r="S26" s="409">
        <v>50007.655720252413</v>
      </c>
      <c r="T26" s="409">
        <v>47594.2013424447</v>
      </c>
      <c r="U26" s="409">
        <v>45777.407050795278</v>
      </c>
      <c r="V26" s="409">
        <v>44800.326218335045</v>
      </c>
      <c r="W26" s="410">
        <v>44800.326218335045</v>
      </c>
      <c r="X26" s="409">
        <v>45826.261092418288</v>
      </c>
      <c r="Y26" s="409">
        <v>47726.805446657512</v>
      </c>
      <c r="Z26" s="409">
        <v>50235.895575040486</v>
      </c>
      <c r="AA26" s="409">
        <v>53033.721572669703</v>
      </c>
      <c r="AB26" s="409">
        <v>55812.891102443624</v>
      </c>
    </row>
    <row r="27" spans="2:28" x14ac:dyDescent="0.35">
      <c r="C27" s="105">
        <v>66.150000000000006</v>
      </c>
      <c r="D27" s="409">
        <v>36330.941653479131</v>
      </c>
      <c r="E27" s="409">
        <v>35482.035021795964</v>
      </c>
      <c r="F27" s="409">
        <v>34727.321115541563</v>
      </c>
      <c r="G27" s="409">
        <v>34159.189424584561</v>
      </c>
      <c r="H27" s="409">
        <v>33853.645429813791</v>
      </c>
      <c r="I27" s="409">
        <v>33853.645429813791</v>
      </c>
      <c r="J27" s="409">
        <v>34174.466624323104</v>
      </c>
      <c r="K27" s="409">
        <v>34768.7878871516</v>
      </c>
      <c r="L27" s="409">
        <v>35553.408151511612</v>
      </c>
      <c r="M27" s="409">
        <v>36428.319319133901</v>
      </c>
      <c r="N27" s="409">
        <v>37297.396402689206</v>
      </c>
      <c r="P27" s="82"/>
      <c r="Q27" s="105">
        <v>94.5</v>
      </c>
      <c r="R27" s="409">
        <v>55876.892690275701</v>
      </c>
      <c r="S27" s="409">
        <v>54644.060953736291</v>
      </c>
      <c r="T27" s="409">
        <v>53548.021388356472</v>
      </c>
      <c r="U27" s="409">
        <v>52722.947401413025</v>
      </c>
      <c r="V27" s="409">
        <v>52279.218586483672</v>
      </c>
      <c r="W27" s="410">
        <v>52279.218586483672</v>
      </c>
      <c r="X27" s="409">
        <v>52745.133842159485</v>
      </c>
      <c r="Y27" s="409">
        <v>53608.24185329894</v>
      </c>
      <c r="Z27" s="409">
        <v>54747.713176684687</v>
      </c>
      <c r="AA27" s="409">
        <v>56018.310217443912</v>
      </c>
      <c r="AB27" s="409">
        <v>57280.434660955099</v>
      </c>
    </row>
    <row r="28" spans="2:28" x14ac:dyDescent="0.35">
      <c r="C28" s="105">
        <v>63</v>
      </c>
      <c r="D28" s="409">
        <v>37869.769319999999</v>
      </c>
      <c r="E28" s="409">
        <v>37869.769319999999</v>
      </c>
      <c r="F28" s="409">
        <v>37869.769319999999</v>
      </c>
      <c r="G28" s="409">
        <v>37869.769319999999</v>
      </c>
      <c r="H28" s="409">
        <v>37869.769319999999</v>
      </c>
      <c r="I28" s="409">
        <v>37869.769319999999</v>
      </c>
      <c r="J28" s="409">
        <v>37869.769319999999</v>
      </c>
      <c r="K28" s="409">
        <v>37869.769319999999</v>
      </c>
      <c r="L28" s="409">
        <v>37869.769319999999</v>
      </c>
      <c r="M28" s="409">
        <v>37869.769319999999</v>
      </c>
      <c r="N28" s="409">
        <v>37869.769319999999</v>
      </c>
      <c r="P28" s="82"/>
      <c r="Q28" s="105">
        <v>90</v>
      </c>
      <c r="R28" s="409">
        <v>57876.023699999998</v>
      </c>
      <c r="S28" s="409">
        <v>57876.023699999998</v>
      </c>
      <c r="T28" s="409">
        <v>57876.023699999998</v>
      </c>
      <c r="U28" s="409">
        <v>57876.023699999998</v>
      </c>
      <c r="V28" s="409">
        <v>57876.023699999998</v>
      </c>
      <c r="W28" s="410">
        <v>57876.023699999998</v>
      </c>
      <c r="X28" s="409">
        <v>57876.023699999998</v>
      </c>
      <c r="Y28" s="409">
        <v>57876.023699999998</v>
      </c>
      <c r="Z28" s="409">
        <v>57876.023699999998</v>
      </c>
      <c r="AA28" s="409">
        <v>57876.023699999998</v>
      </c>
      <c r="AB28" s="409">
        <v>57876.023699999998</v>
      </c>
    </row>
    <row r="29" spans="2:28" x14ac:dyDescent="0.35">
      <c r="C29" s="105">
        <v>59.85</v>
      </c>
      <c r="D29" s="409">
        <v>38688.013691708999</v>
      </c>
      <c r="E29" s="409">
        <v>39381.630119714609</v>
      </c>
      <c r="F29" s="409">
        <v>39998.284465769626</v>
      </c>
      <c r="G29" s="409">
        <v>40462.488018211006</v>
      </c>
      <c r="H29" s="409">
        <v>40712.138953121561</v>
      </c>
      <c r="I29" s="409">
        <v>40712.138953121561</v>
      </c>
      <c r="J29" s="409">
        <v>40450.005471465483</v>
      </c>
      <c r="K29" s="409">
        <v>39964.403196697604</v>
      </c>
      <c r="L29" s="409">
        <v>39323.313252533611</v>
      </c>
      <c r="M29" s="409">
        <v>38608.449289573204</v>
      </c>
      <c r="N29" s="409">
        <v>37898.352183650073</v>
      </c>
      <c r="P29" s="82"/>
      <c r="Q29" s="105">
        <v>85.5</v>
      </c>
      <c r="R29" s="409">
        <v>58820.070539638866</v>
      </c>
      <c r="S29" s="409">
        <v>59825.52504324881</v>
      </c>
      <c r="T29" s="409">
        <v>60719.416629978405</v>
      </c>
      <c r="U29" s="409">
        <v>61392.318155301196</v>
      </c>
      <c r="V29" s="409">
        <v>61754.207878066256</v>
      </c>
      <c r="W29" s="410">
        <v>61754.207878066256</v>
      </c>
      <c r="X29" s="409">
        <v>61374.22366916293</v>
      </c>
      <c r="Y29" s="409">
        <v>60670.302922169547</v>
      </c>
      <c r="Z29" s="409">
        <v>59740.989910607612</v>
      </c>
      <c r="AA29" s="409">
        <v>58704.735343953726</v>
      </c>
      <c r="AB29" s="409">
        <v>57675.390731681924</v>
      </c>
    </row>
    <row r="30" spans="2:28" x14ac:dyDescent="0.35">
      <c r="C30" s="105">
        <v>56.7</v>
      </c>
      <c r="D30" s="409">
        <v>38849.48632711167</v>
      </c>
      <c r="E30" s="409">
        <v>40095.180769125538</v>
      </c>
      <c r="F30" s="409">
        <v>41202.655823793946</v>
      </c>
      <c r="G30" s="409">
        <v>42036.338190432827</v>
      </c>
      <c r="H30" s="409">
        <v>42484.696633954474</v>
      </c>
      <c r="I30" s="409">
        <v>42484.696633954474</v>
      </c>
      <c r="J30" s="409">
        <v>42013.920268256756</v>
      </c>
      <c r="K30" s="409">
        <v>41141.807050801712</v>
      </c>
      <c r="L30" s="409">
        <v>39990.447094446121</v>
      </c>
      <c r="M30" s="409">
        <v>38706.593325272457</v>
      </c>
      <c r="N30" s="409">
        <v>37431.300551884728</v>
      </c>
      <c r="P30" s="82"/>
      <c r="Q30" s="105">
        <v>81</v>
      </c>
      <c r="R30" s="409">
        <v>58802.656051883154</v>
      </c>
      <c r="S30" s="409">
        <v>60606.364133916191</v>
      </c>
      <c r="T30" s="409">
        <v>62209.936919812229</v>
      </c>
      <c r="U30" s="409">
        <v>63417.070524842988</v>
      </c>
      <c r="V30" s="409">
        <v>64066.272866085128</v>
      </c>
      <c r="W30" s="410">
        <v>64066.272866085128</v>
      </c>
      <c r="X30" s="409">
        <v>63384.610407780885</v>
      </c>
      <c r="Y30" s="409">
        <v>62121.830703772241</v>
      </c>
      <c r="Z30" s="409">
        <v>60454.714604859226</v>
      </c>
      <c r="AA30" s="409">
        <v>58595.753577575982</v>
      </c>
      <c r="AB30" s="409">
        <v>56749.188477230004</v>
      </c>
    </row>
    <row r="31" spans="2:28" x14ac:dyDescent="0.35">
      <c r="C31" s="105">
        <v>53.55</v>
      </c>
      <c r="D31" s="409">
        <v>38413.682755136266</v>
      </c>
      <c r="E31" s="409">
        <v>40082.738455492101</v>
      </c>
      <c r="F31" s="409">
        <v>41566.599577974055</v>
      </c>
      <c r="G31" s="409">
        <v>42683.616929416385</v>
      </c>
      <c r="H31" s="409">
        <v>43284.354309887211</v>
      </c>
      <c r="I31" s="409">
        <v>43284.354309887211</v>
      </c>
      <c r="J31" s="409">
        <v>42653.580060392851</v>
      </c>
      <c r="K31" s="409">
        <v>41485.070763204545</v>
      </c>
      <c r="L31" s="409">
        <v>39942.410032367494</v>
      </c>
      <c r="M31" s="409">
        <v>38222.226189852772</v>
      </c>
      <c r="N31" s="409">
        <v>36513.512880026748</v>
      </c>
      <c r="P31" s="82"/>
      <c r="Q31" s="105">
        <v>76.5</v>
      </c>
      <c r="R31" s="409">
        <v>57911.064927406886</v>
      </c>
      <c r="S31" s="409">
        <v>60324.636059045748</v>
      </c>
      <c r="T31" s="409">
        <v>62470.402894640327</v>
      </c>
      <c r="U31" s="409">
        <v>64085.688012090955</v>
      </c>
      <c r="V31" s="409">
        <v>64954.396227695514</v>
      </c>
      <c r="W31" s="410">
        <v>64954.396227695514</v>
      </c>
      <c r="X31" s="409">
        <v>64042.252601310742</v>
      </c>
      <c r="Y31" s="409">
        <v>62352.506533432934</v>
      </c>
      <c r="Z31" s="409">
        <v>60121.711356814558</v>
      </c>
      <c r="AA31" s="409">
        <v>57634.205360148306</v>
      </c>
      <c r="AB31" s="409">
        <v>55163.286555003622</v>
      </c>
    </row>
    <row r="32" spans="2:28" x14ac:dyDescent="0.35">
      <c r="C32" s="105">
        <v>50.4</v>
      </c>
      <c r="D32" s="409">
        <v>37436.035717768922</v>
      </c>
      <c r="E32" s="409">
        <v>39411.682023153116</v>
      </c>
      <c r="F32" s="409">
        <v>41168.115162987626</v>
      </c>
      <c r="G32" s="409">
        <v>42490.318611893861</v>
      </c>
      <c r="H32" s="409">
        <v>43201.406076488551</v>
      </c>
      <c r="I32" s="409">
        <v>43201.406076488551</v>
      </c>
      <c r="J32" s="409">
        <v>42454.764238664124</v>
      </c>
      <c r="K32" s="409">
        <v>41071.610234094376</v>
      </c>
      <c r="L32" s="409">
        <v>39245.576523721669</v>
      </c>
      <c r="M32" s="409">
        <v>37209.410293726316</v>
      </c>
      <c r="N32" s="409">
        <v>35186.821630688362</v>
      </c>
      <c r="P32" s="82"/>
      <c r="Q32" s="105">
        <v>72</v>
      </c>
      <c r="R32" s="409">
        <v>56226.615787810792</v>
      </c>
      <c r="S32" s="409">
        <v>59079.184111434559</v>
      </c>
      <c r="T32" s="409">
        <v>61615.238021286947</v>
      </c>
      <c r="U32" s="409">
        <v>63524.322489218852</v>
      </c>
      <c r="V32" s="409">
        <v>64551.037428679796</v>
      </c>
      <c r="W32" s="410">
        <v>64551.037428679796</v>
      </c>
      <c r="X32" s="409">
        <v>63472.986742245805</v>
      </c>
      <c r="Y32" s="409">
        <v>61475.897845626823</v>
      </c>
      <c r="Z32" s="409">
        <v>58839.3500456068</v>
      </c>
      <c r="AA32" s="409">
        <v>55899.399066786405</v>
      </c>
      <c r="AB32" s="409">
        <v>52979.052273851383</v>
      </c>
    </row>
    <row r="33" spans="3:28" x14ac:dyDescent="0.35">
      <c r="C33" s="105">
        <v>47.25</v>
      </c>
      <c r="D33" s="409">
        <v>35968.154806068924</v>
      </c>
      <c r="E33" s="409">
        <v>38144.74325260106</v>
      </c>
      <c r="F33" s="409">
        <v>40079.82245622731</v>
      </c>
      <c r="G33" s="409">
        <v>41536.506652690608</v>
      </c>
      <c r="H33" s="409">
        <v>42319.918519325147</v>
      </c>
      <c r="I33" s="409">
        <v>42319.918519325147</v>
      </c>
      <c r="J33" s="409">
        <v>41497.336059358888</v>
      </c>
      <c r="K33" s="409">
        <v>39973.502052271397</v>
      </c>
      <c r="L33" s="409">
        <v>37961.743233831192</v>
      </c>
      <c r="M33" s="409">
        <v>35718.479407027466</v>
      </c>
      <c r="N33" s="409">
        <v>33490.174115712063</v>
      </c>
      <c r="P33" s="82"/>
      <c r="Q33" s="105">
        <v>67.5</v>
      </c>
      <c r="R33" s="409">
        <v>53825.013270041636</v>
      </c>
      <c r="S33" s="409">
        <v>56962.027750445435</v>
      </c>
      <c r="T33" s="409">
        <v>59750.966326396891</v>
      </c>
      <c r="U33" s="409">
        <v>61850.416695602587</v>
      </c>
      <c r="V33" s="409">
        <v>62979.511345382707</v>
      </c>
      <c r="W33" s="410">
        <v>62979.511345382707</v>
      </c>
      <c r="X33" s="409">
        <v>61793.961963113565</v>
      </c>
      <c r="Y33" s="409">
        <v>59597.731732460001</v>
      </c>
      <c r="Z33" s="409">
        <v>56698.278436830398</v>
      </c>
      <c r="AA33" s="409">
        <v>53465.167869115459</v>
      </c>
      <c r="AB33" s="409">
        <v>50253.61633453206</v>
      </c>
    </row>
  </sheetData>
  <sheetProtection algorithmName="SHA-512" hashValue="86Ihzn37aaK1PxT9SMpfyTw9/9HEG4lFtYGUMP0JFfL7GFmNd4YEJA3DPj6Qr8Jh0yRvpUCB0tSu90Oe2SUy9A==" saltValue="CzEDQ+o2LdPi4275PhATWw==" spinCount="100000" sheet="1" objects="1" scenarios="1"/>
  <conditionalFormatting sqref="R22:V22 C23:C33 D22:N22">
    <cfRule type="cellIs" dxfId="19" priority="8" stopIfTrue="1" operator="equal">
      <formula>$S$26</formula>
    </cfRule>
  </conditionalFormatting>
  <conditionalFormatting sqref="Q23:Q33">
    <cfRule type="cellIs" dxfId="18" priority="7" stopIfTrue="1" operator="equal">
      <formula>$S$26</formula>
    </cfRule>
  </conditionalFormatting>
  <conditionalFormatting sqref="W22:AB22">
    <cfRule type="cellIs" dxfId="17" priority="6" stopIfTrue="1" operator="equal">
      <formula>$S$26</formula>
    </cfRule>
  </conditionalFormatting>
  <conditionalFormatting sqref="D23:N33">
    <cfRule type="colorScale" priority="2">
      <colorScale>
        <cfvo type="min"/>
        <cfvo type="percentile" val="50"/>
        <cfvo type="max"/>
        <color rgb="FFF8696B"/>
        <color rgb="FFFFEB84"/>
        <color rgb="FF63BE7B"/>
      </colorScale>
    </cfRule>
  </conditionalFormatting>
  <conditionalFormatting sqref="R23:AB33">
    <cfRule type="colorScale" priority="1">
      <colorScale>
        <cfvo type="min"/>
        <cfvo type="percentile" val="50"/>
        <cfvo type="max"/>
        <color rgb="FFF8696B"/>
        <color rgb="FFFFEB84"/>
        <color rgb="FF63BE7B"/>
      </colorScale>
    </cfRule>
  </conditionalFormatting>
  <dataValidations count="2">
    <dataValidation type="list" allowBlank="1" showInputMessage="1" showErrorMessage="1" sqref="H15" xr:uid="{0979D994-FDF8-4F89-A194-4F9F14735148}">
      <formula1>#REF!</formula1>
    </dataValidation>
    <dataValidation type="list" allowBlank="1" showInputMessage="1" showErrorMessage="1" sqref="H14" xr:uid="{421602FD-417F-4B56-9332-A1FC514B840C}">
      <formula1>$R$33:$AB$33</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039C3-E5A2-4FFE-8EAA-B5A389D3B857}">
  <sheetPr codeName="Sheet12">
    <tabColor theme="1"/>
  </sheetPr>
  <dimension ref="A1:W54"/>
  <sheetViews>
    <sheetView showGridLines="0" topLeftCell="A6" zoomScale="72" zoomScaleNormal="55" zoomScalePageLayoutView="110" workbookViewId="0">
      <selection activeCell="B27" sqref="B27"/>
    </sheetView>
  </sheetViews>
  <sheetFormatPr defaultColWidth="8" defaultRowHeight="13" x14ac:dyDescent="0.3"/>
  <cols>
    <col min="1" max="1" width="1.83203125" style="48" customWidth="1"/>
    <col min="2" max="2" width="15.5" style="48" customWidth="1"/>
    <col min="3" max="3" width="9" style="48" customWidth="1"/>
    <col min="4" max="4" width="8.83203125" style="48" customWidth="1"/>
    <col min="5" max="5" width="9.08203125" style="48" bestFit="1" customWidth="1"/>
    <col min="6" max="6" width="16.08203125" style="48" bestFit="1" customWidth="1"/>
    <col min="7" max="7" width="9.5" style="48" customWidth="1"/>
    <col min="8" max="8" width="8.5" style="48" customWidth="1"/>
    <col min="9" max="9" width="9.08203125" style="48" bestFit="1" customWidth="1"/>
    <col min="10" max="10" width="16" style="48" bestFit="1" customWidth="1"/>
    <col min="11" max="11" width="18.5" style="48" customWidth="1"/>
    <col min="12" max="12" width="9.33203125" style="48" bestFit="1" customWidth="1"/>
    <col min="13" max="13" width="13.33203125" style="48" bestFit="1" customWidth="1"/>
    <col min="14" max="14" width="10.58203125" style="48" bestFit="1" customWidth="1"/>
    <col min="15" max="15" width="10" style="48" bestFit="1" customWidth="1"/>
    <col min="16" max="16" width="10.33203125" style="48" customWidth="1"/>
    <col min="17" max="17" width="10.33203125" style="48" bestFit="1" customWidth="1"/>
    <col min="18" max="19" width="8.83203125" style="48" bestFit="1" customWidth="1"/>
    <col min="20" max="22" width="54.08203125" style="48" customWidth="1"/>
    <col min="23" max="16384" width="8" style="48"/>
  </cols>
  <sheetData>
    <row r="1" spans="1:22" ht="15.5" x14ac:dyDescent="0.35">
      <c r="B1" s="49" t="s">
        <v>134</v>
      </c>
      <c r="N1" s="3"/>
      <c r="T1" s="117" t="s">
        <v>342</v>
      </c>
      <c r="U1" s="33"/>
      <c r="V1" s="33"/>
    </row>
    <row r="2" spans="1:22" ht="15.5" x14ac:dyDescent="0.35">
      <c r="B2" s="49"/>
      <c r="F2" s="30" t="s">
        <v>321</v>
      </c>
      <c r="N2" s="3"/>
      <c r="T2" s="363" t="s">
        <v>105</v>
      </c>
      <c r="U2" s="364" t="s">
        <v>107</v>
      </c>
      <c r="V2" s="365" t="s">
        <v>106</v>
      </c>
    </row>
    <row r="3" spans="1:22" ht="15.5" x14ac:dyDescent="0.35">
      <c r="B3" s="30" t="s">
        <v>101</v>
      </c>
      <c r="E3" s="222" t="s">
        <v>127</v>
      </c>
      <c r="F3" s="203" t="s">
        <v>117</v>
      </c>
      <c r="G3" s="203" t="s">
        <v>52</v>
      </c>
      <c r="H3" s="203" t="s">
        <v>42</v>
      </c>
      <c r="I3" s="203" t="s">
        <v>120</v>
      </c>
      <c r="J3" s="203" t="s">
        <v>121</v>
      </c>
      <c r="K3" s="203" t="s">
        <v>123</v>
      </c>
      <c r="L3" s="203" t="s">
        <v>37</v>
      </c>
      <c r="M3" s="203" t="s">
        <v>119</v>
      </c>
      <c r="N3" s="203" t="s">
        <v>1</v>
      </c>
      <c r="O3" s="203" t="s">
        <v>45</v>
      </c>
      <c r="P3" s="249"/>
      <c r="Q3" s="100"/>
      <c r="T3" s="305" t="s">
        <v>343</v>
      </c>
      <c r="U3" s="33" t="s">
        <v>592</v>
      </c>
      <c r="V3" s="306" t="str">
        <f ca="1">_xlfn.FORMULATEXT(C5)</f>
        <v>='Price Elasticty of Demand'!H11</v>
      </c>
    </row>
    <row r="4" spans="1:22" ht="15.5" x14ac:dyDescent="0.35">
      <c r="B4" s="202" t="s">
        <v>117</v>
      </c>
      <c r="C4" s="203" t="s">
        <v>130</v>
      </c>
      <c r="D4" s="97"/>
      <c r="E4" s="59"/>
      <c r="F4" s="202" t="s">
        <v>116</v>
      </c>
      <c r="G4" s="188">
        <f>'Price Elasticty of Demand'!D39</f>
        <v>63</v>
      </c>
      <c r="H4" s="201">
        <f>'Price Elasticty of Demand'!E39</f>
        <v>762</v>
      </c>
      <c r="I4" s="219">
        <f>'Price Elasticty of Demand'!F39</f>
        <v>66461.09</v>
      </c>
      <c r="J4" s="188">
        <f>'Price Elasticty of Demand'!G39</f>
        <v>0.294738</v>
      </c>
      <c r="K4" s="188">
        <f>'Price Elasticty of Demand'!H39</f>
        <v>4.46</v>
      </c>
      <c r="L4" s="201">
        <f>'Price Elasticty of Demand'!I39</f>
        <v>30</v>
      </c>
      <c r="M4" s="201">
        <f>'Price Elasticty of Demand'!J39</f>
        <v>22860</v>
      </c>
      <c r="N4" s="188">
        <f>'Price Elasticty of Demand'!K39</f>
        <v>48006</v>
      </c>
      <c r="O4" s="188">
        <f>'Price Elasticty of Demand'!L39</f>
        <v>10136.230680000001</v>
      </c>
      <c r="P4" s="179"/>
      <c r="Q4" s="100"/>
      <c r="T4" s="305" t="s">
        <v>593</v>
      </c>
      <c r="U4" s="33" t="s">
        <v>594</v>
      </c>
      <c r="V4" s="306" t="str">
        <f ca="1">_xlfn.FORMULATEXT(C6)</f>
        <v>='Price Elasticty of Demand'!H15</v>
      </c>
    </row>
    <row r="5" spans="1:22" ht="15.5" x14ac:dyDescent="0.35">
      <c r="B5" s="202" t="s">
        <v>116</v>
      </c>
      <c r="C5" s="201">
        <f>'Price Elasticty of Demand'!H11</f>
        <v>-1.7812583698934152</v>
      </c>
      <c r="D5" s="97"/>
      <c r="E5" s="59"/>
      <c r="F5" s="202" t="s">
        <v>118</v>
      </c>
      <c r="G5" s="188">
        <f>'Price Elasticty of Demand'!D40</f>
        <v>90</v>
      </c>
      <c r="H5" s="201">
        <f>'Price Elasticty of Demand'!E40</f>
        <v>827</v>
      </c>
      <c r="I5" s="62"/>
      <c r="J5" s="188">
        <f>'Price Elasticty of Demand'!G40</f>
        <v>0.294738</v>
      </c>
      <c r="K5" s="188">
        <f>'Price Elasticty of Demand'!H40</f>
        <v>5.28</v>
      </c>
      <c r="L5" s="201">
        <f>'Price Elasticty of Demand'!I40</f>
        <v>50</v>
      </c>
      <c r="M5" s="201">
        <f>'Price Elasticty of Demand'!J40</f>
        <v>41350</v>
      </c>
      <c r="N5" s="188">
        <f>'Price Elasticty of Demand'!K40</f>
        <v>74430</v>
      </c>
      <c r="O5" s="188">
        <f>'Price Elasticty of Demand'!L40</f>
        <v>16553.976300000002</v>
      </c>
      <c r="P5" s="179"/>
      <c r="Q5" s="100"/>
      <c r="T5" s="361" t="s">
        <v>471</v>
      </c>
      <c r="U5" s="33" t="s">
        <v>595</v>
      </c>
      <c r="V5" s="306" t="str">
        <f ca="1">_xlfn.FORMULATEXT(G4)</f>
        <v>='Price Elasticty of Demand'!D39</v>
      </c>
    </row>
    <row r="6" spans="1:22" ht="15.5" x14ac:dyDescent="0.35">
      <c r="B6" s="202" t="s">
        <v>118</v>
      </c>
      <c r="C6" s="201">
        <f>'Price Elasticty of Demand'!H15</f>
        <v>-1.6911803404159702</v>
      </c>
      <c r="D6" s="97"/>
      <c r="E6" s="59"/>
      <c r="F6" s="202" t="s">
        <v>91</v>
      </c>
      <c r="G6" s="188">
        <f>'Price Elasticty of Demand'!D41</f>
        <v>18</v>
      </c>
      <c r="H6" s="201">
        <f>'Price Elasticty of Demand'!E41</f>
        <v>295</v>
      </c>
      <c r="I6" s="62"/>
      <c r="J6" s="188">
        <f>'Price Elasticty of Demand'!G41</f>
        <v>2.5891999999999998E-2</v>
      </c>
      <c r="K6" s="188">
        <f>'Price Elasticty of Demand'!H41</f>
        <v>2.1800000000000002</v>
      </c>
      <c r="L6" s="201">
        <f>'Price Elasticty of Demand'!I41</f>
        <v>100</v>
      </c>
      <c r="M6" s="201">
        <f>'Price Elasticty of Demand'!J41</f>
        <v>29500</v>
      </c>
      <c r="N6" s="188">
        <f>'Price Elasticty of Demand'!K41</f>
        <v>5310</v>
      </c>
      <c r="O6" s="188">
        <f>'Price Elasticty of Demand'!L41</f>
        <v>1406.914</v>
      </c>
      <c r="P6" s="179"/>
      <c r="Q6" s="100"/>
      <c r="T6" s="361" t="s">
        <v>560</v>
      </c>
      <c r="U6" s="362" t="s">
        <v>541</v>
      </c>
      <c r="V6" s="366" t="str">
        <f ca="1">_xlfn.FORMULATEXT(H4)</f>
        <v>='Price Elasticty of Demand'!E39</v>
      </c>
    </row>
    <row r="7" spans="1:22" ht="15.5" x14ac:dyDescent="0.35">
      <c r="D7" s="97"/>
      <c r="E7" s="59"/>
      <c r="F7" s="47"/>
      <c r="G7" s="100"/>
      <c r="H7" s="99"/>
      <c r="I7" s="62"/>
      <c r="J7" s="63"/>
      <c r="K7" s="63"/>
      <c r="L7" s="63"/>
      <c r="M7" s="62"/>
      <c r="N7" s="179"/>
      <c r="O7" s="180"/>
      <c r="P7" s="180"/>
      <c r="Q7" s="65"/>
      <c r="T7" s="361" t="s">
        <v>562</v>
      </c>
      <c r="U7" s="362" t="s">
        <v>120</v>
      </c>
      <c r="V7" s="366" t="str">
        <f ca="1">_xlfn.FORMULATEXT(I4)</f>
        <v>='Price Elasticty of Demand'!F39</v>
      </c>
    </row>
    <row r="8" spans="1:22" ht="15.5" x14ac:dyDescent="0.35">
      <c r="D8" s="97"/>
      <c r="E8" s="47"/>
      <c r="F8" s="43"/>
      <c r="G8" s="59"/>
      <c r="H8" s="100"/>
      <c r="I8" s="62"/>
      <c r="J8" s="63"/>
      <c r="K8" s="63"/>
      <c r="L8" s="63"/>
      <c r="M8" s="65"/>
      <c r="N8" s="213" t="s">
        <v>46</v>
      </c>
      <c r="O8" s="216" t="s">
        <v>43</v>
      </c>
      <c r="P8" s="217" t="s">
        <v>44</v>
      </c>
      <c r="Q8" s="203" t="s">
        <v>47</v>
      </c>
      <c r="T8" s="305" t="s">
        <v>563</v>
      </c>
      <c r="U8" s="33" t="s">
        <v>597</v>
      </c>
      <c r="V8" s="306" t="str">
        <f ca="1">_xlfn.FORMULATEXT(J4)</f>
        <v>='Price Elasticty of Demand'!G39</v>
      </c>
    </row>
    <row r="9" spans="1:22" ht="15.5" x14ac:dyDescent="0.35">
      <c r="D9" s="97"/>
      <c r="E9" s="47"/>
      <c r="F9" s="43"/>
      <c r="G9" s="59"/>
      <c r="H9" s="62"/>
      <c r="I9" s="62"/>
      <c r="J9" s="63"/>
      <c r="K9" s="63"/>
      <c r="L9" s="63"/>
      <c r="M9" s="193" t="s">
        <v>17</v>
      </c>
      <c r="N9" s="188">
        <f>SUM(N4:N6)</f>
        <v>127746</v>
      </c>
      <c r="O9" s="188">
        <f>SUM(O4:O6,I4)</f>
        <v>94558.210980000003</v>
      </c>
      <c r="P9" s="188">
        <f>N9-O9</f>
        <v>33187.789019999997</v>
      </c>
      <c r="Q9" s="189">
        <f>P9/N9</f>
        <v>0.25979513268517213</v>
      </c>
      <c r="T9" s="305" t="s">
        <v>564</v>
      </c>
      <c r="U9" s="33" t="s">
        <v>596</v>
      </c>
      <c r="V9" s="306" t="str">
        <f ca="1">_xlfn.FORMULATEXT(K4)</f>
        <v>='Price Elasticty of Demand'!H39</v>
      </c>
    </row>
    <row r="10" spans="1:22" ht="15" customHeight="1" x14ac:dyDescent="0.35">
      <c r="A10" s="4"/>
      <c r="B10" s="51"/>
      <c r="C10" s="51"/>
      <c r="D10" s="50"/>
      <c r="E10" s="50"/>
      <c r="F10" s="50"/>
      <c r="G10" s="111"/>
      <c r="H10" s="111"/>
      <c r="I10" s="50"/>
      <c r="J10" s="50"/>
      <c r="K10" s="50"/>
      <c r="L10" s="50"/>
      <c r="M10" s="50"/>
      <c r="N10" s="204"/>
      <c r="O10" s="204"/>
      <c r="P10" s="224"/>
      <c r="T10" s="305" t="s">
        <v>566</v>
      </c>
      <c r="U10" s="33" t="s">
        <v>545</v>
      </c>
      <c r="V10" s="306" t="str">
        <f ca="1">_xlfn.FORMULATEXT(L4)</f>
        <v>='Price Elasticty of Demand'!I39</v>
      </c>
    </row>
    <row r="11" spans="1:22" ht="16" customHeight="1" x14ac:dyDescent="0.35">
      <c r="A11" s="50"/>
      <c r="D11" s="50"/>
      <c r="E11" s="59"/>
      <c r="F11" s="30" t="s">
        <v>322</v>
      </c>
      <c r="G11" s="538" t="s">
        <v>133</v>
      </c>
      <c r="H11" s="538"/>
      <c r="I11" s="93"/>
      <c r="J11" s="60"/>
      <c r="K11" s="60"/>
      <c r="L11" s="60"/>
      <c r="M11" s="60"/>
      <c r="N11" s="179"/>
      <c r="O11" s="179"/>
      <c r="P11" s="176"/>
      <c r="T11" s="305" t="s">
        <v>568</v>
      </c>
      <c r="U11" s="33" t="s">
        <v>598</v>
      </c>
      <c r="V11" s="306" t="str">
        <f ca="1">_xlfn.FORMULATEXT(M4)</f>
        <v>='Price Elasticty of Demand'!J39</v>
      </c>
    </row>
    <row r="12" spans="1:22" ht="15.5" x14ac:dyDescent="0.35">
      <c r="A12" s="50"/>
      <c r="B12" s="67"/>
      <c r="C12" s="44"/>
      <c r="D12" s="44"/>
      <c r="E12" s="59"/>
      <c r="F12" s="203" t="s">
        <v>117</v>
      </c>
      <c r="G12" s="203" t="s">
        <v>52</v>
      </c>
      <c r="H12" s="203" t="s">
        <v>42</v>
      </c>
      <c r="I12" s="203" t="s">
        <v>120</v>
      </c>
      <c r="J12" s="203" t="s">
        <v>121</v>
      </c>
      <c r="K12" s="203" t="s">
        <v>123</v>
      </c>
      <c r="L12" s="203" t="s">
        <v>37</v>
      </c>
      <c r="M12" s="203" t="s">
        <v>119</v>
      </c>
      <c r="N12" s="213" t="s">
        <v>1</v>
      </c>
      <c r="O12" s="213" t="s">
        <v>45</v>
      </c>
      <c r="P12" s="249"/>
      <c r="Q12" s="249"/>
      <c r="T12" s="305" t="s">
        <v>569</v>
      </c>
      <c r="U12" s="33" t="s">
        <v>547</v>
      </c>
      <c r="V12" s="306" t="str">
        <f ca="1">_xlfn.FORMULATEXT(N4)</f>
        <v>='Price Elasticty of Demand'!K39</v>
      </c>
    </row>
    <row r="13" spans="1:22" ht="15.5" x14ac:dyDescent="0.35">
      <c r="A13" s="50"/>
      <c r="B13" s="68"/>
      <c r="C13" s="47"/>
      <c r="D13" s="78"/>
      <c r="E13" s="59"/>
      <c r="F13" s="202" t="s">
        <v>116</v>
      </c>
      <c r="G13" s="225">
        <v>56</v>
      </c>
      <c r="H13" s="211">
        <f>H4*C5*(G13/G4-1)+H4</f>
        <v>912.81320865097587</v>
      </c>
      <c r="I13" s="221">
        <f>'Past Inputs'!$Q$51</f>
        <v>66461.09</v>
      </c>
      <c r="J13" s="209">
        <f>'Past Inputs'!$U$5</f>
        <v>0.294738</v>
      </c>
      <c r="K13" s="209">
        <f>'Past Inputs'!$G$45</f>
        <v>4.46</v>
      </c>
      <c r="L13" s="210">
        <v>30</v>
      </c>
      <c r="M13" s="211">
        <f>L13*H13</f>
        <v>27384.396259529276</v>
      </c>
      <c r="N13" s="188">
        <f>G13*H13</f>
        <v>51117.539684454649</v>
      </c>
      <c r="O13" s="188">
        <f>J13*M13+K13*H13</f>
        <v>12142.369095324491</v>
      </c>
      <c r="P13" s="179"/>
      <c r="Q13" s="179"/>
      <c r="T13" s="305" t="s">
        <v>571</v>
      </c>
      <c r="U13" s="33" t="s">
        <v>599</v>
      </c>
      <c r="V13" s="306" t="str">
        <f ca="1">_xlfn.FORMULATEXT(O4)</f>
        <v>='Price Elasticty of Demand'!L39</v>
      </c>
    </row>
    <row r="14" spans="1:22" ht="15.5" x14ac:dyDescent="0.35">
      <c r="A14" s="50"/>
      <c r="B14" s="68"/>
      <c r="C14" s="295"/>
      <c r="D14" s="43"/>
      <c r="E14" s="59"/>
      <c r="F14" s="202" t="s">
        <v>118</v>
      </c>
      <c r="G14" s="225">
        <v>82</v>
      </c>
      <c r="H14" s="211">
        <f>H5*C6*(G14/G5-1)+H5</f>
        <v>951.32054591324516</v>
      </c>
      <c r="I14" s="107"/>
      <c r="J14" s="209">
        <f>'Past Inputs'!$U$5</f>
        <v>0.294738</v>
      </c>
      <c r="K14" s="209">
        <f>'Past Inputs'!$G$46</f>
        <v>5.28</v>
      </c>
      <c r="L14" s="210">
        <v>50</v>
      </c>
      <c r="M14" s="211">
        <f>L14*H14</f>
        <v>47566.027295662258</v>
      </c>
      <c r="N14" s="188">
        <f>G14*H14</f>
        <v>78008.284764886106</v>
      </c>
      <c r="O14" s="188">
        <f>J14*M14+K14*H14</f>
        <v>19042.488235490837</v>
      </c>
      <c r="P14" s="179"/>
      <c r="Q14" s="179"/>
      <c r="T14" s="305" t="s">
        <v>600</v>
      </c>
      <c r="U14" s="33" t="s">
        <v>601</v>
      </c>
      <c r="V14" s="306" t="str">
        <f ca="1">_xlfn.FORMULATEXT(N9)</f>
        <v>=SUM(N4:N6)</v>
      </c>
    </row>
    <row r="15" spans="1:22" ht="15.5" x14ac:dyDescent="0.35">
      <c r="A15" s="50"/>
      <c r="B15" s="68"/>
      <c r="C15" s="296"/>
      <c r="D15" s="43"/>
      <c r="E15" s="59"/>
      <c r="F15" s="202" t="s">
        <v>91</v>
      </c>
      <c r="G15" s="188">
        <v>18</v>
      </c>
      <c r="H15" s="211">
        <f>H6</f>
        <v>295</v>
      </c>
      <c r="I15" s="107"/>
      <c r="J15" s="209">
        <f>'Past Inputs'!$U$8</f>
        <v>2.5891999999999998E-2</v>
      </c>
      <c r="K15" s="209">
        <f>'Past Inputs'!$G$49</f>
        <v>2.1800000000000002</v>
      </c>
      <c r="L15" s="210">
        <v>100</v>
      </c>
      <c r="M15" s="211">
        <f>L15*H15</f>
        <v>29500</v>
      </c>
      <c r="N15" s="188">
        <f>G15*H15</f>
        <v>5310</v>
      </c>
      <c r="O15" s="188">
        <f>J15*M15+K15*H15</f>
        <v>1406.914</v>
      </c>
      <c r="P15" s="179"/>
      <c r="Q15" s="179"/>
      <c r="T15" s="361" t="s">
        <v>367</v>
      </c>
      <c r="U15" s="33" t="s">
        <v>602</v>
      </c>
      <c r="V15" s="306" t="str">
        <f ca="1">_xlfn.FORMULATEXT(O9)</f>
        <v>=SUM(O4:O6,I4)</v>
      </c>
    </row>
    <row r="16" spans="1:22" ht="15.5" x14ac:dyDescent="0.35">
      <c r="A16" s="50"/>
      <c r="B16" s="68"/>
      <c r="C16" s="59"/>
      <c r="D16" s="43"/>
      <c r="E16" s="59"/>
      <c r="F16" s="47"/>
      <c r="G16" s="100"/>
      <c r="H16" s="99"/>
      <c r="I16" s="62"/>
      <c r="J16" s="63"/>
      <c r="K16" s="63"/>
      <c r="L16" s="63"/>
      <c r="M16" s="62"/>
      <c r="N16" s="179"/>
      <c r="O16" s="180"/>
      <c r="P16" s="180"/>
      <c r="Q16" s="65"/>
      <c r="T16" s="305" t="s">
        <v>378</v>
      </c>
      <c r="U16" s="33" t="s">
        <v>603</v>
      </c>
      <c r="V16" s="318" t="str">
        <f ca="1">_xlfn.FORMULATEXT(P9)</f>
        <v>=N9-O9</v>
      </c>
    </row>
    <row r="17" spans="1:23" ht="15.5" x14ac:dyDescent="0.35">
      <c r="A17" s="50"/>
      <c r="B17" s="68"/>
      <c r="C17" s="47"/>
      <c r="D17" s="43"/>
      <c r="E17" s="59"/>
      <c r="F17" s="43"/>
      <c r="G17" s="59"/>
      <c r="H17" s="100"/>
      <c r="I17" s="62"/>
      <c r="J17" s="63"/>
      <c r="K17" s="63"/>
      <c r="L17" s="63"/>
      <c r="M17" s="65"/>
      <c r="N17" s="213" t="s">
        <v>46</v>
      </c>
      <c r="O17" s="216" t="s">
        <v>43</v>
      </c>
      <c r="P17" s="213" t="s">
        <v>44</v>
      </c>
      <c r="Q17" s="203" t="s">
        <v>47</v>
      </c>
      <c r="T17" s="305" t="s">
        <v>390</v>
      </c>
      <c r="U17" s="33" t="s">
        <v>604</v>
      </c>
      <c r="V17" s="318" t="str">
        <f ca="1">_xlfn.FORMULATEXT(Q9)</f>
        <v>=P9/N9</v>
      </c>
    </row>
    <row r="18" spans="1:23" ht="15.5" x14ac:dyDescent="0.35">
      <c r="A18" s="50"/>
      <c r="B18" s="68"/>
      <c r="C18" s="47"/>
      <c r="D18" s="43"/>
      <c r="E18" s="59"/>
      <c r="F18" s="43"/>
      <c r="G18" s="59"/>
      <c r="H18" s="62"/>
      <c r="I18" s="290"/>
      <c r="J18" s="63"/>
      <c r="K18" s="63"/>
      <c r="L18" s="63"/>
      <c r="M18" s="193" t="s">
        <v>17</v>
      </c>
      <c r="N18" s="188">
        <f>SUM(N13:N15)</f>
        <v>134435.82444934075</v>
      </c>
      <c r="O18" s="294">
        <f>SUM(O13:O15,I13)</f>
        <v>99052.861330815329</v>
      </c>
      <c r="P18" s="294">
        <f>N18-O18</f>
        <v>35382.963118525426</v>
      </c>
      <c r="Q18" s="189">
        <f>P18/N18</f>
        <v>0.26319593950092324</v>
      </c>
      <c r="T18" s="305" t="s">
        <v>605</v>
      </c>
      <c r="U18" s="33" t="s">
        <v>606</v>
      </c>
      <c r="V18" s="318" t="str">
        <f ca="1">_xlfn.FORMULATEXT(F22)</f>
        <v>=P18</v>
      </c>
      <c r="W18" s="48" t="s">
        <v>607</v>
      </c>
    </row>
    <row r="19" spans="1:23" ht="14.25" customHeight="1" x14ac:dyDescent="0.35">
      <c r="A19" s="50"/>
      <c r="B19" s="286"/>
      <c r="C19" s="287"/>
      <c r="D19" s="288"/>
      <c r="E19" s="287"/>
      <c r="F19" s="287"/>
      <c r="G19" s="287"/>
      <c r="H19" s="287"/>
      <c r="J19" s="287"/>
      <c r="K19" s="287"/>
      <c r="L19" s="287"/>
      <c r="M19" s="287"/>
      <c r="N19" s="287"/>
      <c r="O19" s="50"/>
      <c r="T19" s="361" t="s">
        <v>608</v>
      </c>
      <c r="U19" s="362" t="s">
        <v>609</v>
      </c>
      <c r="V19" s="366" t="str">
        <f ca="1">_xlfn.FORMULATEXT(G22)</f>
        <v>=G13</v>
      </c>
    </row>
    <row r="20" spans="1:23" ht="15.5" x14ac:dyDescent="0.35">
      <c r="B20" s="289"/>
      <c r="C20" s="290"/>
      <c r="D20" s="290"/>
      <c r="E20" s="290"/>
      <c r="F20" s="30" t="s">
        <v>134</v>
      </c>
      <c r="J20" s="297"/>
      <c r="K20" s="290"/>
      <c r="L20" s="290"/>
      <c r="M20" s="290"/>
      <c r="N20" s="59"/>
      <c r="T20" s="361" t="s">
        <v>610</v>
      </c>
      <c r="U20" s="362" t="s">
        <v>611</v>
      </c>
      <c r="V20" s="366" t="str">
        <f ca="1">_xlfn.FORMULATEXT(H22)</f>
        <v>=G14</v>
      </c>
    </row>
    <row r="21" spans="1:23" ht="15.5" x14ac:dyDescent="0.35">
      <c r="B21" s="290"/>
      <c r="C21" s="292"/>
      <c r="D21" s="292"/>
      <c r="E21" s="292"/>
      <c r="F21" s="214" t="s">
        <v>44</v>
      </c>
      <c r="G21" s="215" t="s">
        <v>135</v>
      </c>
      <c r="H21" s="203" t="s">
        <v>136</v>
      </c>
      <c r="I21" s="292"/>
      <c r="J21" s="292"/>
      <c r="K21" s="292"/>
      <c r="L21" s="292"/>
      <c r="M21" s="292"/>
      <c r="N21" s="59"/>
      <c r="T21" s="367"/>
      <c r="U21" s="368"/>
      <c r="V21" s="369"/>
    </row>
    <row r="22" spans="1:23" x14ac:dyDescent="0.3">
      <c r="B22" s="290"/>
      <c r="C22" s="292"/>
      <c r="D22" s="292"/>
      <c r="E22" s="292"/>
      <c r="F22" s="520">
        <f>P18</f>
        <v>35382.963118525426</v>
      </c>
      <c r="G22" s="521">
        <f>G13</f>
        <v>56</v>
      </c>
      <c r="H22" s="522">
        <f>G14</f>
        <v>82</v>
      </c>
      <c r="I22" s="292"/>
      <c r="J22" s="292"/>
      <c r="K22" s="292"/>
      <c r="L22" s="292"/>
      <c r="M22" s="292"/>
      <c r="N22" s="59"/>
    </row>
    <row r="23" spans="1:23" x14ac:dyDescent="0.3">
      <c r="B23" s="290"/>
      <c r="C23" s="292"/>
      <c r="D23" s="292"/>
      <c r="E23" s="292"/>
      <c r="I23" s="292"/>
      <c r="J23" s="292"/>
      <c r="K23" s="292"/>
      <c r="L23" s="292"/>
      <c r="M23" s="292"/>
      <c r="N23" s="59"/>
    </row>
    <row r="24" spans="1:23" x14ac:dyDescent="0.3">
      <c r="B24" s="290"/>
      <c r="C24" s="292"/>
      <c r="D24" s="292"/>
      <c r="E24" s="292"/>
      <c r="F24" s="30" t="s">
        <v>323</v>
      </c>
      <c r="I24" s="292"/>
      <c r="J24" s="292"/>
      <c r="K24" s="292"/>
      <c r="L24" s="292"/>
      <c r="M24" s="292"/>
      <c r="N24" s="59"/>
    </row>
    <row r="25" spans="1:23" x14ac:dyDescent="0.3">
      <c r="B25" s="291"/>
      <c r="C25" s="292"/>
      <c r="D25" s="292"/>
      <c r="E25" s="292"/>
      <c r="F25" s="203" t="s">
        <v>135</v>
      </c>
      <c r="G25" s="203" t="s">
        <v>136</v>
      </c>
      <c r="I25" s="292"/>
      <c r="J25" s="292"/>
      <c r="K25" s="292"/>
      <c r="L25" s="292"/>
      <c r="M25" s="292"/>
      <c r="N25" s="59"/>
    </row>
    <row r="26" spans="1:23" x14ac:dyDescent="0.3">
      <c r="B26" s="290"/>
      <c r="C26" s="292"/>
      <c r="D26" s="292"/>
      <c r="E26" s="292"/>
      <c r="F26" s="225">
        <f>G22</f>
        <v>56</v>
      </c>
      <c r="G26" s="225">
        <f>H22</f>
        <v>82</v>
      </c>
      <c r="I26" s="292"/>
      <c r="J26" s="292"/>
      <c r="K26" s="292"/>
      <c r="L26" s="292"/>
      <c r="M26" s="292"/>
      <c r="N26" s="59"/>
    </row>
    <row r="27" spans="1:23" x14ac:dyDescent="0.3">
      <c r="B27" s="290"/>
      <c r="C27" s="292"/>
      <c r="D27" s="292"/>
      <c r="E27" s="292"/>
      <c r="F27" s="292"/>
      <c r="G27" s="292"/>
      <c r="H27" s="292"/>
      <c r="I27" s="292"/>
      <c r="J27" s="292"/>
      <c r="K27" s="292"/>
      <c r="L27" s="292"/>
      <c r="M27" s="292"/>
      <c r="N27" s="59"/>
    </row>
    <row r="28" spans="1:23" x14ac:dyDescent="0.3">
      <c r="B28" s="290"/>
      <c r="C28" s="292"/>
      <c r="D28" s="292"/>
      <c r="E28" s="292"/>
      <c r="F28" s="292"/>
      <c r="G28" s="292"/>
      <c r="H28" s="292"/>
      <c r="I28" s="292"/>
      <c r="J28" s="292"/>
      <c r="K28" s="292"/>
      <c r="L28" s="292"/>
      <c r="M28" s="292"/>
      <c r="N28" s="59"/>
    </row>
    <row r="29" spans="1:23" x14ac:dyDescent="0.3">
      <c r="B29" s="30" t="s">
        <v>278</v>
      </c>
      <c r="C29" s="292"/>
      <c r="D29" s="292"/>
      <c r="E29" s="292"/>
      <c r="F29" s="292"/>
      <c r="G29" s="292"/>
      <c r="H29" s="292"/>
      <c r="I29" s="292"/>
      <c r="J29" s="292"/>
      <c r="K29" s="292"/>
      <c r="L29" s="292"/>
      <c r="M29" s="292"/>
      <c r="N29" s="59"/>
      <c r="O29" s="55"/>
    </row>
    <row r="30" spans="1:23" x14ac:dyDescent="0.3">
      <c r="B30" s="297" t="s">
        <v>311</v>
      </c>
      <c r="C30" s="292"/>
      <c r="D30" s="292"/>
      <c r="E30" s="292"/>
      <c r="F30" s="292"/>
      <c r="G30" s="292"/>
      <c r="H30" s="292"/>
      <c r="I30" s="292"/>
      <c r="J30" s="292"/>
      <c r="K30" s="292"/>
      <c r="L30" s="292"/>
      <c r="M30" s="292"/>
      <c r="N30" s="59"/>
    </row>
    <row r="31" spans="1:23" x14ac:dyDescent="0.3">
      <c r="B31" s="59" t="s">
        <v>312</v>
      </c>
      <c r="C31" s="293"/>
      <c r="D31" s="540"/>
      <c r="E31" s="540"/>
      <c r="F31" s="59"/>
      <c r="G31" s="59"/>
      <c r="H31" s="59"/>
      <c r="I31" s="59"/>
      <c r="J31" s="59"/>
      <c r="K31" s="59"/>
      <c r="L31" s="59"/>
      <c r="M31" s="59"/>
      <c r="N31" s="59"/>
    </row>
    <row r="32" spans="1:23" x14ac:dyDescent="0.3">
      <c r="C32" s="293"/>
      <c r="D32" s="60"/>
      <c r="E32" s="60"/>
      <c r="F32" s="59"/>
      <c r="G32" s="59"/>
      <c r="H32" s="59"/>
      <c r="I32" s="59"/>
      <c r="J32" s="59"/>
      <c r="K32" s="59"/>
      <c r="L32" s="59"/>
      <c r="M32" s="59"/>
      <c r="N32" s="59"/>
    </row>
    <row r="33" spans="2:15" x14ac:dyDescent="0.3">
      <c r="C33" s="58"/>
      <c r="D33" s="50"/>
      <c r="E33" s="50"/>
    </row>
    <row r="34" spans="2:15" x14ac:dyDescent="0.3">
      <c r="C34" s="58"/>
      <c r="D34" s="50"/>
      <c r="E34" s="50"/>
    </row>
    <row r="35" spans="2:15" x14ac:dyDescent="0.3">
      <c r="B35" s="55"/>
      <c r="C35" s="54"/>
      <c r="D35" s="54"/>
      <c r="E35" s="54"/>
      <c r="F35" s="54"/>
      <c r="G35" s="54"/>
      <c r="H35" s="54"/>
      <c r="I35" s="54"/>
      <c r="J35" s="54"/>
      <c r="K35" s="54"/>
      <c r="L35" s="54"/>
      <c r="M35" s="54"/>
      <c r="N35" s="54"/>
    </row>
    <row r="36" spans="2:15" x14ac:dyDescent="0.3">
      <c r="C36" s="54"/>
      <c r="D36" s="54"/>
      <c r="E36" s="54"/>
      <c r="F36" s="54"/>
      <c r="G36" s="54"/>
      <c r="H36" s="54"/>
      <c r="I36" s="54"/>
      <c r="J36" s="54"/>
      <c r="K36" s="54"/>
      <c r="L36" s="54"/>
      <c r="M36" s="54"/>
      <c r="N36" s="54"/>
    </row>
    <row r="37" spans="2:15" x14ac:dyDescent="0.3">
      <c r="C37" s="54"/>
      <c r="D37" s="51"/>
      <c r="E37" s="54"/>
      <c r="F37" s="54"/>
      <c r="G37" s="54"/>
      <c r="H37" s="54"/>
      <c r="I37" s="54"/>
      <c r="J37" s="54"/>
      <c r="K37" s="54"/>
      <c r="L37" s="54"/>
      <c r="M37" s="54"/>
      <c r="N37" s="54"/>
    </row>
    <row r="38" spans="2:15" x14ac:dyDescent="0.3">
      <c r="O38" s="55"/>
    </row>
    <row r="54" spans="3:5" x14ac:dyDescent="0.3">
      <c r="C54" s="58"/>
      <c r="D54" s="539"/>
      <c r="E54" s="539"/>
    </row>
  </sheetData>
  <sheetProtection algorithmName="SHA-512" hashValue="FwkkwTTl3iU4VtmZXYQIwGjfG+iJXl+Tra8DNokLPb7xqWgimOAKWIxlCdXBXyE2uCRlSQAo0JxoUhUPdoUgyA==" saltValue="vvMK6Qcnb2MqTjXI7EO4aQ==" spinCount="100000" sheet="1" objects="1" scenarios="1" selectLockedCells="1"/>
  <mergeCells count="3">
    <mergeCell ref="G11:H11"/>
    <mergeCell ref="D31:E31"/>
    <mergeCell ref="D54:E54"/>
  </mergeCells>
  <conditionalFormatting sqref="B21:B28 B30">
    <cfRule type="cellIs" dxfId="16" priority="3" stopIfTrue="1" operator="equal">
      <formula>$F$13</formula>
    </cfRule>
  </conditionalFormatting>
  <conditionalFormatting sqref="C27:M30 C21:E26 I21:M26">
    <cfRule type="colorScale" priority="1">
      <colorScale>
        <cfvo type="min"/>
        <cfvo type="percentile" val="50"/>
        <cfvo type="max"/>
        <color rgb="FFF8696B"/>
        <color rgb="FFFFEB84"/>
        <color rgb="FF63BE7B"/>
      </colorScale>
    </cfRule>
  </conditionalFormatting>
  <dataValidations count="1">
    <dataValidation type="list" errorStyle="information" allowBlank="1" showInputMessage="1" showErrorMessage="1" sqref="D13:D18" xr:uid="{6B3F5251-7BC8-472C-8BFC-1F6D5E927115}">
      <formula1>#REF!</formula1>
    </dataValidation>
  </dataValidations>
  <pageMargins left="0.74803149606299213" right="0.74803149606299213" top="0.74803149606299213" bottom="0.74803149606299213" header="0.31496062992125984" footer="0.31496062992125984"/>
  <pageSetup paperSize="9" orientation="portrait"/>
  <headerFooter alignWithMargins="0">
    <oddFooter>&amp;L&amp;"-,Regular"LeongTY&amp;R&amp;"-,Regular"&amp;F/&amp;A</oddFooter>
  </headerFooter>
  <colBreaks count="1" manualBreakCount="1">
    <brk id="15"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85F78-2614-4E15-B489-48DF9733715B}">
  <sheetPr codeName="Sheet14">
    <tabColor theme="8" tint="0.39997558519241921"/>
  </sheetPr>
  <dimension ref="A1:U70"/>
  <sheetViews>
    <sheetView showGridLines="0" zoomScale="55" zoomScaleNormal="55" zoomScalePageLayoutView="110" workbookViewId="0">
      <selection activeCell="T41" sqref="T41"/>
    </sheetView>
  </sheetViews>
  <sheetFormatPr defaultColWidth="8.33203125" defaultRowHeight="13" x14ac:dyDescent="0.3"/>
  <cols>
    <col min="1" max="1" width="8.33203125" style="1"/>
    <col min="2" max="2" width="0.58203125" style="1" customWidth="1"/>
    <col min="3" max="3" width="2.08203125" style="1" customWidth="1"/>
    <col min="4" max="5" width="6.83203125" style="1" customWidth="1"/>
    <col min="6" max="6" width="4.08203125" style="1" customWidth="1"/>
    <col min="7" max="8" width="6.83203125" style="1" customWidth="1"/>
    <col min="9" max="9" width="6.08203125" style="1" customWidth="1"/>
    <col min="10" max="11" width="6.83203125" style="1" customWidth="1"/>
    <col min="12" max="12" width="4.08203125" style="1" customWidth="1"/>
    <col min="13" max="14" width="6.83203125" style="1" customWidth="1"/>
    <col min="15" max="15" width="4.08203125" style="1" customWidth="1"/>
    <col min="16" max="17" width="6.83203125" style="1" customWidth="1"/>
    <col min="18" max="18" width="4.08203125" style="1" customWidth="1"/>
    <col min="19" max="20" width="6.83203125" style="1" customWidth="1"/>
    <col min="21" max="21" width="2.08203125" style="1" customWidth="1"/>
    <col min="22" max="23" width="0.58203125" style="1" customWidth="1"/>
    <col min="24" max="16384" width="8.33203125" style="1"/>
  </cols>
  <sheetData>
    <row r="1" spans="2:21" ht="15.5" x14ac:dyDescent="0.35">
      <c r="C1" s="2" t="s">
        <v>0</v>
      </c>
    </row>
    <row r="2" spans="2:21" ht="15.5" x14ac:dyDescent="0.35">
      <c r="C2" s="2"/>
    </row>
    <row r="3" spans="2:21" ht="15.5" x14ac:dyDescent="0.35">
      <c r="C3" s="2"/>
    </row>
    <row r="4" spans="2:21" ht="15.5" x14ac:dyDescent="0.35">
      <c r="C4" s="2"/>
    </row>
    <row r="5" spans="2:21" ht="15.5" x14ac:dyDescent="0.35">
      <c r="C5" s="2"/>
    </row>
    <row r="6" spans="2:21" x14ac:dyDescent="0.3">
      <c r="U6" s="3"/>
    </row>
    <row r="7" spans="2:21" ht="18.5" x14ac:dyDescent="0.45">
      <c r="B7" s="4"/>
      <c r="C7" s="5"/>
      <c r="U7" s="6"/>
    </row>
    <row r="8" spans="2:21" x14ac:dyDescent="0.3">
      <c r="C8" s="7"/>
    </row>
    <row r="70" spans="1:2" x14ac:dyDescent="0.3">
      <c r="A70" s="1">
        <v>1</v>
      </c>
      <c r="B70" s="1" t="s">
        <v>495</v>
      </c>
    </row>
  </sheetData>
  <sheetProtection algorithmName="SHA-512" hashValue="s9vB3n7N/s8Yjnn1PZBDaamf2jICMY49kOGPO3fAgPcBhf5JtKIYcKQ9kiR8hjx65j/7hpHhp9aOWWvK//uRJQ==" saltValue="9AUFPwjL8EakYkE1JaEsbg==" spinCount="100000" sheet="1" objects="1" scenarios="1"/>
  <printOptions horizontalCentered="1"/>
  <pageMargins left="0.74803149606299213" right="0.74803149606299213" top="0.74803149606299213" bottom="0.74803149606299213" header="0.31496062992125984" footer="0.31496062992125984"/>
  <pageSetup paperSize="9" orientation="landscape"/>
  <headerFooter alignWithMargins="0">
    <oddFooter>&amp;L&amp;"-,Regular"LeongTY&amp;R&amp;"-,Regular"&amp;F/&amp;A</oddFooter>
  </headerFooter>
  <colBreaks count="2" manualBreakCount="2">
    <brk id="22" max="1048575" man="1"/>
    <brk id="37" max="1048575" man="1"/>
  </colBreaks>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F807A-F16B-4ABB-A0F9-2448F52486C0}">
  <sheetPr codeName="Sheet15">
    <tabColor theme="8" tint="-0.249977111117893"/>
  </sheetPr>
  <dimension ref="B1:S45"/>
  <sheetViews>
    <sheetView showGridLines="0" zoomScale="74" zoomScaleNormal="100" workbookViewId="0">
      <selection activeCell="C22" sqref="C22"/>
    </sheetView>
  </sheetViews>
  <sheetFormatPr defaultColWidth="8.83203125" defaultRowHeight="15.5" x14ac:dyDescent="0.35"/>
  <cols>
    <col min="1" max="1" width="8.5"/>
    <col min="2" max="2" width="17.58203125" style="100" customWidth="1"/>
    <col min="3" max="3" width="21" style="100" customWidth="1"/>
    <col min="4" max="4" width="21" style="100" bestFit="1" customWidth="1"/>
    <col min="5" max="5" width="13.5" bestFit="1" customWidth="1"/>
    <col min="6" max="6" width="16" bestFit="1" customWidth="1"/>
    <col min="7" max="7" width="18.5" bestFit="1" customWidth="1"/>
    <col min="8" max="8" width="9.33203125" bestFit="1" customWidth="1"/>
    <col min="9" max="9" width="13.33203125" bestFit="1" customWidth="1"/>
    <col min="10" max="10" width="21" customWidth="1"/>
    <col min="11" max="11" width="21" bestFit="1" customWidth="1"/>
    <col min="12" max="12" width="12" customWidth="1"/>
    <col min="13" max="13" width="10.5" bestFit="1" customWidth="1"/>
    <col min="14" max="14" width="11.58203125" bestFit="1" customWidth="1"/>
    <col min="15" max="15" width="6.83203125" customWidth="1"/>
    <col min="16" max="16" width="15.08203125" bestFit="1" customWidth="1"/>
    <col min="17" max="17" width="11" customWidth="1"/>
    <col min="18" max="18" width="59.33203125" customWidth="1"/>
    <col min="19" max="19" width="40.5" customWidth="1"/>
  </cols>
  <sheetData>
    <row r="1" spans="2:19" x14ac:dyDescent="0.35">
      <c r="B1" s="30" t="s">
        <v>170</v>
      </c>
      <c r="Q1" s="299" t="s">
        <v>342</v>
      </c>
      <c r="R1" s="300"/>
      <c r="S1" s="301"/>
    </row>
    <row r="2" spans="2:19" x14ac:dyDescent="0.35">
      <c r="B2" s="203" t="s">
        <v>140</v>
      </c>
      <c r="C2" s="226">
        <v>2014</v>
      </c>
      <c r="D2" s="226">
        <v>2015</v>
      </c>
      <c r="E2" s="230">
        <v>2016</v>
      </c>
      <c r="F2" s="226">
        <v>2017</v>
      </c>
      <c r="G2" s="230">
        <v>2018</v>
      </c>
      <c r="J2" s="226" t="s">
        <v>138</v>
      </c>
      <c r="K2" s="226" t="s">
        <v>139</v>
      </c>
      <c r="O2" s="33"/>
      <c r="P2" s="101"/>
      <c r="Q2" s="302" t="s">
        <v>105</v>
      </c>
      <c r="R2" s="303" t="s">
        <v>107</v>
      </c>
      <c r="S2" s="304" t="s">
        <v>106</v>
      </c>
    </row>
    <row r="3" spans="2:19" x14ac:dyDescent="0.35">
      <c r="B3" s="202" t="s">
        <v>116</v>
      </c>
      <c r="C3" s="233">
        <f>'Past Inputs'!H5</f>
        <v>283</v>
      </c>
      <c r="D3" s="233">
        <f>'Past Inputs'!H15</f>
        <v>769</v>
      </c>
      <c r="E3" s="233">
        <f>'Past Inputs'!H25</f>
        <v>758</v>
      </c>
      <c r="F3" s="233">
        <f>'Past Inputs'!H35</f>
        <v>760</v>
      </c>
      <c r="G3" s="233">
        <f>'Past Inputs'!H45</f>
        <v>762</v>
      </c>
      <c r="I3" s="228" t="s">
        <v>130</v>
      </c>
      <c r="J3" s="229">
        <f>Solver!C5</f>
        <v>-1.7812583698934152</v>
      </c>
      <c r="K3" s="229">
        <f>Solver!C6</f>
        <v>-1.6911803404159702</v>
      </c>
      <c r="O3" s="33"/>
      <c r="P3" s="102"/>
      <c r="Q3" s="305" t="s">
        <v>467</v>
      </c>
      <c r="R3" s="33" t="s">
        <v>614</v>
      </c>
      <c r="S3" s="318" t="str">
        <f ca="1">_xlfn.FORMULATEXT(C3)</f>
        <v>='Past Inputs'!H5</v>
      </c>
    </row>
    <row r="4" spans="2:19" x14ac:dyDescent="0.35">
      <c r="B4" s="202" t="s">
        <v>118</v>
      </c>
      <c r="C4" s="233">
        <f>'Past Inputs'!H6</f>
        <v>212</v>
      </c>
      <c r="D4" s="233">
        <f>'Past Inputs'!H16</f>
        <v>647</v>
      </c>
      <c r="E4" s="233">
        <f>'Past Inputs'!H26</f>
        <v>652</v>
      </c>
      <c r="F4" s="233">
        <f>'Past Inputs'!H36</f>
        <v>839</v>
      </c>
      <c r="G4" s="233">
        <f>'Past Inputs'!H46</f>
        <v>827</v>
      </c>
      <c r="I4" s="228" t="s">
        <v>413</v>
      </c>
      <c r="J4" s="188">
        <v>60</v>
      </c>
      <c r="K4" s="188">
        <v>100</v>
      </c>
      <c r="O4" s="33"/>
      <c r="P4" s="102"/>
      <c r="Q4" s="305" t="s">
        <v>613</v>
      </c>
      <c r="R4" s="33" t="s">
        <v>615</v>
      </c>
      <c r="S4" s="318" t="str">
        <f ca="1">_xlfn.FORMULATEXT(C10)</f>
        <v>=$J$3*($J$6/$J$4-1)*C3+C3</v>
      </c>
    </row>
    <row r="5" spans="2:19" x14ac:dyDescent="0.35">
      <c r="B5" s="202" t="s">
        <v>91</v>
      </c>
      <c r="C5" s="233">
        <f>'Past Inputs'!H9</f>
        <v>174</v>
      </c>
      <c r="D5" s="233">
        <f>'Past Inputs'!H19</f>
        <v>281</v>
      </c>
      <c r="E5" s="233">
        <f>'Past Inputs'!H29</f>
        <v>286</v>
      </c>
      <c r="F5" s="233">
        <f>'Past Inputs'!H39</f>
        <v>282</v>
      </c>
      <c r="G5" s="233">
        <f>'Past Inputs'!H49</f>
        <v>295</v>
      </c>
      <c r="I5" s="228" t="s">
        <v>414</v>
      </c>
      <c r="J5" s="188">
        <f>Solver!G4</f>
        <v>63</v>
      </c>
      <c r="K5" s="188">
        <f>Solver!G5</f>
        <v>90</v>
      </c>
      <c r="O5" s="33"/>
      <c r="P5" s="102"/>
      <c r="Q5" s="305" t="s">
        <v>616</v>
      </c>
      <c r="R5" s="33" t="s">
        <v>617</v>
      </c>
      <c r="S5" s="318" t="str">
        <f ca="1">_xlfn.FORMULATEXT(C16)</f>
        <v>=$I$10+$J$10*C15</v>
      </c>
    </row>
    <row r="6" spans="2:19" x14ac:dyDescent="0.35">
      <c r="B6" s="316"/>
      <c r="C6" s="317"/>
      <c r="D6" s="317"/>
      <c r="E6" s="317"/>
      <c r="F6" s="317"/>
      <c r="G6" s="317"/>
      <c r="I6" s="230" t="s">
        <v>415</v>
      </c>
      <c r="J6" s="188">
        <f>'Dashboard (Overall)'!B9</f>
        <v>56</v>
      </c>
      <c r="K6" s="188">
        <f>'Dashboard (Overall)'!B10</f>
        <v>82</v>
      </c>
      <c r="O6" s="33"/>
      <c r="P6" s="102"/>
      <c r="Q6" s="305" t="s">
        <v>618</v>
      </c>
      <c r="R6" s="33" t="s">
        <v>619</v>
      </c>
      <c r="S6" s="318" t="str">
        <f ca="1">_xlfn.FORMULATEXT(J3)</f>
        <v>=Solver!C5</v>
      </c>
    </row>
    <row r="7" spans="2:19" x14ac:dyDescent="0.35">
      <c r="E7" s="100"/>
      <c r="G7" s="100"/>
      <c r="O7" s="33"/>
      <c r="P7" s="102"/>
      <c r="Q7" s="305" t="s">
        <v>620</v>
      </c>
      <c r="R7" s="33" t="s">
        <v>621</v>
      </c>
      <c r="S7" s="318" t="str">
        <f ca="1">_xlfn.FORMULATEXT(I10)</f>
        <v>=INTERCEPT(C10:G10,$C$9:$G$9)</v>
      </c>
    </row>
    <row r="8" spans="2:19" x14ac:dyDescent="0.35">
      <c r="B8" s="30" t="s">
        <v>324</v>
      </c>
      <c r="E8" s="100"/>
      <c r="G8" s="100"/>
      <c r="N8" s="33"/>
      <c r="O8" s="33"/>
      <c r="P8" s="102"/>
      <c r="Q8" s="305" t="s">
        <v>624</v>
      </c>
      <c r="R8" s="33" t="s">
        <v>622</v>
      </c>
      <c r="S8" s="306" t="s">
        <v>623</v>
      </c>
    </row>
    <row r="9" spans="2:19" x14ac:dyDescent="0.35">
      <c r="B9" s="203" t="s">
        <v>141</v>
      </c>
      <c r="C9" s="226">
        <v>2014</v>
      </c>
      <c r="D9" s="226">
        <v>2015</v>
      </c>
      <c r="E9" s="230">
        <v>2016</v>
      </c>
      <c r="F9" s="226">
        <v>2017</v>
      </c>
      <c r="G9" s="230">
        <v>2018</v>
      </c>
      <c r="I9" s="230" t="s">
        <v>39</v>
      </c>
      <c r="J9" s="230" t="s">
        <v>40</v>
      </c>
      <c r="L9" s="285" t="s">
        <v>132</v>
      </c>
      <c r="N9" s="33"/>
      <c r="O9" s="101"/>
      <c r="P9" s="256"/>
      <c r="Q9" s="372" t="s">
        <v>625</v>
      </c>
      <c r="R9" s="315" t="s">
        <v>626</v>
      </c>
      <c r="S9" s="373" t="str">
        <f ca="1">_xlfn.FORMULATEXT(J34)</f>
        <v>=SUM(J29:J31)</v>
      </c>
    </row>
    <row r="10" spans="2:19" x14ac:dyDescent="0.35">
      <c r="B10" s="202" t="s">
        <v>116</v>
      </c>
      <c r="C10" s="282">
        <f>$J$3*($J$6/$J$4-1)*C3+C3</f>
        <v>316.60640791198909</v>
      </c>
      <c r="D10" s="282">
        <f>$J$3*($J$6/$J$4-1)*D3+D3</f>
        <v>860.31917909653578</v>
      </c>
      <c r="E10" s="282">
        <f>$J$3*($J$6/$J$4-1)*E3+E3</f>
        <v>848.0129229586139</v>
      </c>
      <c r="F10" s="282">
        <f>$J$3*($J$6/$J$5-1)*F3+F3</f>
        <v>910.41737345766626</v>
      </c>
      <c r="G10" s="282">
        <f>$J$3*($J$6/$J$5-1)*G3+G3</f>
        <v>912.81320865097587</v>
      </c>
      <c r="I10" s="74">
        <f>INTERCEPT(C10:G10,$C$9:$G$9)</f>
        <v>-249720.74422274821</v>
      </c>
      <c r="J10" s="74">
        <f>SLOPE(C10:G10,$C$9:$G$9)</f>
        <v>124.2511795839104</v>
      </c>
      <c r="L10" s="103" t="s">
        <v>125</v>
      </c>
      <c r="N10" s="33"/>
      <c r="O10" s="168"/>
      <c r="P10" s="257"/>
      <c r="Q10" s="374" t="s">
        <v>627</v>
      </c>
      <c r="R10" s="378" t="s">
        <v>628</v>
      </c>
      <c r="S10" s="373" t="str">
        <f ca="1">_xlfn.FORMULATEXT(K34)</f>
        <v>=SUM(K29:K31,E29)</v>
      </c>
    </row>
    <row r="11" spans="2:19" x14ac:dyDescent="0.35">
      <c r="B11" s="202" t="s">
        <v>118</v>
      </c>
      <c r="C11" s="282">
        <f>$K$3*($K$6/$K$4-1)*C4+C4</f>
        <v>276.53544179027347</v>
      </c>
      <c r="D11" s="282">
        <f>$K$3*($K$6/$K$4-1)*D4+D4</f>
        <v>843.95486244484391</v>
      </c>
      <c r="E11" s="282">
        <f>$K$3*($K$6/$K$4-1)*E4+E4</f>
        <v>850.47692475121835</v>
      </c>
      <c r="F11" s="282">
        <f>$K$3*($K$6/$K$5-1)*F4+F4</f>
        <v>965.12447160968884</v>
      </c>
      <c r="G11" s="282">
        <f>$K$3*($K$6/$K$5-1)*G4+G4</f>
        <v>951.32054591324516</v>
      </c>
      <c r="I11" s="74">
        <f>INTERCEPT(C11:G11,$C$9:$G$9)</f>
        <v>-295723.66474071302</v>
      </c>
      <c r="J11" s="74">
        <f>SLOPE(C11:G11,$C$9:$G$9)</f>
        <v>147.07398174107882</v>
      </c>
      <c r="L11" s="103" t="s">
        <v>126</v>
      </c>
      <c r="N11" s="33"/>
      <c r="O11" s="168"/>
      <c r="P11" s="257"/>
      <c r="Q11" s="375" t="s">
        <v>629</v>
      </c>
      <c r="R11" s="378" t="s">
        <v>630</v>
      </c>
      <c r="S11" s="373" t="str">
        <f ca="1">_xlfn.FORMULATEXT(L34)</f>
        <v>=J34-K34</v>
      </c>
    </row>
    <row r="12" spans="2:19" x14ac:dyDescent="0.35">
      <c r="B12" s="202" t="s">
        <v>91</v>
      </c>
      <c r="C12" s="233">
        <f>C5</f>
        <v>174</v>
      </c>
      <c r="D12" s="233">
        <f>D5</f>
        <v>281</v>
      </c>
      <c r="E12" s="233">
        <f>E5</f>
        <v>286</v>
      </c>
      <c r="F12" s="233">
        <f>F5</f>
        <v>282</v>
      </c>
      <c r="G12" s="233">
        <f>G5</f>
        <v>295</v>
      </c>
      <c r="I12" s="74">
        <f>INTERCEPT(C12:G12,$C$9:$G$9)</f>
        <v>-48725.200000000004</v>
      </c>
      <c r="J12" s="74">
        <f>SLOPE(C12:G12,$C$9:$G$9)</f>
        <v>24.3</v>
      </c>
      <c r="N12" s="33"/>
      <c r="O12" s="168"/>
      <c r="P12" s="257"/>
      <c r="Q12" s="376" t="s">
        <v>631</v>
      </c>
      <c r="R12" s="379" t="s">
        <v>632</v>
      </c>
      <c r="S12" s="377" t="str">
        <f ca="1">_xlfn.FORMULATEXT(M34)</f>
        <v>=L34/J34</v>
      </c>
    </row>
    <row r="13" spans="2:19" x14ac:dyDescent="0.35">
      <c r="N13" s="33"/>
      <c r="O13" s="168"/>
      <c r="P13" s="257"/>
      <c r="Q13" s="371"/>
      <c r="R13" s="370"/>
      <c r="S13" s="315"/>
    </row>
    <row r="14" spans="2:19" x14ac:dyDescent="0.35">
      <c r="B14" s="30" t="s">
        <v>325</v>
      </c>
      <c r="N14" s="33"/>
      <c r="O14" s="168"/>
      <c r="P14" s="257"/>
      <c r="Q14" s="371"/>
      <c r="R14" s="370"/>
      <c r="S14" s="315"/>
    </row>
    <row r="15" spans="2:19" x14ac:dyDescent="0.35">
      <c r="B15" s="203" t="s">
        <v>141</v>
      </c>
      <c r="C15" s="226">
        <v>2019</v>
      </c>
      <c r="D15" s="226">
        <v>2020</v>
      </c>
      <c r="E15" s="230">
        <v>2021</v>
      </c>
      <c r="F15" s="226">
        <v>2022</v>
      </c>
      <c r="G15" s="226">
        <v>2023</v>
      </c>
      <c r="H15" s="230">
        <v>2024</v>
      </c>
      <c r="I15" s="226">
        <v>2025</v>
      </c>
      <c r="J15" s="226">
        <v>2026</v>
      </c>
      <c r="K15" s="230">
        <v>2027</v>
      </c>
      <c r="L15" s="226">
        <v>2028</v>
      </c>
      <c r="N15" s="33"/>
      <c r="O15" s="168"/>
      <c r="P15" s="33"/>
      <c r="Q15" s="315"/>
      <c r="R15" s="315"/>
      <c r="S15" s="315"/>
    </row>
    <row r="16" spans="2:19" x14ac:dyDescent="0.35">
      <c r="B16" s="202" t="s">
        <v>116</v>
      </c>
      <c r="C16" s="231">
        <f>$I$10+$J$10*C15</f>
        <v>1142.387357166881</v>
      </c>
      <c r="D16" s="231">
        <f t="shared" ref="D16:L16" si="0">$I$10+$J$10*D15</f>
        <v>1266.6385367508046</v>
      </c>
      <c r="E16" s="231">
        <f t="shared" si="0"/>
        <v>1390.8897163346992</v>
      </c>
      <c r="F16" s="231">
        <f t="shared" si="0"/>
        <v>1515.1408959186228</v>
      </c>
      <c r="G16" s="231">
        <f t="shared" si="0"/>
        <v>1639.3920755025174</v>
      </c>
      <c r="H16" s="231">
        <f t="shared" si="0"/>
        <v>1763.6432550864411</v>
      </c>
      <c r="I16" s="231">
        <f t="shared" si="0"/>
        <v>1887.8944346703356</v>
      </c>
      <c r="J16" s="231">
        <f t="shared" si="0"/>
        <v>2012.1456142542593</v>
      </c>
      <c r="K16" s="231">
        <f t="shared" si="0"/>
        <v>2136.3967938381829</v>
      </c>
      <c r="L16" s="231">
        <f t="shared" si="0"/>
        <v>2260.6479734220775</v>
      </c>
      <c r="N16" s="33"/>
      <c r="O16" s="168"/>
      <c r="P16" s="33"/>
      <c r="Q16" s="315"/>
      <c r="R16" s="315"/>
      <c r="S16" s="315"/>
    </row>
    <row r="17" spans="2:19" x14ac:dyDescent="0.35">
      <c r="B17" s="202" t="s">
        <v>118</v>
      </c>
      <c r="C17" s="231">
        <f>$I$11+$J$11*C15</f>
        <v>1218.7043945251498</v>
      </c>
      <c r="D17" s="231">
        <f t="shared" ref="D17:L17" si="1">$I$11+$J$11*D15</f>
        <v>1365.7783762661857</v>
      </c>
      <c r="E17" s="231">
        <f t="shared" si="1"/>
        <v>1512.8523580072797</v>
      </c>
      <c r="F17" s="231">
        <f t="shared" si="1"/>
        <v>1659.9263397483737</v>
      </c>
      <c r="G17" s="231">
        <f t="shared" si="1"/>
        <v>1807.0003214894678</v>
      </c>
      <c r="H17" s="231">
        <f t="shared" si="1"/>
        <v>1954.0743032305036</v>
      </c>
      <c r="I17" s="231">
        <f t="shared" si="1"/>
        <v>2101.1482849715976</v>
      </c>
      <c r="J17" s="231">
        <f t="shared" si="1"/>
        <v>2248.2222667126916</v>
      </c>
      <c r="K17" s="231">
        <f t="shared" si="1"/>
        <v>2395.2962484537275</v>
      </c>
      <c r="L17" s="231">
        <f t="shared" si="1"/>
        <v>2542.3702301948215</v>
      </c>
      <c r="N17" s="33"/>
      <c r="O17" s="168"/>
      <c r="P17" s="33"/>
      <c r="Q17" s="315"/>
      <c r="R17" s="315"/>
      <c r="S17" s="315"/>
    </row>
    <row r="18" spans="2:19" x14ac:dyDescent="0.35">
      <c r="B18" s="202" t="s">
        <v>91</v>
      </c>
      <c r="C18" s="231">
        <f>$I$12+$J$12*C15</f>
        <v>336.5</v>
      </c>
      <c r="D18" s="231">
        <f t="shared" ref="D18:L18" si="2">$I$12+$J$12*D15</f>
        <v>360.79999999999563</v>
      </c>
      <c r="E18" s="231">
        <f t="shared" si="2"/>
        <v>385.09999999999854</v>
      </c>
      <c r="F18" s="231">
        <f t="shared" si="2"/>
        <v>409.39999999999418</v>
      </c>
      <c r="G18" s="231">
        <f t="shared" si="2"/>
        <v>433.69999999999709</v>
      </c>
      <c r="H18" s="231">
        <f t="shared" si="2"/>
        <v>458</v>
      </c>
      <c r="I18" s="231">
        <f t="shared" si="2"/>
        <v>482.29999999999563</v>
      </c>
      <c r="J18" s="231">
        <f t="shared" si="2"/>
        <v>506.59999999999854</v>
      </c>
      <c r="K18" s="231">
        <f t="shared" si="2"/>
        <v>530.89999999999418</v>
      </c>
      <c r="L18" s="231">
        <f t="shared" si="2"/>
        <v>555.19999999999709</v>
      </c>
      <c r="N18" s="33"/>
      <c r="O18" s="168"/>
      <c r="P18" s="33"/>
      <c r="Q18" s="315"/>
      <c r="R18" s="315"/>
      <c r="S18" s="315"/>
    </row>
    <row r="19" spans="2:19" x14ac:dyDescent="0.35">
      <c r="N19" s="33"/>
      <c r="O19" s="168"/>
      <c r="P19" s="33"/>
      <c r="Q19" s="33"/>
      <c r="R19" s="33"/>
      <c r="S19" s="33"/>
    </row>
    <row r="20" spans="2:19" x14ac:dyDescent="0.35">
      <c r="N20" s="33"/>
      <c r="O20" s="33"/>
      <c r="P20" s="33"/>
      <c r="Q20" s="33"/>
      <c r="R20" s="33"/>
      <c r="S20" s="33"/>
    </row>
    <row r="21" spans="2:19" x14ac:dyDescent="0.35">
      <c r="B21" s="30" t="s">
        <v>326</v>
      </c>
      <c r="C21" s="100" t="s">
        <v>156</v>
      </c>
      <c r="D21" s="48"/>
      <c r="N21" s="123"/>
      <c r="O21" s="123"/>
      <c r="P21" s="158"/>
      <c r="Q21" s="33"/>
      <c r="R21" s="33"/>
      <c r="S21" s="33"/>
    </row>
    <row r="22" spans="2:19" x14ac:dyDescent="0.35">
      <c r="B22" s="195" t="s">
        <v>88</v>
      </c>
      <c r="C22" s="519">
        <v>2019</v>
      </c>
      <c r="D22" s="48"/>
      <c r="N22" s="123"/>
      <c r="O22" s="123"/>
      <c r="P22" s="158"/>
      <c r="Q22" s="33"/>
      <c r="R22" s="33"/>
      <c r="S22" s="33"/>
    </row>
    <row r="23" spans="2:19" x14ac:dyDescent="0.35">
      <c r="B23" s="184"/>
      <c r="C23" s="223"/>
      <c r="D23" s="48"/>
      <c r="N23" s="123"/>
      <c r="O23" s="123"/>
      <c r="P23" s="158"/>
    </row>
    <row r="24" spans="2:19" x14ac:dyDescent="0.35">
      <c r="B24" s="227"/>
      <c r="C24" s="226" t="s">
        <v>138</v>
      </c>
      <c r="D24" s="226" t="s">
        <v>139</v>
      </c>
      <c r="E24" s="169" t="s">
        <v>62</v>
      </c>
    </row>
    <row r="25" spans="2:19" x14ac:dyDescent="0.35">
      <c r="B25" s="228" t="s">
        <v>137</v>
      </c>
      <c r="C25" s="188">
        <f>J6</f>
        <v>56</v>
      </c>
      <c r="D25" s="188">
        <f>K6</f>
        <v>82</v>
      </c>
      <c r="E25" s="188">
        <f>'Dashboard (Overall)'!B11</f>
        <v>18</v>
      </c>
    </row>
    <row r="26" spans="2:19" x14ac:dyDescent="0.35">
      <c r="B26" s="228" t="s">
        <v>130</v>
      </c>
      <c r="C26" s="229">
        <f>J3</f>
        <v>-1.7812583698934152</v>
      </c>
      <c r="D26" s="229">
        <f>K3</f>
        <v>-1.6911803404159702</v>
      </c>
      <c r="E26" s="74" t="s">
        <v>100</v>
      </c>
    </row>
    <row r="28" spans="2:19" x14ac:dyDescent="0.35">
      <c r="B28" s="203" t="s">
        <v>117</v>
      </c>
      <c r="C28" s="203" t="s">
        <v>52</v>
      </c>
      <c r="D28" s="203" t="s">
        <v>42</v>
      </c>
      <c r="E28" s="203" t="s">
        <v>120</v>
      </c>
      <c r="F28" s="203" t="s">
        <v>121</v>
      </c>
      <c r="G28" s="203" t="s">
        <v>123</v>
      </c>
      <c r="H28" s="203" t="s">
        <v>37</v>
      </c>
      <c r="I28" s="203" t="s">
        <v>119</v>
      </c>
      <c r="J28" s="203" t="s">
        <v>1</v>
      </c>
      <c r="K28" s="203" t="s">
        <v>45</v>
      </c>
      <c r="L28" s="203" t="s">
        <v>23</v>
      </c>
      <c r="M28" s="100"/>
    </row>
    <row r="29" spans="2:19" x14ac:dyDescent="0.35">
      <c r="B29" s="202" t="s">
        <v>116</v>
      </c>
      <c r="C29" s="188">
        <f>C25</f>
        <v>56</v>
      </c>
      <c r="D29" s="220">
        <f>LOOKUP($C$22,$C$15:$L$15,C16:L16)</f>
        <v>1142.387357166881</v>
      </c>
      <c r="E29" s="188">
        <f>'Dashboard (Overall)'!B20</f>
        <v>66461.09</v>
      </c>
      <c r="F29" s="188">
        <f>'Dashboard (Overall)'!B23</f>
        <v>0.294738</v>
      </c>
      <c r="G29" s="188">
        <f>'Dashboard (Overall)'!B25</f>
        <v>4.46</v>
      </c>
      <c r="H29" s="201">
        <f>Solver!L13</f>
        <v>30</v>
      </c>
      <c r="I29" s="201">
        <f>D29*H29</f>
        <v>34271.620715006429</v>
      </c>
      <c r="J29" s="188">
        <f>D29*C29</f>
        <v>63973.692001345335</v>
      </c>
      <c r="K29" s="188">
        <f>F29*I29+G29*D29</f>
        <v>15196.196559263855</v>
      </c>
      <c r="L29" s="188">
        <f>J29-K29</f>
        <v>48777.495442081476</v>
      </c>
      <c r="M29" s="100"/>
    </row>
    <row r="30" spans="2:19" x14ac:dyDescent="0.35">
      <c r="B30" s="202" t="s">
        <v>118</v>
      </c>
      <c r="C30" s="188">
        <f>D25</f>
        <v>82</v>
      </c>
      <c r="D30" s="220">
        <f>LOOKUP($C$22,$C$15:$L$15,C17:L17)</f>
        <v>1218.7043945251498</v>
      </c>
      <c r="E30" s="62"/>
      <c r="F30" s="188">
        <f>'Dashboard (Overall)'!B23</f>
        <v>0.294738</v>
      </c>
      <c r="G30" s="188">
        <f>'Dashboard (Overall)'!B26</f>
        <v>5.28</v>
      </c>
      <c r="H30" s="201">
        <f>Solver!L14</f>
        <v>50</v>
      </c>
      <c r="I30" s="201">
        <f>D30*H30</f>
        <v>60935.219726257492</v>
      </c>
      <c r="J30" s="188">
        <f>D30*C30</f>
        <v>99933.760351062287</v>
      </c>
      <c r="K30" s="188">
        <f>F30*I30+G30*D30</f>
        <v>24394.683994770472</v>
      </c>
      <c r="L30" s="188">
        <f>J30-K30</f>
        <v>75539.076356291815</v>
      </c>
      <c r="M30" s="100"/>
    </row>
    <row r="31" spans="2:19" x14ac:dyDescent="0.35">
      <c r="B31" s="202" t="s">
        <v>91</v>
      </c>
      <c r="C31" s="188">
        <f>E25</f>
        <v>18</v>
      </c>
      <c r="D31" s="220">
        <f>LOOKUP($C$22,$C$15:$L$15,C18:L18)</f>
        <v>336.5</v>
      </c>
      <c r="E31" s="62"/>
      <c r="F31" s="188">
        <f>'Dashboard (Overall)'!B24</f>
        <v>2.5891999999999998E-2</v>
      </c>
      <c r="G31" s="188">
        <f>'Dashboard (Overall)'!B27</f>
        <v>2.1800000000000002</v>
      </c>
      <c r="H31" s="201">
        <f>Solver!L15</f>
        <v>100</v>
      </c>
      <c r="I31" s="201">
        <f>D31*H31</f>
        <v>33650</v>
      </c>
      <c r="J31" s="188">
        <f>D31*C31</f>
        <v>6057</v>
      </c>
      <c r="K31" s="188">
        <f>F31*I31+G31*D31</f>
        <v>1604.8357999999998</v>
      </c>
      <c r="L31" s="188">
        <f>J31-K31</f>
        <v>4452.1642000000002</v>
      </c>
      <c r="M31" s="100"/>
    </row>
    <row r="32" spans="2:19" x14ac:dyDescent="0.35">
      <c r="B32" s="47"/>
      <c r="D32" s="99"/>
      <c r="E32" s="62"/>
      <c r="F32" s="63"/>
      <c r="G32" s="63"/>
      <c r="H32" s="63"/>
      <c r="I32" s="62"/>
      <c r="J32" s="179"/>
      <c r="K32" s="180"/>
      <c r="L32" s="180"/>
      <c r="M32" s="65"/>
    </row>
    <row r="33" spans="2:13" x14ac:dyDescent="0.35">
      <c r="B33" s="43"/>
      <c r="C33" s="59"/>
      <c r="E33" s="62"/>
      <c r="F33" s="63"/>
      <c r="G33" s="63"/>
      <c r="H33" s="63"/>
      <c r="I33" s="65"/>
      <c r="J33" s="213" t="s">
        <v>46</v>
      </c>
      <c r="K33" s="216" t="s">
        <v>43</v>
      </c>
      <c r="L33" s="217" t="s">
        <v>44</v>
      </c>
      <c r="M33" s="203" t="s">
        <v>47</v>
      </c>
    </row>
    <row r="34" spans="2:13" x14ac:dyDescent="0.35">
      <c r="B34" s="43"/>
      <c r="C34" s="59"/>
      <c r="D34" s="62"/>
      <c r="E34" s="62"/>
      <c r="F34" s="63"/>
      <c r="G34" s="63"/>
      <c r="H34" s="63"/>
      <c r="I34" s="193" t="s">
        <v>17</v>
      </c>
      <c r="J34" s="188">
        <f>SUM(J29:J31)</f>
        <v>169964.45235240762</v>
      </c>
      <c r="K34" s="188">
        <f>SUM(K29:K31,E29)</f>
        <v>107656.80635403433</v>
      </c>
      <c r="L34" s="188">
        <f>J34-K34</f>
        <v>62307.645998373293</v>
      </c>
      <c r="M34" s="189">
        <f>L34/J34</f>
        <v>0.36659222052610979</v>
      </c>
    </row>
    <row r="36" spans="2:13" x14ac:dyDescent="0.35">
      <c r="B36" s="30" t="s">
        <v>278</v>
      </c>
    </row>
    <row r="37" spans="2:13" x14ac:dyDescent="0.35">
      <c r="B37" s="100" t="s">
        <v>313</v>
      </c>
      <c r="D37" s="95"/>
      <c r="E37" s="33"/>
      <c r="F37" s="33"/>
      <c r="G37" s="33"/>
      <c r="H37" s="33"/>
      <c r="I37" s="33"/>
      <c r="J37" s="33"/>
      <c r="K37" s="33"/>
      <c r="L37" s="33"/>
      <c r="M37" s="33"/>
    </row>
    <row r="38" spans="2:13" x14ac:dyDescent="0.35">
      <c r="B38" s="100" t="s">
        <v>314</v>
      </c>
      <c r="D38" s="95"/>
      <c r="E38" s="33"/>
      <c r="F38" s="33"/>
      <c r="G38" s="33"/>
      <c r="H38" s="33"/>
      <c r="I38" s="33"/>
      <c r="J38" s="247"/>
      <c r="K38" s="248"/>
      <c r="L38" s="247"/>
      <c r="M38" s="249"/>
    </row>
    <row r="39" spans="2:13" x14ac:dyDescent="0.35">
      <c r="B39" s="100" t="s">
        <v>315</v>
      </c>
      <c r="D39" s="95"/>
      <c r="E39" s="250"/>
      <c r="F39" s="33"/>
      <c r="G39" s="33"/>
      <c r="H39" s="33"/>
      <c r="I39" s="33"/>
      <c r="J39" s="179"/>
      <c r="K39" s="179"/>
      <c r="L39" s="179"/>
      <c r="M39" s="42"/>
    </row>
    <row r="40" spans="2:13" x14ac:dyDescent="0.35">
      <c r="B40" s="100" t="s">
        <v>316</v>
      </c>
      <c r="D40" s="95"/>
      <c r="E40" s="33"/>
      <c r="F40" s="33"/>
      <c r="G40" s="33"/>
      <c r="H40" s="33"/>
      <c r="I40" s="33"/>
      <c r="J40" s="33"/>
      <c r="K40" s="33"/>
      <c r="L40" s="33"/>
      <c r="M40" s="33"/>
    </row>
    <row r="41" spans="2:13" x14ac:dyDescent="0.35">
      <c r="B41" s="100" t="s">
        <v>317</v>
      </c>
    </row>
    <row r="43" spans="2:13" x14ac:dyDescent="0.35">
      <c r="B43" s="30" t="s">
        <v>51</v>
      </c>
    </row>
    <row r="44" spans="2:13" x14ac:dyDescent="0.35">
      <c r="B44" s="100" t="s">
        <v>318</v>
      </c>
    </row>
    <row r="45" spans="2:13" x14ac:dyDescent="0.35">
      <c r="B45" s="100" t="s">
        <v>319</v>
      </c>
    </row>
  </sheetData>
  <sheetProtection algorithmName="SHA-512" hashValue="k3zhEClPWIcvrVWo8Q3uk6ZOiqX1iMP+KpojvbXZrGWm+tuzbp4UzKTCj2/dlWPTaKFuOpoIVXjorzay20QlMQ==" saltValue="b/DGDddWUBVNooB4aQsV9Q==" spinCount="100000" sheet="1" objects="1" scenarios="1" selectLockedCells="1"/>
  <dataValidations count="1">
    <dataValidation type="list" allowBlank="1" showInputMessage="1" showErrorMessage="1" sqref="C22" xr:uid="{0CD7D89F-61FF-4F34-999E-34AA25DFAEAD}">
      <formula1>$C$15:$L$15</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628C2-02C1-4D52-86D9-3CCD87CB3316}">
  <sheetPr codeName="Sheet16">
    <tabColor rgb="FF002060"/>
  </sheetPr>
  <dimension ref="A1:AM10121"/>
  <sheetViews>
    <sheetView showGridLines="0" topLeftCell="C103" zoomScale="71" zoomScaleNormal="86" workbookViewId="0">
      <selection activeCell="J127" sqref="J127"/>
    </sheetView>
  </sheetViews>
  <sheetFormatPr defaultColWidth="8.83203125" defaultRowHeight="15.5" x14ac:dyDescent="0.35"/>
  <cols>
    <col min="2" max="3" width="20.5" bestFit="1" customWidth="1"/>
    <col min="4" max="4" width="19.58203125" bestFit="1" customWidth="1"/>
    <col min="5" max="5" width="13.83203125" bestFit="1" customWidth="1"/>
    <col min="6" max="6" width="16" bestFit="1" customWidth="1"/>
    <col min="7" max="7" width="18.5" bestFit="1" customWidth="1"/>
    <col min="8" max="9" width="17.5" customWidth="1"/>
    <col min="10" max="10" width="12.5" customWidth="1"/>
    <col min="11" max="11" width="11.75" bestFit="1" customWidth="1"/>
    <col min="12" max="12" width="10.5" customWidth="1"/>
    <col min="13" max="13" width="10.5" bestFit="1" customWidth="1"/>
    <col min="14" max="14" width="15" customWidth="1"/>
    <col min="15" max="15" width="15.33203125" customWidth="1"/>
    <col min="16" max="16" width="16" customWidth="1"/>
    <col min="17" max="17" width="10.83203125" customWidth="1"/>
    <col min="18" max="18" width="8.83203125" bestFit="1" customWidth="1"/>
    <col min="19" max="19" width="9.33203125" customWidth="1"/>
    <col min="20" max="21" width="8.83203125" bestFit="1" customWidth="1"/>
    <col min="23" max="23" width="15.58203125" bestFit="1" customWidth="1"/>
    <col min="24" max="25" width="8.83203125" bestFit="1" customWidth="1"/>
    <col min="26" max="26" width="12.58203125" bestFit="1" customWidth="1"/>
    <col min="27" max="28" width="8.83203125" bestFit="1" customWidth="1"/>
    <col min="33" max="33" width="29.33203125" customWidth="1"/>
    <col min="34" max="35" width="45.58203125" customWidth="1"/>
  </cols>
  <sheetData>
    <row r="1" spans="1:39" x14ac:dyDescent="0.35">
      <c r="A1" s="69" t="s">
        <v>817</v>
      </c>
      <c r="AG1" s="299" t="s">
        <v>342</v>
      </c>
      <c r="AH1" s="300"/>
      <c r="AI1" s="300"/>
      <c r="AJ1" s="359"/>
      <c r="AK1" s="359"/>
      <c r="AL1" s="359"/>
      <c r="AM1" s="358"/>
    </row>
    <row r="2" spans="1:39" x14ac:dyDescent="0.35">
      <c r="A2" s="69"/>
      <c r="B2" s="30" t="s">
        <v>170</v>
      </c>
      <c r="I2" s="30" t="s">
        <v>263</v>
      </c>
      <c r="AG2" s="302" t="s">
        <v>105</v>
      </c>
      <c r="AH2" s="303" t="s">
        <v>107</v>
      </c>
      <c r="AI2" s="303" t="s">
        <v>106</v>
      </c>
      <c r="AM2" s="318"/>
    </row>
    <row r="3" spans="1:39" x14ac:dyDescent="0.35">
      <c r="A3" s="69"/>
      <c r="B3" s="203" t="s">
        <v>141</v>
      </c>
      <c r="C3" s="226">
        <v>2014</v>
      </c>
      <c r="D3" s="226">
        <v>2015</v>
      </c>
      <c r="E3" s="230">
        <v>2016</v>
      </c>
      <c r="F3" s="226">
        <v>2017</v>
      </c>
      <c r="G3" s="230">
        <v>2018</v>
      </c>
      <c r="I3" s="281" t="s">
        <v>264</v>
      </c>
      <c r="J3" s="226">
        <v>2014</v>
      </c>
      <c r="K3" s="226">
        <v>2015</v>
      </c>
      <c r="L3" s="230">
        <v>2016</v>
      </c>
      <c r="M3" s="226">
        <v>2017</v>
      </c>
      <c r="N3" s="230">
        <v>2018</v>
      </c>
      <c r="P3" s="281" t="s">
        <v>265</v>
      </c>
      <c r="Q3" s="226">
        <v>2014</v>
      </c>
      <c r="R3" s="226">
        <v>2015</v>
      </c>
      <c r="S3" s="230">
        <v>2016</v>
      </c>
      <c r="T3" s="226">
        <v>2017</v>
      </c>
      <c r="U3" s="230">
        <v>2018</v>
      </c>
      <c r="W3" s="281" t="s">
        <v>266</v>
      </c>
      <c r="X3" s="226">
        <v>2014</v>
      </c>
      <c r="Y3" s="226">
        <v>2015</v>
      </c>
      <c r="Z3" s="230">
        <v>2016</v>
      </c>
      <c r="AA3" s="226">
        <v>2017</v>
      </c>
      <c r="AB3" s="230">
        <v>2018</v>
      </c>
      <c r="AG3" s="319" t="s">
        <v>418</v>
      </c>
      <c r="AH3" t="s">
        <v>633</v>
      </c>
      <c r="AI3" t="str">
        <f ca="1">_xlfn.FORMULATEXT(C4)</f>
        <v>='Growth Projection'!C3</v>
      </c>
      <c r="AM3" s="318"/>
    </row>
    <row r="4" spans="1:39" x14ac:dyDescent="0.35">
      <c r="A4" s="69"/>
      <c r="B4" s="202" t="s">
        <v>116</v>
      </c>
      <c r="C4" s="233">
        <f>'Growth Projection'!C3</f>
        <v>283</v>
      </c>
      <c r="D4" s="233">
        <f>'Growth Projection'!D3</f>
        <v>769</v>
      </c>
      <c r="E4" s="233">
        <f>'Growth Projection'!E3</f>
        <v>758</v>
      </c>
      <c r="F4" s="233">
        <f>'Growth Projection'!F3</f>
        <v>760</v>
      </c>
      <c r="G4" s="233">
        <f>'Growth Projection'!G3</f>
        <v>762</v>
      </c>
      <c r="I4" s="281" t="s">
        <v>267</v>
      </c>
      <c r="J4" s="283">
        <f>AVERAGE($J$5:$N$5)</f>
        <v>769.63381841515616</v>
      </c>
      <c r="K4" s="283">
        <f>AVERAGE($J$5:$N$5)</f>
        <v>769.63381841515616</v>
      </c>
      <c r="L4" s="283">
        <f>AVERAGE($J$5:$N$5)</f>
        <v>769.63381841515616</v>
      </c>
      <c r="M4" s="283">
        <f>AVERAGE($J$5:$N$5)</f>
        <v>769.63381841515616</v>
      </c>
      <c r="N4" s="283">
        <f>AVERAGE($J$5:$N$5)</f>
        <v>769.63381841515616</v>
      </c>
      <c r="O4" s="72"/>
      <c r="P4" s="281" t="s">
        <v>267</v>
      </c>
      <c r="Q4" s="283">
        <f>AVERAGE($Q$5:$U$5)</f>
        <v>777.48244930185388</v>
      </c>
      <c r="R4" s="283">
        <f>AVERAGE($Q$5:$U$5)</f>
        <v>777.48244930185388</v>
      </c>
      <c r="S4" s="283">
        <f>AVERAGE($Q$5:$U$5)</f>
        <v>777.48244930185388</v>
      </c>
      <c r="T4" s="283">
        <f>AVERAGE($Q$5:$U$5)</f>
        <v>777.48244930185388</v>
      </c>
      <c r="U4" s="283">
        <f>AVERAGE($Q$5:$U$5)</f>
        <v>777.48244930185388</v>
      </c>
      <c r="W4" s="281" t="s">
        <v>267</v>
      </c>
      <c r="X4" s="283">
        <f>AVERAGE($X$5:$AB$5)</f>
        <v>263.60000000000002</v>
      </c>
      <c r="Y4" s="283">
        <f>AVERAGE($X$5:$AB$5)</f>
        <v>263.60000000000002</v>
      </c>
      <c r="Z4" s="283">
        <f>AVERAGE($X$5:$AB$5)</f>
        <v>263.60000000000002</v>
      </c>
      <c r="AA4" s="283">
        <f>AVERAGE($X$5:$AB$5)</f>
        <v>263.60000000000002</v>
      </c>
      <c r="AB4" s="283">
        <f>AVERAGE($X$5:$AB$5)</f>
        <v>263.60000000000002</v>
      </c>
      <c r="AG4" s="319" t="s">
        <v>612</v>
      </c>
      <c r="AH4" t="s">
        <v>634</v>
      </c>
      <c r="AI4" t="str">
        <f ca="1">_xlfn.FORMULATEXT(C9)</f>
        <v>=J10</v>
      </c>
      <c r="AM4" s="318"/>
    </row>
    <row r="5" spans="1:39" x14ac:dyDescent="0.35">
      <c r="A5" s="69"/>
      <c r="B5" s="202" t="s">
        <v>118</v>
      </c>
      <c r="C5" s="233">
        <f>'Growth Projection'!C4</f>
        <v>212</v>
      </c>
      <c r="D5" s="233">
        <f>'Growth Projection'!D4</f>
        <v>647</v>
      </c>
      <c r="E5" s="233">
        <f>'Growth Projection'!E4</f>
        <v>652</v>
      </c>
      <c r="F5" s="233">
        <f>'Growth Projection'!F4</f>
        <v>839</v>
      </c>
      <c r="G5" s="233">
        <f>'Growth Projection'!G4</f>
        <v>827</v>
      </c>
      <c r="I5" s="281" t="s">
        <v>268</v>
      </c>
      <c r="J5" s="283">
        <f>'Growth Projection'!C10</f>
        <v>316.60640791198909</v>
      </c>
      <c r="K5" s="283">
        <f>'Growth Projection'!D10</f>
        <v>860.31917909653578</v>
      </c>
      <c r="L5" s="283">
        <f>'Growth Projection'!E10</f>
        <v>848.0129229586139</v>
      </c>
      <c r="M5" s="283">
        <f>'Growth Projection'!F10</f>
        <v>910.41737345766626</v>
      </c>
      <c r="N5" s="283">
        <f>'Growth Projection'!G10</f>
        <v>912.81320865097587</v>
      </c>
      <c r="O5" s="72"/>
      <c r="P5" s="281" t="s">
        <v>268</v>
      </c>
      <c r="Q5" s="283">
        <f>'Growth Projection'!C11</f>
        <v>276.53544179027347</v>
      </c>
      <c r="R5" s="283">
        <f>'Growth Projection'!D11</f>
        <v>843.95486244484391</v>
      </c>
      <c r="S5" s="283">
        <f>'Growth Projection'!E11</f>
        <v>850.47692475121835</v>
      </c>
      <c r="T5" s="283">
        <f>'Growth Projection'!F11</f>
        <v>965.12447160968884</v>
      </c>
      <c r="U5" s="283">
        <f>'Growth Projection'!G11</f>
        <v>951.32054591324516</v>
      </c>
      <c r="V5" s="72"/>
      <c r="W5" s="281" t="s">
        <v>268</v>
      </c>
      <c r="X5" s="283">
        <f>'Growth Projection'!C12</f>
        <v>174</v>
      </c>
      <c r="Y5" s="283">
        <f>'Growth Projection'!D12</f>
        <v>281</v>
      </c>
      <c r="Z5" s="283">
        <f>'Growth Projection'!E12</f>
        <v>286</v>
      </c>
      <c r="AA5" s="283">
        <f>'Growth Projection'!F12</f>
        <v>282</v>
      </c>
      <c r="AB5" s="283">
        <f>'Growth Projection'!G12</f>
        <v>295</v>
      </c>
      <c r="AG5" s="319" t="s">
        <v>616</v>
      </c>
      <c r="AH5" t="s">
        <v>635</v>
      </c>
      <c r="AI5" t="str">
        <f ca="1">_xlfn.FORMULATEXT(C16)</f>
        <v>=NORM.INV(RAND(),'Growth Projection'!C16,'CAGR Calculation (SG only)'!$D$9)</v>
      </c>
      <c r="AM5" s="318"/>
    </row>
    <row r="6" spans="1:39" x14ac:dyDescent="0.35">
      <c r="A6" s="69"/>
      <c r="B6" s="202" t="s">
        <v>91</v>
      </c>
      <c r="C6" s="233">
        <f>'Growth Projection'!C5</f>
        <v>174</v>
      </c>
      <c r="D6" s="233">
        <f>'Growth Projection'!D5</f>
        <v>281</v>
      </c>
      <c r="E6" s="233">
        <f>'Growth Projection'!E5</f>
        <v>286</v>
      </c>
      <c r="F6" s="233">
        <f>'Growth Projection'!F5</f>
        <v>282</v>
      </c>
      <c r="G6" s="233">
        <f>'Growth Projection'!G5</f>
        <v>295</v>
      </c>
      <c r="I6" s="281" t="s">
        <v>269</v>
      </c>
      <c r="J6" s="284">
        <f>'Growth Projection'!$I$10+'Growth Projection'!$J$10*'CAGR Calculation (SG only)'!J3</f>
        <v>521.13145924732089</v>
      </c>
      <c r="K6" s="284">
        <f>'Growth Projection'!$I$10+'Growth Projection'!$J$10*'CAGR Calculation (SG only)'!K3</f>
        <v>645.38263883124455</v>
      </c>
      <c r="L6" s="284">
        <f>'Growth Projection'!$I$10+'Growth Projection'!$J$10*'CAGR Calculation (SG only)'!L3</f>
        <v>769.63381841516821</v>
      </c>
      <c r="M6" s="284">
        <f>'Growth Projection'!$I$10+'Growth Projection'!$J$10*'CAGR Calculation (SG only)'!M3</f>
        <v>893.88499799906276</v>
      </c>
      <c r="N6" s="284">
        <f>'Growth Projection'!$I$10+'Growth Projection'!$J$10*'CAGR Calculation (SG only)'!N3</f>
        <v>1018.1361775829864</v>
      </c>
      <c r="O6" s="72"/>
      <c r="P6" s="281" t="s">
        <v>269</v>
      </c>
      <c r="Q6" s="284">
        <f>'Growth Projection'!$I$11+'Growth Projection'!$J$11*'CAGR Calculation (SG only)'!Q3</f>
        <v>483.33448581973789</v>
      </c>
      <c r="R6" s="284">
        <f>'Growth Projection'!$I$11+'Growth Projection'!$J$11*'CAGR Calculation (SG only)'!R3</f>
        <v>630.40846756083192</v>
      </c>
      <c r="S6" s="284">
        <f>'Growth Projection'!$I$11+'Growth Projection'!$J$11*'CAGR Calculation (SG only)'!S3</f>
        <v>777.48244930186775</v>
      </c>
      <c r="T6" s="284">
        <f>'Growth Projection'!$I$11+'Growth Projection'!$J$11*'CAGR Calculation (SG only)'!T3</f>
        <v>924.55643104296178</v>
      </c>
      <c r="U6" s="284">
        <f>'Growth Projection'!$I$11+'Growth Projection'!$J$11*'CAGR Calculation (SG only)'!U3</f>
        <v>1071.6304127840558</v>
      </c>
      <c r="W6" s="281" t="s">
        <v>269</v>
      </c>
      <c r="X6" s="284">
        <f>'Growth Projection'!$I$12+'Growth Projection'!$J$12*'CAGR Calculation (SG only)'!X3</f>
        <v>215</v>
      </c>
      <c r="Y6" s="284">
        <f>'Growth Projection'!$I$12+'Growth Projection'!$J$12*'CAGR Calculation (SG only)'!Y3</f>
        <v>239.29999999999563</v>
      </c>
      <c r="Z6" s="284">
        <f>'Growth Projection'!$I$12+'Growth Projection'!$J$12*'CAGR Calculation (SG only)'!Z3</f>
        <v>263.59999999999854</v>
      </c>
      <c r="AA6" s="284">
        <f>'Growth Projection'!$I$12+'Growth Projection'!$J$12*'CAGR Calculation (SG only)'!AA3</f>
        <v>287.89999999999418</v>
      </c>
      <c r="AB6" s="284">
        <f>'Growth Projection'!$I$12+'Growth Projection'!$J$12*'CAGR Calculation (SG only)'!AB3</f>
        <v>312.19999999999709</v>
      </c>
      <c r="AG6" s="319" t="s">
        <v>624</v>
      </c>
      <c r="AH6" t="s">
        <v>636</v>
      </c>
      <c r="AI6" t="str">
        <f ca="1">_xlfn.FORMULATEXT(C22)</f>
        <v>='Growth Projection'!C25</v>
      </c>
      <c r="AM6" s="318"/>
    </row>
    <row r="7" spans="1:39" x14ac:dyDescent="0.35">
      <c r="A7" s="69"/>
      <c r="I7" s="281" t="s">
        <v>270</v>
      </c>
      <c r="J7" s="284">
        <f>(J6-J4)^2</f>
        <v>61753.422511979799</v>
      </c>
      <c r="K7" s="284">
        <f>(K6-K4)^2</f>
        <v>15438.355627993453</v>
      </c>
      <c r="L7" s="284">
        <f>(L6-L4)^2</f>
        <v>1.4522189629134092E-22</v>
      </c>
      <c r="M7" s="284">
        <f>(M6-M4)^2</f>
        <v>15438.35562799221</v>
      </c>
      <c r="N7" s="284">
        <f>(N6-N4)^2</f>
        <v>61753.422511977311</v>
      </c>
      <c r="P7" s="281" t="s">
        <v>270</v>
      </c>
      <c r="Q7" s="284">
        <f>(Q6-Q4)^2</f>
        <v>86523.024420676244</v>
      </c>
      <c r="R7" s="284">
        <f>(R6-R4)^2</f>
        <v>21630.75610515846</v>
      </c>
      <c r="S7" s="284">
        <f>(S6-S4)^2</f>
        <v>1.923711912068635E-22</v>
      </c>
      <c r="T7" s="284">
        <f>(T6-T4)^2</f>
        <v>21630.75610518374</v>
      </c>
      <c r="U7" s="284">
        <f>(U6-U4)^2</f>
        <v>86523.024420726797</v>
      </c>
      <c r="W7" s="281" t="s">
        <v>270</v>
      </c>
      <c r="X7" s="284">
        <f>(X6-X4)^2</f>
        <v>2361.9600000000023</v>
      </c>
      <c r="Y7" s="284">
        <f>(Y6-Y4)^2</f>
        <v>590.49000000021329</v>
      </c>
      <c r="Z7" s="284">
        <f>(Z6-Z4)^2</f>
        <v>2.1842738050228387E-24</v>
      </c>
      <c r="AA7" s="284">
        <f>(AA6-AA4)^2</f>
        <v>590.48999999971602</v>
      </c>
      <c r="AB7" s="284">
        <f>(AB6-AB4)^2</f>
        <v>2361.9599999997149</v>
      </c>
      <c r="AG7" s="319" t="s">
        <v>637</v>
      </c>
      <c r="AH7" t="s">
        <v>592</v>
      </c>
      <c r="AI7" t="str">
        <f ca="1">_xlfn.FORMULATEXT(C23)</f>
        <v>='Growth Projection'!C26</v>
      </c>
      <c r="AM7" s="318"/>
    </row>
    <row r="8" spans="1:39" x14ac:dyDescent="0.35">
      <c r="B8" s="203"/>
      <c r="C8" s="195" t="s">
        <v>142</v>
      </c>
      <c r="D8" s="195" t="s">
        <v>143</v>
      </c>
      <c r="AG8" s="319" t="s">
        <v>563</v>
      </c>
      <c r="AH8" t="s">
        <v>638</v>
      </c>
      <c r="AI8" t="str">
        <f ca="1">_xlfn.FORMULATEXT(J4)</f>
        <v>=AVERAGE($J$5:$N$5)</v>
      </c>
      <c r="AM8" s="318"/>
    </row>
    <row r="9" spans="1:39" x14ac:dyDescent="0.35">
      <c r="B9" s="202" t="s">
        <v>116</v>
      </c>
      <c r="C9" s="244">
        <f>J10</f>
        <v>38595.889069985693</v>
      </c>
      <c r="D9" s="244">
        <f>C9^0.5</f>
        <v>196.4583647238918</v>
      </c>
      <c r="I9" s="234" t="s">
        <v>271</v>
      </c>
      <c r="J9" s="333">
        <f>SUM(J7:N7)</f>
        <v>154383.55627994277</v>
      </c>
      <c r="L9" t="s">
        <v>272</v>
      </c>
      <c r="P9" s="234" t="s">
        <v>271</v>
      </c>
      <c r="Q9" s="333">
        <f>SUM(Q7:U7)</f>
        <v>216307.56105174526</v>
      </c>
      <c r="W9" s="234" t="s">
        <v>271</v>
      </c>
      <c r="X9" s="333">
        <f>SUM(X7:AB7)</f>
        <v>5904.8999999996468</v>
      </c>
      <c r="AG9" s="319" t="s">
        <v>353</v>
      </c>
      <c r="AH9" t="s">
        <v>639</v>
      </c>
      <c r="AI9" t="str">
        <f ca="1">_xlfn.FORMULATEXT(J5)</f>
        <v>='Growth Projection'!C10</v>
      </c>
      <c r="AM9" s="318"/>
    </row>
    <row r="10" spans="1:39" x14ac:dyDescent="0.35">
      <c r="B10" s="202" t="s">
        <v>118</v>
      </c>
      <c r="C10" s="244">
        <f>Q10</f>
        <v>54076.890262936315</v>
      </c>
      <c r="D10" s="244">
        <f>C10^0.5</f>
        <v>232.5443834259093</v>
      </c>
      <c r="I10" s="234" t="s">
        <v>273</v>
      </c>
      <c r="J10" s="333">
        <f>J9/(5-1)</f>
        <v>38595.889069985693</v>
      </c>
      <c r="L10" t="s">
        <v>274</v>
      </c>
      <c r="P10" s="234" t="s">
        <v>275</v>
      </c>
      <c r="Q10" s="333">
        <f>Q9/(5-1)</f>
        <v>54076.890262936315</v>
      </c>
      <c r="W10" s="234" t="s">
        <v>276</v>
      </c>
      <c r="X10" s="333">
        <f>X9/(5-1)</f>
        <v>1476.2249999999117</v>
      </c>
      <c r="AG10" s="319" t="s">
        <v>640</v>
      </c>
      <c r="AH10" t="s">
        <v>269</v>
      </c>
      <c r="AI10" t="str">
        <f ca="1">_xlfn.FORMULATEXT(J6)</f>
        <v>='Growth Projection'!$I$10+'Growth Projection'!$J$10*'CAGR Calculation (SG only)'!J3</v>
      </c>
      <c r="AM10" s="318"/>
    </row>
    <row r="11" spans="1:39" x14ac:dyDescent="0.35">
      <c r="B11" s="202" t="s">
        <v>91</v>
      </c>
      <c r="C11" s="244">
        <f>X10</f>
        <v>1476.2249999999117</v>
      </c>
      <c r="D11" s="244">
        <f>C11^0.5</f>
        <v>38.421673571044657</v>
      </c>
      <c r="AG11" s="319" t="s">
        <v>641</v>
      </c>
      <c r="AH11" t="s">
        <v>270</v>
      </c>
      <c r="AI11" t="str">
        <f ca="1">_xlfn.FORMULATEXT(J7)</f>
        <v>=(J6-J4)^2</v>
      </c>
      <c r="AM11" s="318"/>
    </row>
    <row r="12" spans="1:39" x14ac:dyDescent="0.35">
      <c r="AG12" s="319" t="s">
        <v>642</v>
      </c>
      <c r="AH12" t="s">
        <v>271</v>
      </c>
      <c r="AI12" t="str">
        <f ca="1">_xlfn.FORMULATEXT(J9)</f>
        <v>=SUM(J7:N7)</v>
      </c>
      <c r="AM12" s="318"/>
    </row>
    <row r="13" spans="1:39" x14ac:dyDescent="0.35">
      <c r="AG13" s="319" t="s">
        <v>643</v>
      </c>
      <c r="AH13" t="s">
        <v>644</v>
      </c>
      <c r="AI13" t="str">
        <f ca="1">_xlfn.FORMULATEXT(J10)</f>
        <v>=J9/(5-1)</v>
      </c>
      <c r="AM13" s="318"/>
    </row>
    <row r="14" spans="1:39" x14ac:dyDescent="0.35">
      <c r="B14" s="30" t="s">
        <v>327</v>
      </c>
      <c r="C14" s="100"/>
      <c r="D14" s="100"/>
      <c r="AG14" s="319" t="s">
        <v>645</v>
      </c>
      <c r="AH14" t="s">
        <v>646</v>
      </c>
      <c r="AI14" t="str">
        <f ca="1">_xlfn.FORMULATEXT(D28)</f>
        <v>=C22</v>
      </c>
      <c r="AM14" s="318"/>
    </row>
    <row r="15" spans="1:39" x14ac:dyDescent="0.35">
      <c r="B15" s="203" t="s">
        <v>141</v>
      </c>
      <c r="C15" s="335">
        <v>2019</v>
      </c>
      <c r="D15" s="335">
        <v>2020</v>
      </c>
      <c r="E15" s="336">
        <v>2021</v>
      </c>
      <c r="F15" s="335">
        <v>2022</v>
      </c>
      <c r="G15" s="335">
        <v>2023</v>
      </c>
      <c r="H15" s="336">
        <v>2024</v>
      </c>
      <c r="I15" s="335">
        <v>2025</v>
      </c>
      <c r="J15" s="335">
        <v>2026</v>
      </c>
      <c r="K15" s="336">
        <v>2027</v>
      </c>
      <c r="L15" s="335">
        <v>2028</v>
      </c>
      <c r="AG15" s="319" t="s">
        <v>647</v>
      </c>
      <c r="AH15" t="s">
        <v>541</v>
      </c>
      <c r="AI15" t="str">
        <f ca="1">_xlfn.FORMULATEXT(E$28)</f>
        <v>=LOOKUP($B$28,$C$15:$L$15,$C$16:$L$16)</v>
      </c>
      <c r="AM15" s="318"/>
    </row>
    <row r="16" spans="1:39" x14ac:dyDescent="0.35">
      <c r="B16" s="334" t="s">
        <v>116</v>
      </c>
      <c r="C16" s="231">
        <f ca="1">_xlfn.NORM.INV(RAND(),'Growth Projection'!C16,'CAGR Calculation (SG only)'!$D$9)</f>
        <v>1438.3951091308197</v>
      </c>
      <c r="D16" s="231">
        <f ca="1">_xlfn.NORM.INV(RAND(),'Growth Projection'!D16,'CAGR Calculation (SG only)'!$D$9)</f>
        <v>1451.5652812252506</v>
      </c>
      <c r="E16" s="231">
        <f ca="1">_xlfn.NORM.INV(RAND(),'Growth Projection'!E16,'CAGR Calculation (SG only)'!$D$9)</f>
        <v>1312.9930515152673</v>
      </c>
      <c r="F16" s="231">
        <f ca="1">_xlfn.NORM.INV(RAND(),'Growth Projection'!F16,'CAGR Calculation (SG only)'!$D$9)</f>
        <v>1423.1033800312234</v>
      </c>
      <c r="G16" s="231">
        <f ca="1">_xlfn.NORM.INV(RAND(),'Growth Projection'!G16,'CAGR Calculation (SG only)'!$D$9)</f>
        <v>1460.6962125275581</v>
      </c>
      <c r="H16" s="231">
        <f ca="1">_xlfn.NORM.INV(RAND(),'Growth Projection'!H16,'CAGR Calculation (SG only)'!$D$9)</f>
        <v>1794.3079914705536</v>
      </c>
      <c r="I16" s="231">
        <f ca="1">_xlfn.NORM.INV(RAND(),'Growth Projection'!I16,'CAGR Calculation (SG only)'!$D$9)</f>
        <v>1616.2829230375016</v>
      </c>
      <c r="J16" s="231">
        <f ca="1">_xlfn.NORM.INV(RAND(),'Growth Projection'!J16,'CAGR Calculation (SG only)'!$D$9)</f>
        <v>2151.3883643441154</v>
      </c>
      <c r="K16" s="231">
        <f ca="1">_xlfn.NORM.INV(RAND(),'Growth Projection'!K16,'CAGR Calculation (SG only)'!$D$9)</f>
        <v>2158.1169951057659</v>
      </c>
      <c r="L16" s="231">
        <f ca="1">_xlfn.NORM.INV(RAND(),'Growth Projection'!L16,'CAGR Calculation (SG only)'!$D$9)</f>
        <v>2179.1128157794406</v>
      </c>
      <c r="AG16" s="319" t="s">
        <v>648</v>
      </c>
      <c r="AH16" t="s">
        <v>120</v>
      </c>
      <c r="AI16" t="str">
        <f ca="1">_xlfn.FORMULATEXT(F$28)</f>
        <v>='Growth Projection'!E29</v>
      </c>
      <c r="AM16" s="318"/>
    </row>
    <row r="17" spans="2:39" x14ac:dyDescent="0.35">
      <c r="B17" s="334" t="s">
        <v>118</v>
      </c>
      <c r="C17" s="231">
        <f ca="1">_xlfn.NORM.INV(RAND(),'Growth Projection'!C17,'CAGR Calculation (SG only)'!$D$9)</f>
        <v>1040.6712305788803</v>
      </c>
      <c r="D17" s="231">
        <f ca="1">_xlfn.NORM.INV(RAND(),'Growth Projection'!D17,'CAGR Calculation (SG only)'!$D$9)</f>
        <v>1647.9771327782421</v>
      </c>
      <c r="E17" s="231">
        <f ca="1">_xlfn.NORM.INV(RAND(),'Growth Projection'!E17,'CAGR Calculation (SG only)'!$D$9)</f>
        <v>1504.4451739201656</v>
      </c>
      <c r="F17" s="231">
        <f ca="1">_xlfn.NORM.INV(RAND(),'Growth Projection'!F17,'CAGR Calculation (SG only)'!$D$9)</f>
        <v>1826.6240071656071</v>
      </c>
      <c r="G17" s="231">
        <f ca="1">_xlfn.NORM.INV(RAND(),'Growth Projection'!G17,'CAGR Calculation (SG only)'!$D$9)</f>
        <v>2095.4292385071981</v>
      </c>
      <c r="H17" s="231">
        <f ca="1">_xlfn.NORM.INV(RAND(),'Growth Projection'!H17,'CAGR Calculation (SG only)'!$D$9)</f>
        <v>2112.0924879730073</v>
      </c>
      <c r="I17" s="231">
        <f ca="1">_xlfn.NORM.INV(RAND(),'Growth Projection'!I17,'CAGR Calculation (SG only)'!$D$9)</f>
        <v>2327.6023258803939</v>
      </c>
      <c r="J17" s="231">
        <f ca="1">_xlfn.NORM.INV(RAND(),'Growth Projection'!J17,'CAGR Calculation (SG only)'!$D$9)</f>
        <v>2108.2511220433912</v>
      </c>
      <c r="K17" s="231">
        <f ca="1">_xlfn.NORM.INV(RAND(),'Growth Projection'!K17,'CAGR Calculation (SG only)'!$D$9)</f>
        <v>2764.0714133746105</v>
      </c>
      <c r="L17" s="231">
        <f ca="1">_xlfn.NORM.INV(RAND(),'Growth Projection'!L17,'CAGR Calculation (SG only)'!$D$9)</f>
        <v>2260.2258156543803</v>
      </c>
      <c r="AG17" s="319" t="s">
        <v>649</v>
      </c>
      <c r="AH17" t="s">
        <v>656</v>
      </c>
      <c r="AI17" t="str">
        <f ca="1">_xlfn.FORMULATEXT(G$28)</f>
        <v>='Growth Projection'!F29</v>
      </c>
      <c r="AM17" s="318"/>
    </row>
    <row r="18" spans="2:39" x14ac:dyDescent="0.35">
      <c r="B18" s="334" t="s">
        <v>91</v>
      </c>
      <c r="C18" s="231">
        <f ca="1">_xlfn.NORM.INV(RAND(),'Growth Projection'!C18,'CAGR Calculation (SG only)'!$D$9)</f>
        <v>323.33581837799039</v>
      </c>
      <c r="D18" s="231">
        <f ca="1">_xlfn.NORM.INV(RAND(),'Growth Projection'!D18,'CAGR Calculation (SG only)'!$D$9)</f>
        <v>405.50500470517051</v>
      </c>
      <c r="E18" s="231">
        <f ca="1">_xlfn.NORM.INV(RAND(),'Growth Projection'!E18,'CAGR Calculation (SG only)'!$D$9)</f>
        <v>457.91401524727848</v>
      </c>
      <c r="F18" s="231">
        <f ca="1">_xlfn.NORM.INV(RAND(),'Growth Projection'!F18,'CAGR Calculation (SG only)'!$D$9)</f>
        <v>259.1250648838577</v>
      </c>
      <c r="G18" s="231">
        <f ca="1">_xlfn.NORM.INV(RAND(),'Growth Projection'!G18,'CAGR Calculation (SG only)'!$D$9)</f>
        <v>563.92600036278793</v>
      </c>
      <c r="H18" s="231">
        <f ca="1">_xlfn.NORM.INV(RAND(),'Growth Projection'!H18,'CAGR Calculation (SG only)'!$D$9)</f>
        <v>312.52037818586632</v>
      </c>
      <c r="I18" s="231">
        <f ca="1">_xlfn.NORM.INV(RAND(),'Growth Projection'!I18,'CAGR Calculation (SG only)'!$D$9)</f>
        <v>412.36660815742113</v>
      </c>
      <c r="J18" s="231">
        <f ca="1">_xlfn.NORM.INV(RAND(),'Growth Projection'!J18,'CAGR Calculation (SG only)'!$D$9)</f>
        <v>567.85761281448674</v>
      </c>
      <c r="K18" s="231">
        <f ca="1">_xlfn.NORM.INV(RAND(),'Growth Projection'!K18,'CAGR Calculation (SG only)'!$D$9)</f>
        <v>546.16827110986435</v>
      </c>
      <c r="L18" s="231">
        <f ca="1">_xlfn.NORM.INV(RAND(),'Growth Projection'!L18,'CAGR Calculation (SG only)'!$D$9)</f>
        <v>569.33088217486727</v>
      </c>
      <c r="AG18" s="319" t="s">
        <v>650</v>
      </c>
      <c r="AH18" t="s">
        <v>657</v>
      </c>
      <c r="AI18" t="str">
        <f ca="1">_xlfn.FORMULATEXT(H28)</f>
        <v>='Growth Projection'!G29</v>
      </c>
      <c r="AM18" s="318"/>
    </row>
    <row r="19" spans="2:39" x14ac:dyDescent="0.35">
      <c r="AG19" s="319" t="s">
        <v>651</v>
      </c>
      <c r="AH19" t="s">
        <v>658</v>
      </c>
      <c r="AI19" t="str">
        <f ca="1">_xlfn.FORMULATEXT(I28)</f>
        <v>='Growth Projection'!H29</v>
      </c>
      <c r="AM19" s="318"/>
    </row>
    <row r="20" spans="2:39" x14ac:dyDescent="0.35">
      <c r="C20" s="100"/>
      <c r="D20" s="48"/>
      <c r="AG20" s="319" t="s">
        <v>652</v>
      </c>
      <c r="AH20" t="s">
        <v>659</v>
      </c>
      <c r="AI20" t="str">
        <f ca="1">_xlfn.FORMULATEXT(J28)</f>
        <v>=E28*I28</v>
      </c>
      <c r="AM20" s="318"/>
    </row>
    <row r="21" spans="2:39" x14ac:dyDescent="0.35">
      <c r="B21" s="227"/>
      <c r="C21" s="226" t="s">
        <v>138</v>
      </c>
      <c r="D21" s="226" t="s">
        <v>139</v>
      </c>
      <c r="E21" s="169" t="s">
        <v>62</v>
      </c>
      <c r="AG21" s="319" t="s">
        <v>653</v>
      </c>
      <c r="AH21" t="s">
        <v>1</v>
      </c>
      <c r="AI21" t="str">
        <f ca="1">_xlfn.FORMULATEXT(K28)</f>
        <v>=E28*D28</v>
      </c>
      <c r="AM21" s="318"/>
    </row>
    <row r="22" spans="2:39" x14ac:dyDescent="0.35">
      <c r="B22" s="228" t="s">
        <v>137</v>
      </c>
      <c r="C22" s="188">
        <f>'Growth Projection'!C25</f>
        <v>56</v>
      </c>
      <c r="D22" s="188">
        <f>'Growth Projection'!D25</f>
        <v>82</v>
      </c>
      <c r="E22" s="188">
        <f>'Growth Projection'!E25</f>
        <v>18</v>
      </c>
      <c r="AG22" s="319" t="s">
        <v>654</v>
      </c>
      <c r="AH22" t="s">
        <v>660</v>
      </c>
      <c r="AI22" t="str">
        <f ca="1">_xlfn.FORMULATEXT(L28)</f>
        <v>=G28*J28+H28*E28</v>
      </c>
      <c r="AM22" s="318"/>
    </row>
    <row r="23" spans="2:39" x14ac:dyDescent="0.35">
      <c r="B23" s="228" t="s">
        <v>130</v>
      </c>
      <c r="C23" s="201">
        <f>'Growth Projection'!C26</f>
        <v>-1.7812583698934152</v>
      </c>
      <c r="D23" s="201">
        <f>'Growth Projection'!D26</f>
        <v>-1.6911803404159702</v>
      </c>
      <c r="E23" s="188" t="str">
        <f>'Growth Projection'!E26</f>
        <v>N/A</v>
      </c>
      <c r="AG23" s="319" t="s">
        <v>655</v>
      </c>
      <c r="AH23" t="s">
        <v>23</v>
      </c>
      <c r="AI23" t="str">
        <f ca="1">_xlfn.FORMULATEXT(M28)</f>
        <v>=K28-L28</v>
      </c>
      <c r="AM23" s="318"/>
    </row>
    <row r="24" spans="2:39" x14ac:dyDescent="0.35">
      <c r="AG24" s="319" t="s">
        <v>663</v>
      </c>
      <c r="AH24" t="s">
        <v>664</v>
      </c>
      <c r="AI24" t="str">
        <f ca="1">_xlfn.FORMULATEXT(K33)</f>
        <v>=SUM(K28:K30)</v>
      </c>
      <c r="AM24" s="318"/>
    </row>
    <row r="25" spans="2:39" x14ac:dyDescent="0.35">
      <c r="AG25" s="319" t="s">
        <v>665</v>
      </c>
      <c r="AH25" t="s">
        <v>666</v>
      </c>
      <c r="AI25" t="str">
        <f ca="1">_xlfn.FORMULATEXT(L33)</f>
        <v>=SUM(L28:L30,F28)</v>
      </c>
      <c r="AM25" s="318"/>
    </row>
    <row r="26" spans="2:39" x14ac:dyDescent="0.35">
      <c r="B26" s="30" t="s">
        <v>145</v>
      </c>
      <c r="D26" s="100"/>
      <c r="AG26" s="319" t="s">
        <v>667</v>
      </c>
      <c r="AH26" t="s">
        <v>668</v>
      </c>
      <c r="AI26" t="str">
        <f ca="1">_xlfn.FORMULATEXT(M33)</f>
        <v>=K33-L33</v>
      </c>
      <c r="AM26" s="318"/>
    </row>
    <row r="27" spans="2:39" x14ac:dyDescent="0.35">
      <c r="B27" s="195" t="s">
        <v>88</v>
      </c>
      <c r="C27" s="203" t="s">
        <v>117</v>
      </c>
      <c r="D27" s="203" t="s">
        <v>52</v>
      </c>
      <c r="E27" s="203" t="s">
        <v>42</v>
      </c>
      <c r="F27" s="203" t="s">
        <v>120</v>
      </c>
      <c r="G27" s="203" t="s">
        <v>121</v>
      </c>
      <c r="H27" s="203" t="s">
        <v>123</v>
      </c>
      <c r="I27" s="203" t="s">
        <v>37</v>
      </c>
      <c r="J27" s="203" t="s">
        <v>119</v>
      </c>
      <c r="K27" s="203" t="s">
        <v>1</v>
      </c>
      <c r="L27" s="203" t="s">
        <v>45</v>
      </c>
      <c r="M27" s="203" t="s">
        <v>23</v>
      </c>
      <c r="N27" s="100"/>
      <c r="P27" s="123"/>
      <c r="Q27" s="123"/>
      <c r="R27" s="123"/>
      <c r="S27" s="158"/>
      <c r="AG27" s="319" t="s">
        <v>661</v>
      </c>
      <c r="AH27" t="s">
        <v>662</v>
      </c>
      <c r="AM27" s="318"/>
    </row>
    <row r="28" spans="2:39" x14ac:dyDescent="0.35">
      <c r="B28" s="232">
        <v>2019</v>
      </c>
      <c r="C28" s="202" t="s">
        <v>116</v>
      </c>
      <c r="D28" s="188">
        <f>C22</f>
        <v>56</v>
      </c>
      <c r="E28" s="220">
        <f ca="1">LOOKUP($B$28,$C$15:$L$15,$C$16:$L$16)</f>
        <v>1438.3951091308197</v>
      </c>
      <c r="F28" s="188">
        <f>'Growth Projection'!E29</f>
        <v>66461.09</v>
      </c>
      <c r="G28" s="188">
        <f>'Growth Projection'!F29</f>
        <v>0.294738</v>
      </c>
      <c r="H28" s="188">
        <f>'Growth Projection'!G29</f>
        <v>4.46</v>
      </c>
      <c r="I28" s="201">
        <f>'Growth Projection'!H29</f>
        <v>30</v>
      </c>
      <c r="J28" s="201">
        <f ca="1">E28*I28</f>
        <v>43151.853273924593</v>
      </c>
      <c r="K28" s="188">
        <f ca="1">E28*D28</f>
        <v>80550.12611132591</v>
      </c>
      <c r="L28" s="188">
        <f ca="1">G28*J28+H28*E28</f>
        <v>19133.733116973443</v>
      </c>
      <c r="M28" s="188">
        <f ca="1">K28-L28</f>
        <v>61416.392994352471</v>
      </c>
      <c r="N28" s="100"/>
      <c r="P28" s="112"/>
      <c r="Q28" s="128"/>
      <c r="R28" s="112"/>
      <c r="S28" s="159"/>
      <c r="AG28" s="319" t="s">
        <v>669</v>
      </c>
      <c r="AH28" t="s">
        <v>149</v>
      </c>
      <c r="AI28" t="str">
        <f ca="1">_xlfn.FORMULATEXT(N110)</f>
        <v>=(L110/C110)^(1/(L109-C109))-1</v>
      </c>
      <c r="AM28" s="318"/>
    </row>
    <row r="29" spans="2:39" x14ac:dyDescent="0.35">
      <c r="C29" s="202" t="s">
        <v>118</v>
      </c>
      <c r="D29" s="188">
        <f>D22</f>
        <v>82</v>
      </c>
      <c r="E29" s="220">
        <f ca="1">LOOKUP($B$28,$C$15:$L$15,$C$17:$L$17)</f>
        <v>1040.6712305788803</v>
      </c>
      <c r="F29" s="62"/>
      <c r="G29" s="188">
        <f>'Growth Projection'!F30</f>
        <v>0.294738</v>
      </c>
      <c r="H29" s="188">
        <f>'Growth Projection'!G30</f>
        <v>5.28</v>
      </c>
      <c r="I29" s="201">
        <f>'Growth Projection'!H30</f>
        <v>50</v>
      </c>
      <c r="J29" s="201">
        <f ca="1">E29*I29</f>
        <v>52033.561528944017</v>
      </c>
      <c r="K29" s="188">
        <f ca="1">E29*D29</f>
        <v>85335.040907468181</v>
      </c>
      <c r="L29" s="188">
        <f ca="1">G29*J29+H29*E29</f>
        <v>20831.01195537439</v>
      </c>
      <c r="M29" s="188">
        <f ca="1">K29-L29</f>
        <v>64504.028952093795</v>
      </c>
      <c r="N29" s="100"/>
      <c r="P29" s="112"/>
      <c r="Q29" s="128"/>
      <c r="R29" s="112"/>
      <c r="S29" s="159"/>
      <c r="AG29" s="319" t="s">
        <v>670</v>
      </c>
      <c r="AH29" t="s">
        <v>167</v>
      </c>
      <c r="AI29" t="str">
        <f ca="1">_xlfn.FORMULATEXT(N116)</f>
        <v>=O119*(1+N110)^10</v>
      </c>
      <c r="AM29" s="318"/>
    </row>
    <row r="30" spans="2:39" x14ac:dyDescent="0.35">
      <c r="C30" s="202" t="s">
        <v>91</v>
      </c>
      <c r="D30" s="188">
        <f>E22</f>
        <v>18</v>
      </c>
      <c r="E30" s="220">
        <f ca="1">LOOKUP($B$28,$C$15:$L$15,$C$18:$L$18)</f>
        <v>323.33581837799039</v>
      </c>
      <c r="F30" s="62"/>
      <c r="G30" s="188">
        <f>'Growth Projection'!F31</f>
        <v>2.5891999999999998E-2</v>
      </c>
      <c r="H30" s="188">
        <f>'Growth Projection'!G31</f>
        <v>2.1800000000000002</v>
      </c>
      <c r="I30" s="201">
        <f>'Growth Projection'!H31</f>
        <v>100</v>
      </c>
      <c r="J30" s="201">
        <f ca="1">E30*I30</f>
        <v>32333.58183779904</v>
      </c>
      <c r="K30" s="188">
        <f ca="1">E30*D30</f>
        <v>5820.0447308038274</v>
      </c>
      <c r="L30" s="188">
        <f ca="1">G30*J30+H30*E30</f>
        <v>1542.0531850083116</v>
      </c>
      <c r="M30" s="188">
        <f ca="1">K30-L30</f>
        <v>4277.9915457955158</v>
      </c>
      <c r="N30" s="100"/>
      <c r="P30" s="131"/>
      <c r="Q30" s="132"/>
      <c r="R30" s="112"/>
      <c r="S30" s="159"/>
      <c r="AG30" s="319"/>
      <c r="AM30" s="318"/>
    </row>
    <row r="31" spans="2:39" x14ac:dyDescent="0.35">
      <c r="C31" s="47"/>
      <c r="D31" s="100"/>
      <c r="E31" s="99"/>
      <c r="F31" s="62"/>
      <c r="G31" s="63"/>
      <c r="H31" s="63"/>
      <c r="I31" s="63"/>
      <c r="J31" s="62"/>
      <c r="K31" s="179"/>
      <c r="L31" s="180"/>
      <c r="M31" s="180"/>
      <c r="N31" s="65"/>
      <c r="P31" s="131"/>
      <c r="Q31" s="132"/>
      <c r="R31" s="112"/>
      <c r="S31" s="159"/>
      <c r="AG31" s="319" t="s">
        <v>812</v>
      </c>
      <c r="AH31" t="s">
        <v>151</v>
      </c>
      <c r="AI31" t="s">
        <v>344</v>
      </c>
      <c r="AM31" s="318"/>
    </row>
    <row r="32" spans="2:39" x14ac:dyDescent="0.35">
      <c r="C32" s="43"/>
      <c r="D32" s="59"/>
      <c r="E32" s="100"/>
      <c r="F32" s="62"/>
      <c r="G32" s="63"/>
      <c r="H32" s="63"/>
      <c r="I32" s="63"/>
      <c r="J32" s="65"/>
      <c r="K32" s="213" t="s">
        <v>46</v>
      </c>
      <c r="L32" s="216" t="s">
        <v>43</v>
      </c>
      <c r="M32" s="217" t="s">
        <v>44</v>
      </c>
      <c r="O32" s="249"/>
      <c r="P32" s="70"/>
      <c r="Q32" s="102"/>
      <c r="R32" s="70"/>
      <c r="S32" s="133"/>
      <c r="AG32" s="319" t="s">
        <v>813</v>
      </c>
      <c r="AH32" t="s">
        <v>671</v>
      </c>
      <c r="AI32" t="s">
        <v>344</v>
      </c>
      <c r="AM32" s="318"/>
    </row>
    <row r="33" spans="2:39" x14ac:dyDescent="0.35">
      <c r="C33" s="43"/>
      <c r="D33" s="59"/>
      <c r="E33" s="62"/>
      <c r="F33" s="62"/>
      <c r="G33" s="63"/>
      <c r="H33" s="63"/>
      <c r="I33" s="63"/>
      <c r="J33" s="193" t="s">
        <v>17</v>
      </c>
      <c r="K33" s="188">
        <f ca="1">SUM(K28:K30)</f>
        <v>171705.21174959792</v>
      </c>
      <c r="L33" s="188">
        <f ca="1">SUM(L28:L30,F28)</f>
        <v>107967.88825735614</v>
      </c>
      <c r="M33" s="188">
        <f ca="1">K33-L33</f>
        <v>63737.323492241776</v>
      </c>
      <c r="O33" s="42"/>
      <c r="P33" s="112"/>
      <c r="Q33" s="128"/>
      <c r="R33" s="112"/>
      <c r="S33" s="159"/>
      <c r="AG33" s="319" t="s">
        <v>814</v>
      </c>
      <c r="AH33" t="s">
        <v>153</v>
      </c>
      <c r="AI33" t="str">
        <f ca="1">_xlfn.FORMULATEXT(O121)</f>
        <v>=(O120/O119)^(1/10)-1</v>
      </c>
      <c r="AM33" s="318"/>
    </row>
    <row r="34" spans="2:39" x14ac:dyDescent="0.35">
      <c r="B34" s="100"/>
      <c r="C34" s="100"/>
      <c r="D34" s="100"/>
      <c r="F34" s="33"/>
      <c r="G34" s="33"/>
      <c r="H34" s="33"/>
      <c r="I34" s="33"/>
      <c r="O34" s="33"/>
      <c r="P34" s="124"/>
      <c r="Q34" s="140"/>
      <c r="R34" s="124"/>
      <c r="S34" s="160"/>
      <c r="AG34" s="319"/>
      <c r="AM34" s="318"/>
    </row>
    <row r="35" spans="2:39" x14ac:dyDescent="0.35">
      <c r="B35" s="195" t="s">
        <v>88</v>
      </c>
      <c r="C35" s="203" t="s">
        <v>117</v>
      </c>
      <c r="D35" s="203" t="s">
        <v>52</v>
      </c>
      <c r="E35" s="203" t="s">
        <v>42</v>
      </c>
      <c r="F35" s="203" t="s">
        <v>120</v>
      </c>
      <c r="G35" s="203" t="s">
        <v>121</v>
      </c>
      <c r="H35" s="203" t="s">
        <v>123</v>
      </c>
      <c r="I35" s="203" t="s">
        <v>37</v>
      </c>
      <c r="J35" s="203" t="s">
        <v>119</v>
      </c>
      <c r="K35" s="203" t="s">
        <v>1</v>
      </c>
      <c r="L35" s="203" t="s">
        <v>45</v>
      </c>
      <c r="M35" s="203" t="s">
        <v>23</v>
      </c>
      <c r="O35" s="95"/>
      <c r="AG35" s="319" t="s">
        <v>815</v>
      </c>
      <c r="AH35" t="s">
        <v>672</v>
      </c>
      <c r="AI35" t="s">
        <v>811</v>
      </c>
      <c r="AM35" s="318"/>
    </row>
    <row r="36" spans="2:39" x14ac:dyDescent="0.35">
      <c r="B36" s="232">
        <v>2020</v>
      </c>
      <c r="C36" s="202" t="s">
        <v>116</v>
      </c>
      <c r="D36" s="201">
        <f>D28</f>
        <v>56</v>
      </c>
      <c r="E36" s="220">
        <f ca="1">LOOKUP(B36,$C$15:$L$15,$C$16:$L$16)</f>
        <v>1451.5652812252506</v>
      </c>
      <c r="F36" s="188">
        <f>F28</f>
        <v>66461.09</v>
      </c>
      <c r="G36" s="188">
        <f>G28</f>
        <v>0.294738</v>
      </c>
      <c r="H36" s="188">
        <f>H28</f>
        <v>4.46</v>
      </c>
      <c r="I36" s="201">
        <f>I28</f>
        <v>30</v>
      </c>
      <c r="J36" s="201">
        <f ca="1">E36*I36</f>
        <v>43546.958436757515</v>
      </c>
      <c r="K36" s="188">
        <f ca="1">E36*D36</f>
        <v>81287.655748614037</v>
      </c>
      <c r="L36" s="188">
        <f ca="1">G36*J36+H36*E36</f>
        <v>19308.924589997656</v>
      </c>
      <c r="M36" s="188">
        <f ca="1">K36-L36</f>
        <v>61978.731158616385</v>
      </c>
      <c r="O36" s="95"/>
      <c r="AG36" s="319"/>
      <c r="AM36" s="318"/>
    </row>
    <row r="37" spans="2:39" x14ac:dyDescent="0.35">
      <c r="C37" s="202" t="s">
        <v>118</v>
      </c>
      <c r="D37" s="201">
        <f>D29</f>
        <v>82</v>
      </c>
      <c r="E37" s="220">
        <f ca="1">LOOKUP(B28,$C$15:$L$15,$C$17:$L$17)</f>
        <v>1040.6712305788803</v>
      </c>
      <c r="F37" s="62"/>
      <c r="G37" s="188">
        <f t="shared" ref="G37:I38" si="0">G29</f>
        <v>0.294738</v>
      </c>
      <c r="H37" s="188">
        <f t="shared" si="0"/>
        <v>5.28</v>
      </c>
      <c r="I37" s="201">
        <f t="shared" si="0"/>
        <v>50</v>
      </c>
      <c r="J37" s="201">
        <f ca="1">E37*I37</f>
        <v>52033.561528944017</v>
      </c>
      <c r="K37" s="188">
        <f ca="1">E37*D37</f>
        <v>85335.040907468181</v>
      </c>
      <c r="L37" s="188">
        <f ca="1">G37*J37+H37*E37</f>
        <v>20831.01195537439</v>
      </c>
      <c r="M37" s="188">
        <f ca="1">K37-L37</f>
        <v>64504.028952093795</v>
      </c>
      <c r="O37" s="95"/>
      <c r="AG37" s="380"/>
      <c r="AH37" s="320"/>
      <c r="AI37" s="320"/>
      <c r="AJ37" s="320"/>
      <c r="AK37" s="320"/>
      <c r="AL37" s="320"/>
      <c r="AM37" s="321"/>
    </row>
    <row r="38" spans="2:39" x14ac:dyDescent="0.35">
      <c r="C38" s="202" t="s">
        <v>91</v>
      </c>
      <c r="D38" s="201">
        <f>D30</f>
        <v>18</v>
      </c>
      <c r="E38" s="220">
        <f ca="1">LOOKUP(B28,$C$15:$L$15,$C$18:$L$18)</f>
        <v>323.33581837799039</v>
      </c>
      <c r="F38" s="62"/>
      <c r="G38" s="188">
        <f t="shared" si="0"/>
        <v>2.5891999999999998E-2</v>
      </c>
      <c r="H38" s="188">
        <f t="shared" si="0"/>
        <v>2.1800000000000002</v>
      </c>
      <c r="I38" s="201">
        <f t="shared" si="0"/>
        <v>100</v>
      </c>
      <c r="J38" s="201">
        <f ca="1">E38*I38</f>
        <v>32333.58183779904</v>
      </c>
      <c r="K38" s="188">
        <f ca="1">E38*D38</f>
        <v>5820.0447308038274</v>
      </c>
      <c r="L38" s="188">
        <f ca="1">G38*J38+H38*E38</f>
        <v>1542.0531850083116</v>
      </c>
      <c r="M38" s="188">
        <f ca="1">K38-L38</f>
        <v>4277.9915457955158</v>
      </c>
      <c r="O38" s="95"/>
    </row>
    <row r="39" spans="2:39" x14ac:dyDescent="0.35">
      <c r="C39" s="47"/>
      <c r="D39" s="100"/>
      <c r="E39" s="99"/>
      <c r="F39" s="62"/>
      <c r="G39" s="63"/>
      <c r="H39" s="63"/>
      <c r="I39" s="63"/>
      <c r="J39" s="62"/>
      <c r="K39" s="179"/>
      <c r="L39" s="180"/>
      <c r="M39" s="180"/>
      <c r="O39" s="65"/>
    </row>
    <row r="40" spans="2:39" x14ac:dyDescent="0.35">
      <c r="C40" s="43"/>
      <c r="D40" s="59"/>
      <c r="E40" s="100"/>
      <c r="F40" s="62"/>
      <c r="G40" s="63"/>
      <c r="H40" s="63"/>
      <c r="I40" s="63"/>
      <c r="J40" s="65"/>
      <c r="K40" s="213" t="s">
        <v>46</v>
      </c>
      <c r="L40" s="216" t="s">
        <v>43</v>
      </c>
      <c r="M40" s="217" t="s">
        <v>44</v>
      </c>
      <c r="O40" s="249"/>
    </row>
    <row r="41" spans="2:39" x14ac:dyDescent="0.35">
      <c r="C41" s="43"/>
      <c r="D41" s="59"/>
      <c r="E41" s="62"/>
      <c r="F41" s="62"/>
      <c r="G41" s="63"/>
      <c r="H41" s="63"/>
      <c r="I41" s="63"/>
      <c r="J41" s="193" t="s">
        <v>17</v>
      </c>
      <c r="K41" s="188">
        <f ca="1">SUM(K36:K38)</f>
        <v>172442.74138688605</v>
      </c>
      <c r="L41" s="188">
        <f ca="1">SUM(L36:L38,F36)</f>
        <v>108143.07973038036</v>
      </c>
      <c r="M41" s="188">
        <f ca="1">K41-L41</f>
        <v>64299.66165650569</v>
      </c>
      <c r="O41" s="42"/>
    </row>
    <row r="42" spans="2:39" x14ac:dyDescent="0.35">
      <c r="F42" s="33"/>
      <c r="G42" s="156"/>
      <c r="H42" s="33"/>
      <c r="I42" s="33"/>
      <c r="O42" s="33"/>
    </row>
    <row r="43" spans="2:39" x14ac:dyDescent="0.35">
      <c r="B43" s="195" t="s">
        <v>88</v>
      </c>
      <c r="C43" s="203" t="s">
        <v>117</v>
      </c>
      <c r="D43" s="203" t="s">
        <v>52</v>
      </c>
      <c r="E43" s="203" t="s">
        <v>42</v>
      </c>
      <c r="F43" s="203" t="s">
        <v>120</v>
      </c>
      <c r="G43" s="203" t="s">
        <v>121</v>
      </c>
      <c r="H43" s="203" t="s">
        <v>123</v>
      </c>
      <c r="I43" s="203" t="s">
        <v>37</v>
      </c>
      <c r="J43" s="203" t="s">
        <v>119</v>
      </c>
      <c r="K43" s="203" t="s">
        <v>1</v>
      </c>
      <c r="L43" s="203" t="s">
        <v>45</v>
      </c>
      <c r="M43" s="203" t="s">
        <v>23</v>
      </c>
      <c r="O43" s="95"/>
    </row>
    <row r="44" spans="2:39" x14ac:dyDescent="0.35">
      <c r="B44" s="232">
        <v>2021</v>
      </c>
      <c r="C44" s="202" t="s">
        <v>116</v>
      </c>
      <c r="D44" s="201">
        <f>D36</f>
        <v>56</v>
      </c>
      <c r="E44" s="220">
        <f ca="1">LOOKUP(B44,$C$15:$L$15,$C$16:$L$16)</f>
        <v>1312.9930515152673</v>
      </c>
      <c r="F44" s="188">
        <f>F36</f>
        <v>66461.09</v>
      </c>
      <c r="G44" s="188">
        <f>G36</f>
        <v>0.294738</v>
      </c>
      <c r="H44" s="188">
        <f>H36</f>
        <v>4.46</v>
      </c>
      <c r="I44" s="201">
        <f>I36</f>
        <v>30</v>
      </c>
      <c r="J44" s="201">
        <f ca="1">E44*I44</f>
        <v>39389.791545458022</v>
      </c>
      <c r="K44" s="188">
        <f ca="1">E44*D44</f>
        <v>73527.610884854977</v>
      </c>
      <c r="L44" s="188">
        <f ca="1">G44*J44+H44*E44</f>
        <v>17465.6173902833</v>
      </c>
      <c r="M44" s="188">
        <f ca="1">K44-L44</f>
        <v>56061.993494571681</v>
      </c>
      <c r="O44" s="95"/>
    </row>
    <row r="45" spans="2:39" x14ac:dyDescent="0.35">
      <c r="C45" s="202" t="s">
        <v>118</v>
      </c>
      <c r="D45" s="201">
        <f>D37</f>
        <v>82</v>
      </c>
      <c r="E45" s="220">
        <f ca="1">LOOKUP(B44,$C$15:$L$15,$C$17:$L$17)</f>
        <v>1504.4451739201656</v>
      </c>
      <c r="F45" s="62"/>
      <c r="G45" s="188">
        <f t="shared" ref="G45:I46" si="1">G37</f>
        <v>0.294738</v>
      </c>
      <c r="H45" s="188">
        <f t="shared" si="1"/>
        <v>5.28</v>
      </c>
      <c r="I45" s="201">
        <f t="shared" si="1"/>
        <v>50</v>
      </c>
      <c r="J45" s="201">
        <f ca="1">E45*I45</f>
        <v>75222.258696008284</v>
      </c>
      <c r="K45" s="188">
        <f ca="1">E45*D45</f>
        <v>123364.50426145358</v>
      </c>
      <c r="L45" s="188">
        <f ca="1">G45*J45+H45*E45</f>
        <v>30114.328601842564</v>
      </c>
      <c r="M45" s="188">
        <f ca="1">K45-L45</f>
        <v>93250.175659611006</v>
      </c>
      <c r="O45" s="95"/>
    </row>
    <row r="46" spans="2:39" x14ac:dyDescent="0.35">
      <c r="C46" s="202" t="s">
        <v>91</v>
      </c>
      <c r="D46" s="201">
        <f>D38</f>
        <v>18</v>
      </c>
      <c r="E46" s="220">
        <f ca="1">LOOKUP(B44,$C$15:$L$15,$C$18:$L$18)</f>
        <v>457.91401524727848</v>
      </c>
      <c r="F46" s="62"/>
      <c r="G46" s="188">
        <f t="shared" si="1"/>
        <v>2.5891999999999998E-2</v>
      </c>
      <c r="H46" s="188">
        <f t="shared" si="1"/>
        <v>2.1800000000000002</v>
      </c>
      <c r="I46" s="201">
        <f t="shared" si="1"/>
        <v>100</v>
      </c>
      <c r="J46" s="201">
        <f ca="1">E46*I46</f>
        <v>45791.401524727851</v>
      </c>
      <c r="K46" s="188">
        <f ca="1">E46*D46</f>
        <v>8242.4522744510123</v>
      </c>
      <c r="L46" s="188">
        <f ca="1">G46*J46+H46*E46</f>
        <v>2183.8835215173208</v>
      </c>
      <c r="M46" s="188">
        <f ca="1">K46-L46</f>
        <v>6058.5687529336919</v>
      </c>
      <c r="O46" s="95"/>
    </row>
    <row r="47" spans="2:39" x14ac:dyDescent="0.35">
      <c r="C47" s="47"/>
      <c r="D47" s="100"/>
      <c r="E47" s="99"/>
      <c r="F47" s="62"/>
      <c r="G47" s="63"/>
      <c r="H47" s="63"/>
      <c r="I47" s="63"/>
      <c r="J47" s="62"/>
      <c r="K47" s="179"/>
      <c r="L47" s="180"/>
      <c r="M47" s="180"/>
      <c r="O47" s="65"/>
    </row>
    <row r="48" spans="2:39" x14ac:dyDescent="0.35">
      <c r="C48" s="43"/>
      <c r="D48" s="59"/>
      <c r="E48" s="100"/>
      <c r="F48" s="62"/>
      <c r="G48" s="63"/>
      <c r="H48" s="63"/>
      <c r="I48" s="63"/>
      <c r="J48" s="65"/>
      <c r="K48" s="213" t="s">
        <v>46</v>
      </c>
      <c r="L48" s="216" t="s">
        <v>43</v>
      </c>
      <c r="M48" s="217" t="s">
        <v>44</v>
      </c>
      <c r="O48" s="249"/>
    </row>
    <row r="49" spans="2:15" x14ac:dyDescent="0.35">
      <c r="C49" s="43"/>
      <c r="D49" s="59"/>
      <c r="E49" s="62"/>
      <c r="F49" s="62"/>
      <c r="G49" s="63"/>
      <c r="H49" s="63"/>
      <c r="I49" s="63"/>
      <c r="J49" s="193" t="s">
        <v>17</v>
      </c>
      <c r="K49" s="188">
        <f ca="1">SUM(K44:K46)</f>
        <v>205134.56742075956</v>
      </c>
      <c r="L49" s="188">
        <f ca="1">SUM(L44:L46,F44)</f>
        <v>116224.9195136432</v>
      </c>
      <c r="M49" s="188">
        <f ca="1">K49-L49</f>
        <v>88909.647907116363</v>
      </c>
      <c r="O49" s="42"/>
    </row>
    <row r="50" spans="2:15" x14ac:dyDescent="0.35">
      <c r="F50" s="33"/>
      <c r="G50" s="156"/>
      <c r="H50" s="33"/>
      <c r="I50" s="33"/>
      <c r="O50" s="33"/>
    </row>
    <row r="51" spans="2:15" x14ac:dyDescent="0.35">
      <c r="B51" s="195" t="s">
        <v>88</v>
      </c>
      <c r="C51" s="203" t="s">
        <v>117</v>
      </c>
      <c r="D51" s="203" t="s">
        <v>52</v>
      </c>
      <c r="E51" s="203" t="s">
        <v>42</v>
      </c>
      <c r="F51" s="203" t="s">
        <v>120</v>
      </c>
      <c r="G51" s="203" t="s">
        <v>121</v>
      </c>
      <c r="H51" s="203" t="s">
        <v>123</v>
      </c>
      <c r="I51" s="203" t="s">
        <v>37</v>
      </c>
      <c r="J51" s="203" t="s">
        <v>119</v>
      </c>
      <c r="K51" s="203" t="s">
        <v>1</v>
      </c>
      <c r="L51" s="203" t="s">
        <v>45</v>
      </c>
      <c r="M51" s="203" t="s">
        <v>23</v>
      </c>
      <c r="O51" s="95"/>
    </row>
    <row r="52" spans="2:15" x14ac:dyDescent="0.35">
      <c r="B52" s="232">
        <v>2022</v>
      </c>
      <c r="C52" s="202" t="s">
        <v>116</v>
      </c>
      <c r="D52" s="201">
        <f>D44</f>
        <v>56</v>
      </c>
      <c r="E52" s="220">
        <f ca="1">LOOKUP(B52,$C$15:$L$15,$C$16:$L$16)</f>
        <v>1423.1033800312234</v>
      </c>
      <c r="F52" s="188">
        <f>F44</f>
        <v>66461.09</v>
      </c>
      <c r="G52" s="188">
        <f>G44</f>
        <v>0.294738</v>
      </c>
      <c r="H52" s="188">
        <f>H44</f>
        <v>4.46</v>
      </c>
      <c r="I52" s="201">
        <f>I44</f>
        <v>30</v>
      </c>
      <c r="J52" s="201">
        <f ca="1">E52*I52</f>
        <v>42693.101400936706</v>
      </c>
      <c r="K52" s="188">
        <f ca="1">E52*D52</f>
        <v>79693.789281748512</v>
      </c>
      <c r="L52" s="188">
        <f ca="1">G52*J52+H52*E52</f>
        <v>18930.320395648541</v>
      </c>
      <c r="M52" s="188">
        <f ca="1">K52-L52</f>
        <v>60763.468886099974</v>
      </c>
      <c r="O52" s="95"/>
    </row>
    <row r="53" spans="2:15" x14ac:dyDescent="0.35">
      <c r="C53" s="202" t="s">
        <v>118</v>
      </c>
      <c r="D53" s="201">
        <f>D45</f>
        <v>82</v>
      </c>
      <c r="E53" s="220">
        <f ca="1">LOOKUP(B52,$C$15:$L$15,$C$17:$L$17)</f>
        <v>1826.6240071656071</v>
      </c>
      <c r="F53" s="62"/>
      <c r="G53" s="188">
        <f t="shared" ref="G53:I54" si="2">G45</f>
        <v>0.294738</v>
      </c>
      <c r="H53" s="188">
        <f t="shared" si="2"/>
        <v>5.28</v>
      </c>
      <c r="I53" s="201">
        <f t="shared" si="2"/>
        <v>50</v>
      </c>
      <c r="J53" s="201">
        <f ca="1">E53*I53</f>
        <v>91331.200358280359</v>
      </c>
      <c r="K53" s="188">
        <f ca="1">E53*D53</f>
        <v>149783.16858757977</v>
      </c>
      <c r="L53" s="188">
        <f ca="1">G53*J53+H53*E53</f>
        <v>36563.350089033243</v>
      </c>
      <c r="M53" s="188">
        <f ca="1">K53-L53</f>
        <v>113219.81849854652</v>
      </c>
      <c r="O53" s="95"/>
    </row>
    <row r="54" spans="2:15" x14ac:dyDescent="0.35">
      <c r="C54" s="202" t="s">
        <v>91</v>
      </c>
      <c r="D54" s="201">
        <f>D46</f>
        <v>18</v>
      </c>
      <c r="E54" s="220">
        <f ca="1">LOOKUP(B52,$C$15:$L$15,$C$18:$L$18)</f>
        <v>259.1250648838577</v>
      </c>
      <c r="F54" s="62"/>
      <c r="G54" s="188">
        <f t="shared" si="2"/>
        <v>2.5891999999999998E-2</v>
      </c>
      <c r="H54" s="188">
        <f t="shared" si="2"/>
        <v>2.1800000000000002</v>
      </c>
      <c r="I54" s="201">
        <f t="shared" si="2"/>
        <v>100</v>
      </c>
      <c r="J54" s="201">
        <f ca="1">E54*I54</f>
        <v>25912.50648838577</v>
      </c>
      <c r="K54" s="188">
        <f ca="1">E54*D54</f>
        <v>4664.2511679094387</v>
      </c>
      <c r="L54" s="188">
        <f ca="1">G54*J54+H54*E54</f>
        <v>1235.8192594440943</v>
      </c>
      <c r="M54" s="188">
        <f ca="1">K54-L54</f>
        <v>3428.4319084653443</v>
      </c>
      <c r="O54" s="95"/>
    </row>
    <row r="55" spans="2:15" x14ac:dyDescent="0.35">
      <c r="C55" s="47"/>
      <c r="D55" s="100"/>
      <c r="E55" s="99"/>
      <c r="F55" s="62"/>
      <c r="G55" s="63"/>
      <c r="H55" s="63"/>
      <c r="I55" s="63"/>
      <c r="J55" s="62"/>
      <c r="K55" s="179"/>
      <c r="L55" s="180"/>
      <c r="M55" s="180"/>
      <c r="O55" s="65"/>
    </row>
    <row r="56" spans="2:15" x14ac:dyDescent="0.35">
      <c r="C56" s="43"/>
      <c r="D56" s="59"/>
      <c r="E56" s="100"/>
      <c r="F56" s="62"/>
      <c r="G56" s="63"/>
      <c r="H56" s="63"/>
      <c r="I56" s="63"/>
      <c r="J56" s="65"/>
      <c r="K56" s="213" t="s">
        <v>46</v>
      </c>
      <c r="L56" s="216" t="s">
        <v>43</v>
      </c>
      <c r="M56" s="217" t="s">
        <v>44</v>
      </c>
      <c r="O56" s="249"/>
    </row>
    <row r="57" spans="2:15" x14ac:dyDescent="0.35">
      <c r="C57" s="43"/>
      <c r="D57" s="59"/>
      <c r="E57" s="62"/>
      <c r="F57" s="62"/>
      <c r="G57" s="63"/>
      <c r="H57" s="63"/>
      <c r="I57" s="63"/>
      <c r="J57" s="193" t="s">
        <v>17</v>
      </c>
      <c r="K57" s="188">
        <f ca="1">SUM(K52:K54)</f>
        <v>234141.20903723771</v>
      </c>
      <c r="L57" s="188">
        <f ca="1">SUM(L52:L54,F52)</f>
        <v>123190.57974412588</v>
      </c>
      <c r="M57" s="188">
        <f ca="1">K57-L57</f>
        <v>110950.62929311184</v>
      </c>
      <c r="O57" s="42"/>
    </row>
    <row r="58" spans="2:15" x14ac:dyDescent="0.35">
      <c r="F58" s="33"/>
      <c r="G58" s="156"/>
      <c r="H58" s="33"/>
      <c r="I58" s="33"/>
      <c r="O58" s="33"/>
    </row>
    <row r="59" spans="2:15" x14ac:dyDescent="0.35">
      <c r="B59" s="195" t="s">
        <v>88</v>
      </c>
      <c r="C59" s="203" t="s">
        <v>117</v>
      </c>
      <c r="D59" s="203" t="s">
        <v>52</v>
      </c>
      <c r="E59" s="203" t="s">
        <v>42</v>
      </c>
      <c r="F59" s="203" t="s">
        <v>120</v>
      </c>
      <c r="G59" s="203" t="s">
        <v>121</v>
      </c>
      <c r="H59" s="203" t="s">
        <v>123</v>
      </c>
      <c r="I59" s="203" t="s">
        <v>37</v>
      </c>
      <c r="J59" s="203" t="s">
        <v>119</v>
      </c>
      <c r="K59" s="203" t="s">
        <v>1</v>
      </c>
      <c r="L59" s="203" t="s">
        <v>45</v>
      </c>
      <c r="M59" s="203" t="s">
        <v>23</v>
      </c>
      <c r="O59" s="95"/>
    </row>
    <row r="60" spans="2:15" x14ac:dyDescent="0.35">
      <c r="B60" s="232">
        <v>2023</v>
      </c>
      <c r="C60" s="202" t="s">
        <v>116</v>
      </c>
      <c r="D60" s="201">
        <f>D52</f>
        <v>56</v>
      </c>
      <c r="E60" s="220">
        <f ca="1">LOOKUP(B60,$C$15:$L$15,$C$16:$L$16)</f>
        <v>1460.6962125275581</v>
      </c>
      <c r="F60" s="188">
        <f>F52</f>
        <v>66461.09</v>
      </c>
      <c r="G60" s="188">
        <f>G52</f>
        <v>0.294738</v>
      </c>
      <c r="H60" s="188">
        <f>H52</f>
        <v>4.46</v>
      </c>
      <c r="I60" s="201">
        <f>I52</f>
        <v>30</v>
      </c>
      <c r="J60" s="201">
        <f ca="1">E60*I60</f>
        <v>43820.886375826747</v>
      </c>
      <c r="K60" s="188">
        <f ca="1">E60*D60</f>
        <v>81798.987901543253</v>
      </c>
      <c r="L60" s="188">
        <f ca="1">G60*J60+H60*E60</f>
        <v>19430.385516511335</v>
      </c>
      <c r="M60" s="188">
        <f ca="1">K60-L60</f>
        <v>62368.602385031918</v>
      </c>
      <c r="O60" s="95"/>
    </row>
    <row r="61" spans="2:15" x14ac:dyDescent="0.35">
      <c r="C61" s="202" t="s">
        <v>118</v>
      </c>
      <c r="D61" s="201">
        <f>D53</f>
        <v>82</v>
      </c>
      <c r="E61" s="220">
        <f ca="1">LOOKUP(B60,$C$15:$L$15,$C$17:$L$17)</f>
        <v>2095.4292385071981</v>
      </c>
      <c r="F61" s="62"/>
      <c r="G61" s="188">
        <f t="shared" ref="G61:I62" si="3">G53</f>
        <v>0.294738</v>
      </c>
      <c r="H61" s="188">
        <f t="shared" si="3"/>
        <v>5.28</v>
      </c>
      <c r="I61" s="201">
        <f t="shared" si="3"/>
        <v>50</v>
      </c>
      <c r="J61" s="201">
        <f ca="1">E61*I61</f>
        <v>104771.46192535991</v>
      </c>
      <c r="K61" s="188">
        <f ca="1">E61*D61</f>
        <v>171825.19755759023</v>
      </c>
      <c r="L61" s="188">
        <f ca="1">G61*J61+H61*E61</f>
        <v>41943.997524274731</v>
      </c>
      <c r="M61" s="188">
        <f ca="1">K61-L61</f>
        <v>129881.2000333155</v>
      </c>
      <c r="O61" s="95"/>
    </row>
    <row r="62" spans="2:15" x14ac:dyDescent="0.35">
      <c r="C62" s="202" t="s">
        <v>91</v>
      </c>
      <c r="D62" s="201">
        <f>D54</f>
        <v>18</v>
      </c>
      <c r="E62" s="220">
        <f ca="1">LOOKUP(B60,$C$15:$L$15,$C$18:$L$18)</f>
        <v>563.92600036278793</v>
      </c>
      <c r="F62" s="62"/>
      <c r="G62" s="188">
        <f t="shared" si="3"/>
        <v>2.5891999999999998E-2</v>
      </c>
      <c r="H62" s="188">
        <f t="shared" si="3"/>
        <v>2.1800000000000002</v>
      </c>
      <c r="I62" s="201">
        <f t="shared" si="3"/>
        <v>100</v>
      </c>
      <c r="J62" s="201">
        <f ca="1">E62*I62</f>
        <v>56392.600036278796</v>
      </c>
      <c r="K62" s="188">
        <f ca="1">E62*D62</f>
        <v>10150.668006530183</v>
      </c>
      <c r="L62" s="188">
        <f ca="1">G62*J62+H62*E62</f>
        <v>2689.4758809302084</v>
      </c>
      <c r="M62" s="188">
        <f ca="1">K62-L62</f>
        <v>7461.1921255999741</v>
      </c>
      <c r="O62" s="95"/>
    </row>
    <row r="63" spans="2:15" x14ac:dyDescent="0.35">
      <c r="C63" s="47"/>
      <c r="D63" s="100"/>
      <c r="E63" s="99"/>
      <c r="F63" s="62"/>
      <c r="G63" s="63"/>
      <c r="H63" s="63"/>
      <c r="I63" s="63"/>
      <c r="J63" s="62"/>
      <c r="K63" s="179"/>
      <c r="L63" s="180"/>
      <c r="M63" s="180"/>
      <c r="O63" s="65"/>
    </row>
    <row r="64" spans="2:15" x14ac:dyDescent="0.35">
      <c r="C64" s="43"/>
      <c r="D64" s="59"/>
      <c r="E64" s="100"/>
      <c r="F64" s="62"/>
      <c r="G64" s="63"/>
      <c r="H64" s="63"/>
      <c r="I64" s="63"/>
      <c r="J64" s="65"/>
      <c r="K64" s="213" t="s">
        <v>46</v>
      </c>
      <c r="L64" s="216" t="s">
        <v>43</v>
      </c>
      <c r="M64" s="217" t="s">
        <v>44</v>
      </c>
      <c r="O64" s="249"/>
    </row>
    <row r="65" spans="2:15" x14ac:dyDescent="0.35">
      <c r="C65" s="43"/>
      <c r="D65" s="59"/>
      <c r="E65" s="62"/>
      <c r="F65" s="62"/>
      <c r="G65" s="63"/>
      <c r="H65" s="63"/>
      <c r="I65" s="63"/>
      <c r="J65" s="193" t="s">
        <v>17</v>
      </c>
      <c r="K65" s="188">
        <f ca="1">SUM(K60:K62)</f>
        <v>263774.85346566368</v>
      </c>
      <c r="L65" s="188">
        <f ca="1">SUM(L60:L62,F60)</f>
        <v>130524.94892171628</v>
      </c>
      <c r="M65" s="188">
        <f ca="1">K65-L65</f>
        <v>133249.9045439474</v>
      </c>
      <c r="O65" s="42"/>
    </row>
    <row r="66" spans="2:15" x14ac:dyDescent="0.35">
      <c r="F66" s="33"/>
      <c r="G66" s="156"/>
      <c r="H66" s="33"/>
      <c r="I66" s="33"/>
      <c r="O66" s="33"/>
    </row>
    <row r="67" spans="2:15" x14ac:dyDescent="0.35">
      <c r="B67" s="195" t="s">
        <v>88</v>
      </c>
      <c r="C67" s="203" t="s">
        <v>117</v>
      </c>
      <c r="D67" s="203" t="s">
        <v>52</v>
      </c>
      <c r="E67" s="203" t="s">
        <v>42</v>
      </c>
      <c r="F67" s="203" t="s">
        <v>120</v>
      </c>
      <c r="G67" s="203" t="s">
        <v>121</v>
      </c>
      <c r="H67" s="203" t="s">
        <v>123</v>
      </c>
      <c r="I67" s="203" t="s">
        <v>37</v>
      </c>
      <c r="J67" s="203" t="s">
        <v>119</v>
      </c>
      <c r="K67" s="203" t="s">
        <v>1</v>
      </c>
      <c r="L67" s="203" t="s">
        <v>45</v>
      </c>
      <c r="M67" s="203" t="s">
        <v>23</v>
      </c>
      <c r="O67" s="95"/>
    </row>
    <row r="68" spans="2:15" x14ac:dyDescent="0.35">
      <c r="B68" s="232">
        <v>2024</v>
      </c>
      <c r="C68" s="202" t="s">
        <v>116</v>
      </c>
      <c r="D68" s="201">
        <f>D60</f>
        <v>56</v>
      </c>
      <c r="E68" s="220">
        <f ca="1">LOOKUP(B68,$C$15:$L$15,$C$16:$L$16)</f>
        <v>1794.3079914705536</v>
      </c>
      <c r="F68" s="188">
        <f>F60</f>
        <v>66461.09</v>
      </c>
      <c r="G68" s="188">
        <f>G60</f>
        <v>0.294738</v>
      </c>
      <c r="H68" s="188">
        <f>H60</f>
        <v>4.46</v>
      </c>
      <c r="I68" s="201">
        <f>I60</f>
        <v>30</v>
      </c>
      <c r="J68" s="201">
        <f ca="1">E68*I68</f>
        <v>53829.23974411661</v>
      </c>
      <c r="K68" s="188">
        <f ca="1">E68*D68</f>
        <v>100481.247522351</v>
      </c>
      <c r="L68" s="188">
        <f ca="1">G68*J68+H68*E68</f>
        <v>23868.136105660109</v>
      </c>
      <c r="M68" s="188">
        <f ca="1">K68-L68</f>
        <v>76613.111416690896</v>
      </c>
      <c r="O68" s="95"/>
    </row>
    <row r="69" spans="2:15" x14ac:dyDescent="0.35">
      <c r="C69" s="202" t="s">
        <v>118</v>
      </c>
      <c r="D69" s="201">
        <f>D61</f>
        <v>82</v>
      </c>
      <c r="E69" s="220">
        <f ca="1">LOOKUP(B68,$C$15:$L$15,$C$17:$L$17)</f>
        <v>2112.0924879730073</v>
      </c>
      <c r="F69" s="62"/>
      <c r="G69" s="188">
        <f t="shared" ref="G69:I70" si="4">G61</f>
        <v>0.294738</v>
      </c>
      <c r="H69" s="188">
        <f t="shared" si="4"/>
        <v>5.28</v>
      </c>
      <c r="I69" s="201">
        <f t="shared" si="4"/>
        <v>50</v>
      </c>
      <c r="J69" s="201">
        <f ca="1">E69*I69</f>
        <v>105604.62439865037</v>
      </c>
      <c r="K69" s="188">
        <f ca="1">E69*D69</f>
        <v>173191.5840137866</v>
      </c>
      <c r="L69" s="188">
        <f ca="1">G69*J69+H69*E69</f>
        <v>42277.544122506893</v>
      </c>
      <c r="M69" s="188">
        <f ca="1">K69-L69</f>
        <v>130914.03989127971</v>
      </c>
      <c r="O69" s="95"/>
    </row>
    <row r="70" spans="2:15" x14ac:dyDescent="0.35">
      <c r="C70" s="202" t="s">
        <v>91</v>
      </c>
      <c r="D70" s="201">
        <f>D62</f>
        <v>18</v>
      </c>
      <c r="E70" s="220">
        <f ca="1">LOOKUP(B68,$C$15:$L$15,$C$18:$L$18)</f>
        <v>312.52037818586632</v>
      </c>
      <c r="F70" s="62"/>
      <c r="G70" s="188">
        <f t="shared" si="4"/>
        <v>2.5891999999999998E-2</v>
      </c>
      <c r="H70" s="188">
        <f t="shared" si="4"/>
        <v>2.1800000000000002</v>
      </c>
      <c r="I70" s="201">
        <f t="shared" si="4"/>
        <v>100</v>
      </c>
      <c r="J70" s="201">
        <f ca="1">E70*I70</f>
        <v>31252.037818586632</v>
      </c>
      <c r="K70" s="188">
        <f ca="1">E70*D70</f>
        <v>5625.3668073455938</v>
      </c>
      <c r="L70" s="188">
        <f ca="1">G70*J70+H70*E70</f>
        <v>1490.4721876440335</v>
      </c>
      <c r="M70" s="188">
        <f ca="1">K70-L70</f>
        <v>4134.8946197015603</v>
      </c>
      <c r="O70" s="95"/>
    </row>
    <row r="71" spans="2:15" x14ac:dyDescent="0.35">
      <c r="C71" s="47"/>
      <c r="D71" s="100"/>
      <c r="E71" s="99"/>
      <c r="F71" s="62"/>
      <c r="G71" s="63"/>
      <c r="H71" s="63"/>
      <c r="I71" s="63"/>
      <c r="J71" s="62"/>
      <c r="K71" s="179"/>
      <c r="L71" s="180"/>
      <c r="M71" s="180"/>
      <c r="O71" s="65"/>
    </row>
    <row r="72" spans="2:15" x14ac:dyDescent="0.35">
      <c r="C72" s="43"/>
      <c r="D72" s="59"/>
      <c r="E72" s="100"/>
      <c r="F72" s="62"/>
      <c r="G72" s="63"/>
      <c r="H72" s="63"/>
      <c r="I72" s="63"/>
      <c r="J72" s="65"/>
      <c r="K72" s="213" t="s">
        <v>46</v>
      </c>
      <c r="L72" s="216" t="s">
        <v>43</v>
      </c>
      <c r="M72" s="217" t="s">
        <v>44</v>
      </c>
      <c r="O72" s="249"/>
    </row>
    <row r="73" spans="2:15" x14ac:dyDescent="0.35">
      <c r="C73" s="43"/>
      <c r="D73" s="59"/>
      <c r="E73" s="62"/>
      <c r="F73" s="62"/>
      <c r="G73" s="63"/>
      <c r="H73" s="63"/>
      <c r="I73" s="63"/>
      <c r="J73" s="193" t="s">
        <v>17</v>
      </c>
      <c r="K73" s="188">
        <f ca="1">SUM(K68:K70)</f>
        <v>279298.19834348321</v>
      </c>
      <c r="L73" s="188">
        <f ca="1">SUM(L68:L70,F68)</f>
        <v>134097.24241581105</v>
      </c>
      <c r="M73" s="188">
        <f ca="1">K73-L73</f>
        <v>145200.95592767216</v>
      </c>
      <c r="O73" s="42"/>
    </row>
    <row r="74" spans="2:15" x14ac:dyDescent="0.35">
      <c r="F74" s="33"/>
      <c r="G74" s="156"/>
      <c r="H74" s="33"/>
      <c r="I74" s="33"/>
      <c r="O74" s="33"/>
    </row>
    <row r="75" spans="2:15" x14ac:dyDescent="0.35">
      <c r="B75" s="195" t="s">
        <v>88</v>
      </c>
      <c r="C75" s="203" t="s">
        <v>117</v>
      </c>
      <c r="D75" s="203" t="s">
        <v>52</v>
      </c>
      <c r="E75" s="203" t="s">
        <v>42</v>
      </c>
      <c r="F75" s="203" t="s">
        <v>120</v>
      </c>
      <c r="G75" s="203" t="s">
        <v>121</v>
      </c>
      <c r="H75" s="203" t="s">
        <v>123</v>
      </c>
      <c r="I75" s="203" t="s">
        <v>37</v>
      </c>
      <c r="J75" s="203" t="s">
        <v>119</v>
      </c>
      <c r="K75" s="203" t="s">
        <v>1</v>
      </c>
      <c r="L75" s="203" t="s">
        <v>45</v>
      </c>
      <c r="M75" s="203" t="s">
        <v>23</v>
      </c>
      <c r="O75" s="95"/>
    </row>
    <row r="76" spans="2:15" x14ac:dyDescent="0.35">
      <c r="B76" s="232">
        <v>2025</v>
      </c>
      <c r="C76" s="202" t="s">
        <v>116</v>
      </c>
      <c r="D76" s="201">
        <f>D68</f>
        <v>56</v>
      </c>
      <c r="E76" s="220">
        <f ca="1">LOOKUP(B76,$C$15:$L$15,$C$16:$L$16)</f>
        <v>1616.2829230375016</v>
      </c>
      <c r="F76" s="188">
        <f>F68</f>
        <v>66461.09</v>
      </c>
      <c r="G76" s="188">
        <f>G68</f>
        <v>0.294738</v>
      </c>
      <c r="H76" s="188">
        <f>H68</f>
        <v>4.46</v>
      </c>
      <c r="I76" s="201">
        <f>I68</f>
        <v>30</v>
      </c>
      <c r="J76" s="201">
        <f ca="1">E76*I76</f>
        <v>48488.487691125047</v>
      </c>
      <c r="K76" s="188">
        <f ca="1">E76*D76</f>
        <v>90511.843690100097</v>
      </c>
      <c r="L76" s="188">
        <f ca="1">G76*J76+H76*E76</f>
        <v>21500.021721854071</v>
      </c>
      <c r="M76" s="188">
        <f ca="1">K76-L76</f>
        <v>69011.821968246019</v>
      </c>
      <c r="O76" s="95"/>
    </row>
    <row r="77" spans="2:15" x14ac:dyDescent="0.35">
      <c r="C77" s="202" t="s">
        <v>118</v>
      </c>
      <c r="D77" s="201">
        <f>D69</f>
        <v>82</v>
      </c>
      <c r="E77" s="220">
        <f ca="1">LOOKUP(B76,$C$15:$L$15,$C$17:$L$17)</f>
        <v>2327.6023258803939</v>
      </c>
      <c r="F77" s="62"/>
      <c r="G77" s="188">
        <f t="shared" ref="G77:I78" si="5">G69</f>
        <v>0.294738</v>
      </c>
      <c r="H77" s="188">
        <f t="shared" si="5"/>
        <v>5.28</v>
      </c>
      <c r="I77" s="201">
        <f t="shared" si="5"/>
        <v>50</v>
      </c>
      <c r="J77" s="201">
        <f ca="1">E77*I77</f>
        <v>116380.1162940197</v>
      </c>
      <c r="K77" s="188">
        <f ca="1">E77*D77</f>
        <v>190863.3907221923</v>
      </c>
      <c r="L77" s="188">
        <f ca="1">G77*J77+H77*E77</f>
        <v>46591.382996915258</v>
      </c>
      <c r="M77" s="188">
        <f ca="1">K77-L77</f>
        <v>144272.00772527704</v>
      </c>
      <c r="O77" s="95"/>
    </row>
    <row r="78" spans="2:15" x14ac:dyDescent="0.35">
      <c r="C78" s="202" t="s">
        <v>91</v>
      </c>
      <c r="D78" s="201">
        <f>D70</f>
        <v>18</v>
      </c>
      <c r="E78" s="220">
        <f ca="1">LOOKUP(B76,$C$15:$L$15,$C$18:$L$18)</f>
        <v>412.36660815742113</v>
      </c>
      <c r="F78" s="62"/>
      <c r="G78" s="188">
        <f t="shared" si="5"/>
        <v>2.5891999999999998E-2</v>
      </c>
      <c r="H78" s="188">
        <f t="shared" si="5"/>
        <v>2.1800000000000002</v>
      </c>
      <c r="I78" s="201">
        <f t="shared" si="5"/>
        <v>100</v>
      </c>
      <c r="J78" s="201">
        <f ca="1">E78*I78</f>
        <v>41236.660815742114</v>
      </c>
      <c r="K78" s="188">
        <f ca="1">E78*D78</f>
        <v>7422.5989468335802</v>
      </c>
      <c r="L78" s="188">
        <f ca="1">G78*J78+H78*E78</f>
        <v>1966.6588276243729</v>
      </c>
      <c r="M78" s="188">
        <f ca="1">K78-L78</f>
        <v>5455.9401192092073</v>
      </c>
      <c r="O78" s="95"/>
    </row>
    <row r="79" spans="2:15" x14ac:dyDescent="0.35">
      <c r="C79" s="47"/>
      <c r="D79" s="100"/>
      <c r="E79" s="99"/>
      <c r="F79" s="62"/>
      <c r="G79" s="63"/>
      <c r="H79" s="63"/>
      <c r="I79" s="63"/>
      <c r="J79" s="62"/>
      <c r="K79" s="179"/>
      <c r="L79" s="180"/>
      <c r="M79" s="180"/>
      <c r="O79" s="65"/>
    </row>
    <row r="80" spans="2:15" x14ac:dyDescent="0.35">
      <c r="C80" s="43"/>
      <c r="D80" s="59"/>
      <c r="E80" s="100"/>
      <c r="F80" s="62"/>
      <c r="G80" s="63"/>
      <c r="H80" s="63"/>
      <c r="I80" s="63"/>
      <c r="J80" s="65"/>
      <c r="K80" s="213" t="s">
        <v>46</v>
      </c>
      <c r="L80" s="216" t="s">
        <v>43</v>
      </c>
      <c r="M80" s="217" t="s">
        <v>44</v>
      </c>
      <c r="O80" s="249"/>
    </row>
    <row r="81" spans="2:15" x14ac:dyDescent="0.35">
      <c r="C81" s="43"/>
      <c r="D81" s="59"/>
      <c r="E81" s="62"/>
      <c r="F81" s="62"/>
      <c r="G81" s="63"/>
      <c r="H81" s="63"/>
      <c r="I81" s="63"/>
      <c r="J81" s="193" t="s">
        <v>17</v>
      </c>
      <c r="K81" s="188">
        <f ca="1">SUM(K76:K78)</f>
        <v>288797.83335912594</v>
      </c>
      <c r="L81" s="188">
        <f ca="1">SUM(L76:L78,F76)</f>
        <v>136519.1535463937</v>
      </c>
      <c r="M81" s="188">
        <f ca="1">K81-L81</f>
        <v>152278.67981273224</v>
      </c>
      <c r="O81" s="42"/>
    </row>
    <row r="82" spans="2:15" x14ac:dyDescent="0.35">
      <c r="F82" s="33"/>
      <c r="G82" s="156"/>
      <c r="H82" s="33"/>
      <c r="I82" s="33"/>
      <c r="O82" s="33"/>
    </row>
    <row r="83" spans="2:15" x14ac:dyDescent="0.35">
      <c r="B83" s="195" t="s">
        <v>88</v>
      </c>
      <c r="C83" s="203" t="s">
        <v>117</v>
      </c>
      <c r="D83" s="203" t="s">
        <v>52</v>
      </c>
      <c r="E83" s="203" t="s">
        <v>42</v>
      </c>
      <c r="F83" s="203" t="s">
        <v>120</v>
      </c>
      <c r="G83" s="203" t="s">
        <v>121</v>
      </c>
      <c r="H83" s="203" t="s">
        <v>123</v>
      </c>
      <c r="I83" s="203" t="s">
        <v>37</v>
      </c>
      <c r="J83" s="203" t="s">
        <v>119</v>
      </c>
      <c r="K83" s="203" t="s">
        <v>1</v>
      </c>
      <c r="L83" s="203" t="s">
        <v>45</v>
      </c>
      <c r="M83" s="203" t="s">
        <v>23</v>
      </c>
      <c r="O83" s="95"/>
    </row>
    <row r="84" spans="2:15" x14ac:dyDescent="0.35">
      <c r="B84" s="232">
        <v>2026</v>
      </c>
      <c r="C84" s="202" t="s">
        <v>116</v>
      </c>
      <c r="D84" s="201">
        <f>D76</f>
        <v>56</v>
      </c>
      <c r="E84" s="220">
        <f ca="1">LOOKUP(B84,$C$15:$L$15,$C$16:$L$16)</f>
        <v>2151.3883643441154</v>
      </c>
      <c r="F84" s="188">
        <f>F76</f>
        <v>66461.09</v>
      </c>
      <c r="G84" s="188">
        <f>G76</f>
        <v>0.294738</v>
      </c>
      <c r="H84" s="188">
        <f>H76</f>
        <v>4.46</v>
      </c>
      <c r="I84" s="201">
        <f>I76</f>
        <v>30</v>
      </c>
      <c r="J84" s="201">
        <f ca="1">E84*I84</f>
        <v>64541.650930323463</v>
      </c>
      <c r="K84" s="188">
        <f ca="1">E84*D84</f>
        <v>120477.74840327047</v>
      </c>
      <c r="L84" s="188">
        <f ca="1">G84*J84+H84*E84</f>
        <v>28618.069216876433</v>
      </c>
      <c r="M84" s="188">
        <f ca="1">K84-L84</f>
        <v>91859.679186394031</v>
      </c>
      <c r="O84" s="95"/>
    </row>
    <row r="85" spans="2:15" x14ac:dyDescent="0.35">
      <c r="C85" s="202" t="s">
        <v>118</v>
      </c>
      <c r="D85" s="201">
        <f>D77</f>
        <v>82</v>
      </c>
      <c r="E85" s="220">
        <f ca="1">LOOKUP(B84,$C$15:$L$15,$C$17:$L$17)</f>
        <v>2108.2511220433912</v>
      </c>
      <c r="F85" s="62"/>
      <c r="G85" s="188">
        <f t="shared" ref="G85:I86" si="6">G77</f>
        <v>0.294738</v>
      </c>
      <c r="H85" s="188">
        <f t="shared" si="6"/>
        <v>5.28</v>
      </c>
      <c r="I85" s="201">
        <f t="shared" si="6"/>
        <v>50</v>
      </c>
      <c r="J85" s="201">
        <f ca="1">E85*I85</f>
        <v>105412.55610216956</v>
      </c>
      <c r="K85" s="188">
        <f ca="1">E85*D85</f>
        <v>172876.59200755807</v>
      </c>
      <c r="L85" s="188">
        <f ca="1">G85*J85+H85*E85</f>
        <v>42200.651884830353</v>
      </c>
      <c r="M85" s="188">
        <f ca="1">K85-L85</f>
        <v>130675.94012272771</v>
      </c>
      <c r="O85" s="95"/>
    </row>
    <row r="86" spans="2:15" x14ac:dyDescent="0.35">
      <c r="C86" s="202" t="s">
        <v>91</v>
      </c>
      <c r="D86" s="201">
        <f>D78</f>
        <v>18</v>
      </c>
      <c r="E86" s="220">
        <f ca="1">LOOKUP(B84,$C$15:$L$15,$C$18:$L$18)</f>
        <v>567.85761281448674</v>
      </c>
      <c r="F86" s="62"/>
      <c r="G86" s="188">
        <f t="shared" si="6"/>
        <v>2.5891999999999998E-2</v>
      </c>
      <c r="H86" s="188">
        <f t="shared" si="6"/>
        <v>2.1800000000000002</v>
      </c>
      <c r="I86" s="201">
        <f t="shared" si="6"/>
        <v>100</v>
      </c>
      <c r="J86" s="201">
        <f ca="1">E86*I86</f>
        <v>56785.761281448671</v>
      </c>
      <c r="K86" s="188">
        <f ca="1">E86*D86</f>
        <v>10221.437030660762</v>
      </c>
      <c r="L86" s="188">
        <f ca="1">G86*J86+H86*E86</f>
        <v>2708.2265270348498</v>
      </c>
      <c r="M86" s="188">
        <f ca="1">K86-L86</f>
        <v>7513.2105036259118</v>
      </c>
      <c r="O86" s="95"/>
    </row>
    <row r="87" spans="2:15" x14ac:dyDescent="0.35">
      <c r="C87" s="47"/>
      <c r="D87" s="100"/>
      <c r="E87" s="99"/>
      <c r="F87" s="62"/>
      <c r="G87" s="63"/>
      <c r="H87" s="63"/>
      <c r="I87" s="63"/>
      <c r="J87" s="62"/>
      <c r="K87" s="179"/>
      <c r="L87" s="180"/>
      <c r="M87" s="180"/>
      <c r="O87" s="65"/>
    </row>
    <row r="88" spans="2:15" x14ac:dyDescent="0.35">
      <c r="C88" s="43"/>
      <c r="D88" s="59"/>
      <c r="E88" s="100"/>
      <c r="F88" s="62"/>
      <c r="G88" s="63"/>
      <c r="H88" s="63"/>
      <c r="I88" s="63"/>
      <c r="J88" s="65"/>
      <c r="K88" s="213" t="s">
        <v>46</v>
      </c>
      <c r="L88" s="216" t="s">
        <v>43</v>
      </c>
      <c r="M88" s="217" t="s">
        <v>44</v>
      </c>
      <c r="O88" s="249"/>
    </row>
    <row r="89" spans="2:15" x14ac:dyDescent="0.35">
      <c r="C89" s="43"/>
      <c r="D89" s="59"/>
      <c r="E89" s="62"/>
      <c r="F89" s="62"/>
      <c r="G89" s="63"/>
      <c r="H89" s="63"/>
      <c r="I89" s="63"/>
      <c r="J89" s="193" t="s">
        <v>17</v>
      </c>
      <c r="K89" s="188">
        <f ca="1">SUM(K84:K86)</f>
        <v>303575.77744148928</v>
      </c>
      <c r="L89" s="188">
        <f ca="1">SUM(L84:L86,F84)</f>
        <v>139988.03762874164</v>
      </c>
      <c r="M89" s="188">
        <f ca="1">K89-L89</f>
        <v>163587.73981274763</v>
      </c>
      <c r="O89" s="42"/>
    </row>
    <row r="90" spans="2:15" x14ac:dyDescent="0.35">
      <c r="F90" s="33"/>
      <c r="G90" s="156"/>
      <c r="H90" s="33"/>
      <c r="I90" s="33"/>
      <c r="O90" s="33"/>
    </row>
    <row r="91" spans="2:15" x14ac:dyDescent="0.35">
      <c r="B91" s="195" t="s">
        <v>88</v>
      </c>
      <c r="C91" s="203" t="s">
        <v>117</v>
      </c>
      <c r="D91" s="203" t="s">
        <v>52</v>
      </c>
      <c r="E91" s="203" t="s">
        <v>42</v>
      </c>
      <c r="F91" s="203" t="s">
        <v>120</v>
      </c>
      <c r="G91" s="203" t="s">
        <v>121</v>
      </c>
      <c r="H91" s="203" t="s">
        <v>123</v>
      </c>
      <c r="I91" s="203" t="s">
        <v>37</v>
      </c>
      <c r="J91" s="203" t="s">
        <v>119</v>
      </c>
      <c r="K91" s="203" t="s">
        <v>1</v>
      </c>
      <c r="L91" s="203" t="s">
        <v>45</v>
      </c>
      <c r="M91" s="203" t="s">
        <v>23</v>
      </c>
      <c r="O91" s="95"/>
    </row>
    <row r="92" spans="2:15" x14ac:dyDescent="0.35">
      <c r="B92" s="232">
        <v>2027</v>
      </c>
      <c r="C92" s="202" t="s">
        <v>116</v>
      </c>
      <c r="D92" s="201">
        <f>D84</f>
        <v>56</v>
      </c>
      <c r="E92" s="220">
        <f ca="1">LOOKUP(B92,$C$15:$L$15,$C$16:$L$16)</f>
        <v>2158.1169951057659</v>
      </c>
      <c r="F92" s="188">
        <f>F84</f>
        <v>66461.09</v>
      </c>
      <c r="G92" s="188">
        <f>G84</f>
        <v>0.294738</v>
      </c>
      <c r="H92" s="188">
        <f>H84</f>
        <v>4.46</v>
      </c>
      <c r="I92" s="201">
        <f>I84</f>
        <v>30</v>
      </c>
      <c r="J92" s="201">
        <f ca="1">E92*I92</f>
        <v>64743.509853172975</v>
      </c>
      <c r="K92" s="188">
        <f ca="1">E92*D92</f>
        <v>120854.55172592289</v>
      </c>
      <c r="L92" s="188">
        <f ca="1">G92*J92+H92*E92</f>
        <v>28707.574405276209</v>
      </c>
      <c r="M92" s="188">
        <f ca="1">K92-L92</f>
        <v>92146.977320646693</v>
      </c>
      <c r="O92" s="95"/>
    </row>
    <row r="93" spans="2:15" x14ac:dyDescent="0.35">
      <c r="C93" s="202" t="s">
        <v>118</v>
      </c>
      <c r="D93" s="201">
        <f>D85</f>
        <v>82</v>
      </c>
      <c r="E93" s="220">
        <f ca="1">LOOKUP(B92,$C$15:$L$15,$C$17:$L$17)</f>
        <v>2764.0714133746105</v>
      </c>
      <c r="F93" s="62"/>
      <c r="G93" s="188">
        <f t="shared" ref="G93:I94" si="7">G85</f>
        <v>0.294738</v>
      </c>
      <c r="H93" s="188">
        <f t="shared" si="7"/>
        <v>5.28</v>
      </c>
      <c r="I93" s="201">
        <f t="shared" si="7"/>
        <v>50</v>
      </c>
      <c r="J93" s="201">
        <f ca="1">E93*I93</f>
        <v>138203.57066873054</v>
      </c>
      <c r="K93" s="188">
        <f ca="1">E93*D93</f>
        <v>226653.85589671807</v>
      </c>
      <c r="L93" s="188">
        <f ca="1">G93*J93+H93*E93</f>
        <v>55328.141074378247</v>
      </c>
      <c r="M93" s="188">
        <f ca="1">K93-L93</f>
        <v>171325.71482233983</v>
      </c>
      <c r="O93" s="95"/>
    </row>
    <row r="94" spans="2:15" x14ac:dyDescent="0.35">
      <c r="C94" s="202" t="s">
        <v>91</v>
      </c>
      <c r="D94" s="201">
        <f>D86</f>
        <v>18</v>
      </c>
      <c r="E94" s="220">
        <f ca="1">LOOKUP(B92,$C$15:$L$15,$C$18:$L$18)</f>
        <v>546.16827110986435</v>
      </c>
      <c r="F94" s="62"/>
      <c r="G94" s="188">
        <f t="shared" si="7"/>
        <v>2.5891999999999998E-2</v>
      </c>
      <c r="H94" s="188">
        <f t="shared" si="7"/>
        <v>2.1800000000000002</v>
      </c>
      <c r="I94" s="201">
        <f t="shared" si="7"/>
        <v>100</v>
      </c>
      <c r="J94" s="201">
        <f ca="1">E94*I94</f>
        <v>54616.827110986436</v>
      </c>
      <c r="K94" s="188">
        <f ca="1">E94*D94</f>
        <v>9831.028879977559</v>
      </c>
      <c r="L94" s="188">
        <f ca="1">G94*J94+H94*E94</f>
        <v>2604.785718577165</v>
      </c>
      <c r="M94" s="188">
        <f ca="1">K94-L94</f>
        <v>7226.2431614003945</v>
      </c>
      <c r="O94" s="95"/>
    </row>
    <row r="95" spans="2:15" x14ac:dyDescent="0.35">
      <c r="C95" s="47"/>
      <c r="D95" s="100"/>
      <c r="E95" s="99"/>
      <c r="F95" s="62"/>
      <c r="G95" s="63"/>
      <c r="H95" s="63"/>
      <c r="I95" s="63"/>
      <c r="J95" s="62"/>
      <c r="K95" s="179"/>
      <c r="L95" s="180"/>
      <c r="M95" s="180"/>
      <c r="O95" s="65"/>
    </row>
    <row r="96" spans="2:15" x14ac:dyDescent="0.35">
      <c r="C96" s="43"/>
      <c r="D96" s="59"/>
      <c r="E96" s="100"/>
      <c r="F96" s="62"/>
      <c r="G96" s="63"/>
      <c r="H96" s="63"/>
      <c r="I96" s="63"/>
      <c r="J96" s="65"/>
      <c r="K96" s="213" t="s">
        <v>46</v>
      </c>
      <c r="L96" s="216" t="s">
        <v>43</v>
      </c>
      <c r="M96" s="217" t="s">
        <v>44</v>
      </c>
      <c r="O96" s="249"/>
    </row>
    <row r="97" spans="2:15" x14ac:dyDescent="0.35">
      <c r="C97" s="43"/>
      <c r="D97" s="59"/>
      <c r="E97" s="62"/>
      <c r="F97" s="62"/>
      <c r="G97" s="63"/>
      <c r="H97" s="63"/>
      <c r="I97" s="63"/>
      <c r="J97" s="193" t="s">
        <v>17</v>
      </c>
      <c r="K97" s="188">
        <f ca="1">SUM(K92:K94)</f>
        <v>357339.43650261848</v>
      </c>
      <c r="L97" s="188">
        <f ca="1">SUM(L92:L94,F92)</f>
        <v>153101.59119823162</v>
      </c>
      <c r="M97" s="188">
        <f ca="1">K97-L97</f>
        <v>204237.84530438686</v>
      </c>
      <c r="O97" s="42"/>
    </row>
    <row r="98" spans="2:15" x14ac:dyDescent="0.35">
      <c r="F98" s="33"/>
      <c r="G98" s="156"/>
      <c r="H98" s="33"/>
      <c r="I98" s="33"/>
      <c r="O98" s="33"/>
    </row>
    <row r="99" spans="2:15" x14ac:dyDescent="0.35">
      <c r="B99" s="195" t="s">
        <v>88</v>
      </c>
      <c r="C99" s="203" t="s">
        <v>117</v>
      </c>
      <c r="D99" s="203" t="s">
        <v>52</v>
      </c>
      <c r="E99" s="203" t="s">
        <v>42</v>
      </c>
      <c r="F99" s="203" t="s">
        <v>120</v>
      </c>
      <c r="G99" s="203" t="s">
        <v>121</v>
      </c>
      <c r="H99" s="203" t="s">
        <v>123</v>
      </c>
      <c r="I99" s="203" t="s">
        <v>37</v>
      </c>
      <c r="J99" s="203" t="s">
        <v>119</v>
      </c>
      <c r="K99" s="203" t="s">
        <v>1</v>
      </c>
      <c r="L99" s="203" t="s">
        <v>45</v>
      </c>
      <c r="M99" s="203" t="s">
        <v>23</v>
      </c>
      <c r="O99" s="95"/>
    </row>
    <row r="100" spans="2:15" x14ac:dyDescent="0.35">
      <c r="B100" s="232">
        <v>2028</v>
      </c>
      <c r="C100" s="202" t="s">
        <v>116</v>
      </c>
      <c r="D100" s="201">
        <f>D92</f>
        <v>56</v>
      </c>
      <c r="E100" s="220">
        <f ca="1">LOOKUP(B100,$C$15:$L$15,$C$16:$L$16)</f>
        <v>2179.1128157794406</v>
      </c>
      <c r="F100" s="188">
        <f>F92</f>
        <v>66461.09</v>
      </c>
      <c r="G100" s="188">
        <f>G92</f>
        <v>0.294738</v>
      </c>
      <c r="H100" s="188">
        <f>H92</f>
        <v>4.46</v>
      </c>
      <c r="I100" s="201">
        <f>I92</f>
        <v>30</v>
      </c>
      <c r="J100" s="201">
        <f ca="1">E100*I100</f>
        <v>65373.384473383216</v>
      </c>
      <c r="K100" s="188">
        <f ca="1">E100*D100</f>
        <v>122030.31768364867</v>
      </c>
      <c r="L100" s="188">
        <f ca="1">G100*J100+H100*E100</f>
        <v>28986.863751292327</v>
      </c>
      <c r="M100" s="188">
        <f ca="1">K100-L100</f>
        <v>93043.453932356337</v>
      </c>
      <c r="O100" s="95"/>
    </row>
    <row r="101" spans="2:15" x14ac:dyDescent="0.35">
      <c r="C101" s="202" t="s">
        <v>118</v>
      </c>
      <c r="D101" s="201">
        <f>D93</f>
        <v>82</v>
      </c>
      <c r="E101" s="220">
        <f ca="1">LOOKUP(B100,$C$15:$L$15,$C$17:$L$17)</f>
        <v>2260.2258156543803</v>
      </c>
      <c r="F101" s="62"/>
      <c r="G101" s="188">
        <f t="shared" ref="G101:I102" si="8">G93</f>
        <v>0.294738</v>
      </c>
      <c r="H101" s="188">
        <f t="shared" si="8"/>
        <v>5.28</v>
      </c>
      <c r="I101" s="201">
        <f t="shared" si="8"/>
        <v>50</v>
      </c>
      <c r="J101" s="201">
        <f ca="1">E101*I101</f>
        <v>113011.29078271902</v>
      </c>
      <c r="K101" s="188">
        <f ca="1">E101*D101</f>
        <v>185338.51688365918</v>
      </c>
      <c r="L101" s="188">
        <f ca="1">G101*J101+H101*E101</f>
        <v>45242.714129372165</v>
      </c>
      <c r="M101" s="188">
        <f ca="1">K101-L101</f>
        <v>140095.80275428703</v>
      </c>
      <c r="O101" s="95"/>
    </row>
    <row r="102" spans="2:15" x14ac:dyDescent="0.35">
      <c r="C102" s="202" t="s">
        <v>91</v>
      </c>
      <c r="D102" s="201">
        <f>D94</f>
        <v>18</v>
      </c>
      <c r="E102" s="220">
        <f ca="1">LOOKUP(B100,$C$15:$L$15,$C$18:$L$18)</f>
        <v>569.33088217486727</v>
      </c>
      <c r="F102" s="62"/>
      <c r="G102" s="188">
        <f t="shared" si="8"/>
        <v>2.5891999999999998E-2</v>
      </c>
      <c r="H102" s="188">
        <f t="shared" si="8"/>
        <v>2.1800000000000002</v>
      </c>
      <c r="I102" s="201">
        <f t="shared" si="8"/>
        <v>100</v>
      </c>
      <c r="J102" s="201">
        <f ca="1">E102*I102</f>
        <v>56933.088217486729</v>
      </c>
      <c r="K102" s="188">
        <f ca="1">E102*D102</f>
        <v>10247.95587914761</v>
      </c>
      <c r="L102" s="188">
        <f ca="1">G102*J102+H102*E102</f>
        <v>2715.2528432683771</v>
      </c>
      <c r="M102" s="188">
        <f ca="1">K102-L102</f>
        <v>7532.7030358792326</v>
      </c>
      <c r="O102" s="95"/>
    </row>
    <row r="103" spans="2:15" x14ac:dyDescent="0.35">
      <c r="C103" s="47"/>
      <c r="D103" s="100"/>
      <c r="E103" s="99"/>
      <c r="F103" s="62"/>
      <c r="G103" s="63"/>
      <c r="H103" s="63"/>
      <c r="I103" s="63"/>
      <c r="J103" s="62"/>
      <c r="K103" s="179"/>
      <c r="L103" s="180"/>
      <c r="M103" s="180"/>
      <c r="O103" s="65"/>
    </row>
    <row r="104" spans="2:15" x14ac:dyDescent="0.35">
      <c r="C104" s="43"/>
      <c r="D104" s="59"/>
      <c r="E104" s="100"/>
      <c r="F104" s="62"/>
      <c r="G104" s="63"/>
      <c r="H104" s="63"/>
      <c r="I104" s="63"/>
      <c r="J104" s="65"/>
      <c r="K104" s="213" t="s">
        <v>46</v>
      </c>
      <c r="L104" s="216" t="s">
        <v>43</v>
      </c>
      <c r="M104" s="217" t="s">
        <v>44</v>
      </c>
      <c r="O104" s="249"/>
    </row>
    <row r="105" spans="2:15" x14ac:dyDescent="0.35">
      <c r="C105" s="43"/>
      <c r="D105" s="59"/>
      <c r="E105" s="62"/>
      <c r="F105" s="62"/>
      <c r="G105" s="63"/>
      <c r="H105" s="63"/>
      <c r="I105" s="63"/>
      <c r="J105" s="193" t="s">
        <v>17</v>
      </c>
      <c r="K105" s="188">
        <f ca="1">SUM(K100:K102)</f>
        <v>317616.79044645547</v>
      </c>
      <c r="L105" s="188">
        <f ca="1">SUM(L100:L102,F100)</f>
        <v>143405.92072393285</v>
      </c>
      <c r="M105" s="188">
        <f ca="1">K105-L105</f>
        <v>174210.86972252262</v>
      </c>
      <c r="O105" s="42"/>
    </row>
    <row r="106" spans="2:15" x14ac:dyDescent="0.35">
      <c r="F106" s="33"/>
      <c r="G106" s="156"/>
      <c r="H106" s="33"/>
      <c r="I106" s="33"/>
    </row>
    <row r="107" spans="2:15" x14ac:dyDescent="0.35">
      <c r="F107" s="33"/>
      <c r="G107" s="156"/>
      <c r="H107" s="33"/>
      <c r="I107" s="33"/>
    </row>
    <row r="108" spans="2:15" x14ac:dyDescent="0.35">
      <c r="B108" s="30" t="s">
        <v>146</v>
      </c>
      <c r="F108" s="33"/>
      <c r="G108" s="156"/>
      <c r="H108" s="33"/>
      <c r="I108" s="33"/>
      <c r="M108" s="236"/>
    </row>
    <row r="109" spans="2:15" x14ac:dyDescent="0.35">
      <c r="B109" s="203" t="s">
        <v>88</v>
      </c>
      <c r="C109" s="226">
        <v>2019</v>
      </c>
      <c r="D109" s="226">
        <v>2020</v>
      </c>
      <c r="E109" s="230">
        <v>2021</v>
      </c>
      <c r="F109" s="226">
        <v>2022</v>
      </c>
      <c r="G109" s="226">
        <v>2023</v>
      </c>
      <c r="H109" s="230">
        <v>2024</v>
      </c>
      <c r="I109" s="226">
        <v>2025</v>
      </c>
      <c r="J109" s="226">
        <v>2026</v>
      </c>
      <c r="K109" s="230">
        <v>2027</v>
      </c>
      <c r="L109" s="226">
        <v>2028</v>
      </c>
      <c r="N109" s="541" t="s">
        <v>149</v>
      </c>
      <c r="O109" s="541"/>
    </row>
    <row r="110" spans="2:15" x14ac:dyDescent="0.35">
      <c r="B110" s="202" t="s">
        <v>46</v>
      </c>
      <c r="C110" s="231">
        <f ca="1">K33</f>
        <v>171705.21174959792</v>
      </c>
      <c r="D110" s="231">
        <f ca="1">K41</f>
        <v>172442.74138688605</v>
      </c>
      <c r="E110" s="231">
        <f ca="1">K49</f>
        <v>205134.56742075956</v>
      </c>
      <c r="F110" s="231">
        <f ca="1">K57</f>
        <v>234141.20903723771</v>
      </c>
      <c r="G110" s="231">
        <f ca="1">K65</f>
        <v>263774.85346566368</v>
      </c>
      <c r="H110" s="231">
        <f ca="1">K73</f>
        <v>279298.19834348321</v>
      </c>
      <c r="I110" s="231">
        <f ca="1">K81</f>
        <v>288797.83335912594</v>
      </c>
      <c r="J110" s="231">
        <f ca="1">K89</f>
        <v>303575.77744148928</v>
      </c>
      <c r="K110" s="231">
        <f ca="1">K97</f>
        <v>357339.43650261848</v>
      </c>
      <c r="L110" s="231">
        <f ca="1">K105</f>
        <v>317616.79044645547</v>
      </c>
      <c r="N110" s="542">
        <f ca="1">(L110/C110)^(1/(L109-C109))-1</f>
        <v>7.0730064693833805E-2</v>
      </c>
      <c r="O110" s="542"/>
    </row>
    <row r="111" spans="2:15" x14ac:dyDescent="0.35">
      <c r="B111" s="202" t="s">
        <v>147</v>
      </c>
      <c r="C111" s="235"/>
      <c r="D111" s="235">
        <f ca="1">D110/C110-1</f>
        <v>4.2953247008232776E-3</v>
      </c>
      <c r="E111" s="235">
        <f t="shared" ref="E111:L111" ca="1" si="9">E110/D110-1</f>
        <v>0.18958076037846894</v>
      </c>
      <c r="F111" s="235">
        <f t="shared" ca="1" si="9"/>
        <v>0.14140299210021245</v>
      </c>
      <c r="G111" s="235">
        <f t="shared" ca="1" si="9"/>
        <v>0.12656313064358127</v>
      </c>
      <c r="H111" s="235">
        <f t="shared" ca="1" si="9"/>
        <v>5.8850738324228713E-2</v>
      </c>
      <c r="I111" s="235">
        <f t="shared" ca="1" si="9"/>
        <v>3.4012518061287356E-2</v>
      </c>
      <c r="J111" s="235">
        <f t="shared" ca="1" si="9"/>
        <v>5.1170550382857893E-2</v>
      </c>
      <c r="K111" s="235">
        <f t="shared" ca="1" si="9"/>
        <v>0.17710128098573841</v>
      </c>
      <c r="L111" s="235">
        <f t="shared" ca="1" si="9"/>
        <v>-0.11116222280121024</v>
      </c>
      <c r="N111" s="241" t="e">
        <f>a</f>
        <v>#NAME?</v>
      </c>
      <c r="O111" s="241"/>
    </row>
    <row r="112" spans="2:15" x14ac:dyDescent="0.35">
      <c r="B112" s="202" t="s">
        <v>2</v>
      </c>
      <c r="C112" s="231">
        <f ca="1">L33</f>
        <v>107967.88825735614</v>
      </c>
      <c r="D112" s="231">
        <f ca="1">L41</f>
        <v>108143.07973038036</v>
      </c>
      <c r="E112" s="231">
        <f ca="1">L49</f>
        <v>116224.9195136432</v>
      </c>
      <c r="F112" s="231">
        <f ca="1">L57</f>
        <v>123190.57974412588</v>
      </c>
      <c r="G112" s="231">
        <f ca="1">L65</f>
        <v>130524.94892171628</v>
      </c>
      <c r="H112" s="231">
        <f ca="1">L73</f>
        <v>134097.24241581105</v>
      </c>
      <c r="I112" s="231">
        <f ca="1">L81</f>
        <v>136519.1535463937</v>
      </c>
      <c r="J112" s="231">
        <f ca="1">L89</f>
        <v>139988.03762874164</v>
      </c>
      <c r="K112" s="231">
        <f ca="1">L97</f>
        <v>153101.59119823162</v>
      </c>
      <c r="L112" s="231">
        <f ca="1">L105</f>
        <v>143405.92072393285</v>
      </c>
      <c r="N112" s="241"/>
      <c r="O112" s="241"/>
    </row>
    <row r="113" spans="2:15" x14ac:dyDescent="0.35">
      <c r="B113" s="202" t="s">
        <v>820</v>
      </c>
      <c r="C113" s="231">
        <f ca="1">C112+C110*$G$120/(100%+$G$120)</f>
        <v>119200.93949331115</v>
      </c>
      <c r="D113" s="231">
        <f t="shared" ref="D113:L113" ca="1" si="10">D112+D110*$G$120/(100%+$G$120)</f>
        <v>119424.38056877477</v>
      </c>
      <c r="E113" s="231">
        <f t="shared" ca="1" si="10"/>
        <v>129644.93794303868</v>
      </c>
      <c r="F113" s="231">
        <f t="shared" ca="1" si="10"/>
        <v>138508.22893347789</v>
      </c>
      <c r="G113" s="231">
        <f t="shared" ca="1" si="10"/>
        <v>147781.24774657277</v>
      </c>
      <c r="H113" s="231">
        <f t="shared" ca="1" si="10"/>
        <v>152369.08716725389</v>
      </c>
      <c r="I113" s="231">
        <f t="shared" ca="1" si="10"/>
        <v>155412.469747458</v>
      </c>
      <c r="J113" s="231">
        <f t="shared" ca="1" si="10"/>
        <v>159848.13521837178</v>
      </c>
      <c r="K113" s="231">
        <f t="shared" ca="1" si="10"/>
        <v>176478.93751148705</v>
      </c>
      <c r="L113" s="231">
        <f t="shared" ca="1" si="10"/>
        <v>164184.58925781312</v>
      </c>
      <c r="N113" s="241"/>
      <c r="O113" s="241"/>
    </row>
    <row r="114" spans="2:15" x14ac:dyDescent="0.35">
      <c r="B114" s="202" t="s">
        <v>197</v>
      </c>
      <c r="C114" s="235"/>
      <c r="D114" s="235">
        <f ca="1">D113/C113-1</f>
        <v>1.8744908925500958E-3</v>
      </c>
      <c r="E114" s="235">
        <f t="shared" ref="E114:L114" ca="1" si="11">E113/D113-1</f>
        <v>8.558183283503018E-2</v>
      </c>
      <c r="F114" s="235">
        <f t="shared" ca="1" si="11"/>
        <v>6.8365885556853856E-2</v>
      </c>
      <c r="G114" s="235">
        <f t="shared" ca="1" si="11"/>
        <v>6.6949226659655636E-2</v>
      </c>
      <c r="H114" s="235">
        <f t="shared" ca="1" si="11"/>
        <v>3.1044800951665508E-2</v>
      </c>
      <c r="I114" s="235">
        <f t="shared" ca="1" si="11"/>
        <v>1.9973753448187415E-2</v>
      </c>
      <c r="J114" s="235">
        <f t="shared" ca="1" si="11"/>
        <v>2.8541245616401589E-2</v>
      </c>
      <c r="K114" s="235">
        <f t="shared" ca="1" si="11"/>
        <v>0.10404126560748161</v>
      </c>
      <c r="L114" s="235">
        <f t="shared" ca="1" si="11"/>
        <v>-6.966467742290039E-2</v>
      </c>
      <c r="N114" s="241"/>
      <c r="O114" s="241"/>
    </row>
    <row r="115" spans="2:15" x14ac:dyDescent="0.35">
      <c r="B115" s="202" t="s">
        <v>23</v>
      </c>
      <c r="C115" s="231">
        <f ca="1">C110-C113</f>
        <v>52504.272256286771</v>
      </c>
      <c r="D115" s="231">
        <f t="shared" ref="D115:L115" ca="1" si="12">D110-D113</f>
        <v>53018.36081811128</v>
      </c>
      <c r="E115" s="231">
        <f t="shared" ca="1" si="12"/>
        <v>75489.629477720882</v>
      </c>
      <c r="F115" s="231">
        <f t="shared" ca="1" si="12"/>
        <v>95632.980103759823</v>
      </c>
      <c r="G115" s="231">
        <f t="shared" ca="1" si="12"/>
        <v>115993.60571909091</v>
      </c>
      <c r="H115" s="231">
        <f t="shared" ca="1" si="12"/>
        <v>126929.11117622931</v>
      </c>
      <c r="I115" s="231">
        <f t="shared" ca="1" si="12"/>
        <v>133385.36361166794</v>
      </c>
      <c r="J115" s="231">
        <f t="shared" ca="1" si="12"/>
        <v>143727.64222311749</v>
      </c>
      <c r="K115" s="231">
        <f t="shared" ca="1" si="12"/>
        <v>180860.49899113143</v>
      </c>
      <c r="L115" s="231">
        <f t="shared" ca="1" si="12"/>
        <v>153432.20118864236</v>
      </c>
      <c r="N115" s="533" t="s">
        <v>167</v>
      </c>
      <c r="O115" s="534"/>
    </row>
    <row r="116" spans="2:15" x14ac:dyDescent="0.35">
      <c r="B116" s="202" t="s">
        <v>148</v>
      </c>
      <c r="C116" s="235"/>
      <c r="D116" s="235">
        <f ca="1">D115/C115-1</f>
        <v>9.7913662971103044E-3</v>
      </c>
      <c r="E116" s="235">
        <f t="shared" ref="E116:L116" ca="1" si="13">E115/D115-1</f>
        <v>0.42383937022687679</v>
      </c>
      <c r="F116" s="235">
        <f t="shared" ca="1" si="13"/>
        <v>0.26683599807552127</v>
      </c>
      <c r="G116" s="235">
        <f t="shared" ca="1" si="13"/>
        <v>0.21290380779978024</v>
      </c>
      <c r="H116" s="235">
        <f t="shared" ca="1" si="13"/>
        <v>9.4276795598730034E-2</v>
      </c>
      <c r="I116" s="235">
        <f t="shared" ca="1" si="13"/>
        <v>5.0865025175152345E-2</v>
      </c>
      <c r="J116" s="235">
        <f t="shared" ca="1" si="13"/>
        <v>7.753683261350619E-2</v>
      </c>
      <c r="K116" s="235">
        <f t="shared" ca="1" si="13"/>
        <v>0.25835570801593088</v>
      </c>
      <c r="L116" s="235">
        <f t="shared" ca="1" si="13"/>
        <v>-0.15165444060747635</v>
      </c>
      <c r="N116" s="543">
        <f ca="1">O119*(1+N110)^10</f>
        <v>9903072.921238156</v>
      </c>
      <c r="O116" s="543"/>
    </row>
    <row r="117" spans="2:15" x14ac:dyDescent="0.35">
      <c r="F117" s="33"/>
      <c r="G117" s="156"/>
      <c r="H117" s="33"/>
      <c r="I117" s="33"/>
    </row>
    <row r="118" spans="2:15" x14ac:dyDescent="0.35">
      <c r="F118" s="33"/>
      <c r="G118" s="156"/>
      <c r="H118" s="33"/>
      <c r="I118" s="33"/>
    </row>
    <row r="119" spans="2:15" x14ac:dyDescent="0.35">
      <c r="B119" s="30" t="s">
        <v>278</v>
      </c>
      <c r="F119" s="33"/>
      <c r="G119" s="86" t="s">
        <v>809</v>
      </c>
      <c r="H119" s="33"/>
      <c r="I119" s="33"/>
      <c r="N119" s="234" t="s">
        <v>151</v>
      </c>
      <c r="O119" s="243">
        <f>'Dashboard (Overall)'!B36</f>
        <v>5000000</v>
      </c>
    </row>
    <row r="120" spans="2:15" x14ac:dyDescent="0.35">
      <c r="B120" t="s">
        <v>328</v>
      </c>
      <c r="C120" s="237"/>
      <c r="F120" s="33"/>
      <c r="G120" s="266">
        <f>'Dashboard (Overall)'!B30</f>
        <v>7.0000000000000007E-2</v>
      </c>
      <c r="H120" s="246"/>
      <c r="I120" s="241"/>
      <c r="N120" s="234" t="s">
        <v>152</v>
      </c>
      <c r="O120" s="243">
        <f>'Dashboard (Overall)'!B37</f>
        <v>100000000</v>
      </c>
    </row>
    <row r="121" spans="2:15" x14ac:dyDescent="0.35">
      <c r="B121" t="s">
        <v>329</v>
      </c>
      <c r="F121" s="33"/>
      <c r="G121" s="102"/>
      <c r="H121" s="399"/>
      <c r="I121" s="238"/>
      <c r="L121" s="236"/>
      <c r="N121" s="234" t="s">
        <v>153</v>
      </c>
      <c r="O121" s="240">
        <f>(O120/O119)^(1/10)-1</f>
        <v>0.34928284767356321</v>
      </c>
    </row>
    <row r="122" spans="2:15" x14ac:dyDescent="0.35">
      <c r="B122" t="s">
        <v>330</v>
      </c>
      <c r="F122" s="33"/>
      <c r="G122" s="70"/>
      <c r="H122" s="400"/>
      <c r="I122" s="239"/>
    </row>
    <row r="123" spans="2:15" x14ac:dyDescent="0.35">
      <c r="B123" t="s">
        <v>331</v>
      </c>
      <c r="F123" s="33"/>
      <c r="G123" s="70"/>
      <c r="H123" s="400"/>
      <c r="I123" s="239"/>
      <c r="N123" s="533" t="s">
        <v>154</v>
      </c>
      <c r="O123" s="534"/>
    </row>
    <row r="124" spans="2:15" x14ac:dyDescent="0.35">
      <c r="B124" t="s">
        <v>819</v>
      </c>
      <c r="F124" s="33"/>
      <c r="G124" s="70"/>
      <c r="H124" s="400"/>
      <c r="I124" s="239"/>
      <c r="N124" s="544" t="s">
        <v>810</v>
      </c>
      <c r="O124" s="545"/>
    </row>
    <row r="125" spans="2:15" x14ac:dyDescent="0.35">
      <c r="F125" s="33"/>
      <c r="G125" s="70"/>
      <c r="H125" s="400"/>
      <c r="I125" s="239"/>
    </row>
    <row r="126" spans="2:15" x14ac:dyDescent="0.35">
      <c r="B126" s="30" t="s">
        <v>51</v>
      </c>
      <c r="F126" s="33"/>
      <c r="G126" s="70"/>
      <c r="H126" s="400"/>
      <c r="I126" s="239"/>
    </row>
    <row r="127" spans="2:15" x14ac:dyDescent="0.35">
      <c r="B127" t="s">
        <v>332</v>
      </c>
      <c r="F127" s="33"/>
      <c r="G127" s="70"/>
      <c r="H127" s="400"/>
      <c r="I127" s="239"/>
    </row>
    <row r="128" spans="2:15" x14ac:dyDescent="0.35">
      <c r="B128" t="s">
        <v>333</v>
      </c>
      <c r="F128" s="33"/>
      <c r="G128" s="70"/>
      <c r="H128" s="400"/>
      <c r="I128" s="239"/>
    </row>
    <row r="129" spans="2:14" x14ac:dyDescent="0.35">
      <c r="B129" t="s">
        <v>334</v>
      </c>
      <c r="F129" s="33"/>
      <c r="G129" s="70"/>
      <c r="H129" s="400"/>
      <c r="I129" s="239"/>
    </row>
    <row r="130" spans="2:14" x14ac:dyDescent="0.35">
      <c r="F130" s="33"/>
      <c r="G130" s="70"/>
      <c r="H130" s="400"/>
      <c r="I130" s="239"/>
    </row>
    <row r="131" spans="2:14" x14ac:dyDescent="0.35">
      <c r="F131" s="33"/>
      <c r="G131" s="70"/>
      <c r="H131" s="400"/>
      <c r="I131" s="239"/>
    </row>
    <row r="132" spans="2:14" x14ac:dyDescent="0.35">
      <c r="F132" s="33"/>
      <c r="G132" s="70"/>
      <c r="H132" s="400"/>
      <c r="I132" s="239"/>
    </row>
    <row r="133" spans="2:14" x14ac:dyDescent="0.35">
      <c r="F133" s="33"/>
      <c r="G133" s="70"/>
      <c r="H133" s="400"/>
      <c r="I133" s="239"/>
    </row>
    <row r="134" spans="2:14" x14ac:dyDescent="0.35">
      <c r="F134" s="33"/>
      <c r="G134" s="70"/>
      <c r="H134" s="400"/>
      <c r="I134" s="239"/>
    </row>
    <row r="135" spans="2:14" x14ac:dyDescent="0.35">
      <c r="F135" s="33"/>
      <c r="G135" s="70"/>
      <c r="H135" s="400"/>
      <c r="I135" s="239"/>
    </row>
    <row r="136" spans="2:14" x14ac:dyDescent="0.35">
      <c r="F136" s="33"/>
      <c r="G136" s="70"/>
      <c r="H136" s="400"/>
      <c r="I136" s="239"/>
      <c r="N136" s="241"/>
    </row>
    <row r="137" spans="2:14" x14ac:dyDescent="0.35">
      <c r="F137" s="33"/>
      <c r="G137" s="70"/>
      <c r="H137" s="400"/>
      <c r="I137" s="239"/>
      <c r="N137" s="322"/>
    </row>
    <row r="138" spans="2:14" x14ac:dyDescent="0.35">
      <c r="F138" s="33"/>
      <c r="G138" s="70"/>
      <c r="H138" s="400"/>
      <c r="I138" s="239"/>
    </row>
    <row r="139" spans="2:14" x14ac:dyDescent="0.35">
      <c r="F139" s="33"/>
      <c r="G139" s="70"/>
      <c r="H139" s="400"/>
      <c r="I139" s="239"/>
    </row>
    <row r="140" spans="2:14" x14ac:dyDescent="0.35">
      <c r="F140" s="33"/>
      <c r="G140" s="70"/>
      <c r="H140" s="400"/>
      <c r="I140" s="239"/>
    </row>
    <row r="141" spans="2:14" x14ac:dyDescent="0.35">
      <c r="F141" s="33"/>
      <c r="G141" s="70"/>
      <c r="H141" s="400"/>
      <c r="I141" s="239"/>
    </row>
    <row r="142" spans="2:14" x14ac:dyDescent="0.35">
      <c r="F142" s="33"/>
      <c r="G142" s="70"/>
      <c r="H142" s="400"/>
      <c r="I142" s="239"/>
    </row>
    <row r="143" spans="2:14" x14ac:dyDescent="0.35">
      <c r="F143" s="33"/>
      <c r="G143" s="70"/>
      <c r="H143" s="400"/>
      <c r="I143" s="239"/>
    </row>
    <row r="144" spans="2:14" x14ac:dyDescent="0.35">
      <c r="F144" s="33"/>
      <c r="G144" s="70"/>
      <c r="H144" s="400"/>
      <c r="I144" s="239"/>
    </row>
    <row r="145" spans="6:9" x14ac:dyDescent="0.35">
      <c r="F145" s="33"/>
      <c r="G145" s="70"/>
      <c r="H145" s="400"/>
      <c r="I145" s="239"/>
    </row>
    <row r="146" spans="6:9" x14ac:dyDescent="0.35">
      <c r="F146" s="33"/>
      <c r="G146" s="70"/>
      <c r="H146" s="400"/>
      <c r="I146" s="239"/>
    </row>
    <row r="147" spans="6:9" x14ac:dyDescent="0.35">
      <c r="F147" s="33"/>
      <c r="G147" s="70"/>
      <c r="H147" s="400"/>
      <c r="I147" s="239"/>
    </row>
    <row r="148" spans="6:9" x14ac:dyDescent="0.35">
      <c r="F148" s="33"/>
      <c r="G148" s="70"/>
      <c r="H148" s="400"/>
      <c r="I148" s="239"/>
    </row>
    <row r="149" spans="6:9" x14ac:dyDescent="0.35">
      <c r="F149" s="33"/>
      <c r="G149" s="70"/>
      <c r="H149" s="400"/>
      <c r="I149" s="239"/>
    </row>
    <row r="150" spans="6:9" x14ac:dyDescent="0.35">
      <c r="F150" s="33"/>
      <c r="G150" s="70"/>
      <c r="H150" s="400"/>
      <c r="I150" s="239"/>
    </row>
    <row r="151" spans="6:9" x14ac:dyDescent="0.35">
      <c r="F151" s="33"/>
      <c r="G151" s="70"/>
      <c r="H151" s="400"/>
      <c r="I151" s="239"/>
    </row>
    <row r="152" spans="6:9" x14ac:dyDescent="0.35">
      <c r="F152" s="33"/>
      <c r="G152" s="70"/>
      <c r="H152" s="400"/>
      <c r="I152" s="239"/>
    </row>
    <row r="153" spans="6:9" x14ac:dyDescent="0.35">
      <c r="F153" s="33"/>
      <c r="G153" s="70"/>
      <c r="H153" s="400"/>
      <c r="I153" s="239"/>
    </row>
    <row r="154" spans="6:9" x14ac:dyDescent="0.35">
      <c r="F154" s="33"/>
      <c r="G154" s="70"/>
      <c r="H154" s="400"/>
      <c r="I154" s="239"/>
    </row>
    <row r="155" spans="6:9" x14ac:dyDescent="0.35">
      <c r="F155" s="33"/>
      <c r="G155" s="70"/>
      <c r="H155" s="400"/>
      <c r="I155" s="239"/>
    </row>
    <row r="156" spans="6:9" x14ac:dyDescent="0.35">
      <c r="F156" s="33"/>
      <c r="G156" s="70"/>
      <c r="H156" s="400"/>
      <c r="I156" s="239"/>
    </row>
    <row r="157" spans="6:9" x14ac:dyDescent="0.35">
      <c r="F157" s="33"/>
      <c r="G157" s="70"/>
      <c r="H157" s="400"/>
      <c r="I157" s="239"/>
    </row>
    <row r="158" spans="6:9" x14ac:dyDescent="0.35">
      <c r="F158" s="33"/>
      <c r="G158" s="70"/>
      <c r="H158" s="400"/>
      <c r="I158" s="239"/>
    </row>
    <row r="159" spans="6:9" x14ac:dyDescent="0.35">
      <c r="F159" s="33"/>
      <c r="G159" s="70"/>
      <c r="H159" s="400"/>
      <c r="I159" s="239"/>
    </row>
    <row r="160" spans="6:9" x14ac:dyDescent="0.35">
      <c r="F160" s="33"/>
      <c r="G160" s="70"/>
      <c r="H160" s="400"/>
      <c r="I160" s="239"/>
    </row>
    <row r="161" spans="6:9" x14ac:dyDescent="0.35">
      <c r="F161" s="33"/>
      <c r="G161" s="70"/>
      <c r="H161" s="400"/>
      <c r="I161" s="239"/>
    </row>
    <row r="162" spans="6:9" x14ac:dyDescent="0.35">
      <c r="F162" s="33"/>
      <c r="G162" s="70"/>
      <c r="H162" s="400"/>
      <c r="I162" s="239"/>
    </row>
    <row r="163" spans="6:9" x14ac:dyDescent="0.35">
      <c r="F163" s="33"/>
      <c r="G163" s="70"/>
      <c r="H163" s="400"/>
      <c r="I163" s="239"/>
    </row>
    <row r="164" spans="6:9" x14ac:dyDescent="0.35">
      <c r="F164" s="33"/>
      <c r="G164" s="70"/>
      <c r="H164" s="400"/>
      <c r="I164" s="239"/>
    </row>
    <row r="165" spans="6:9" x14ac:dyDescent="0.35">
      <c r="F165" s="33"/>
      <c r="G165" s="70"/>
      <c r="H165" s="400"/>
      <c r="I165" s="239"/>
    </row>
    <row r="166" spans="6:9" x14ac:dyDescent="0.35">
      <c r="F166" s="33"/>
      <c r="G166" s="70"/>
      <c r="H166" s="400"/>
      <c r="I166" s="239"/>
    </row>
    <row r="167" spans="6:9" x14ac:dyDescent="0.35">
      <c r="F167" s="33"/>
      <c r="G167" s="70"/>
      <c r="H167" s="400"/>
      <c r="I167" s="239"/>
    </row>
    <row r="168" spans="6:9" x14ac:dyDescent="0.35">
      <c r="F168" s="33"/>
      <c r="G168" s="70"/>
      <c r="H168" s="400"/>
      <c r="I168" s="239"/>
    </row>
    <row r="169" spans="6:9" x14ac:dyDescent="0.35">
      <c r="F169" s="33"/>
      <c r="G169" s="70"/>
      <c r="H169" s="400"/>
      <c r="I169" s="239"/>
    </row>
    <row r="170" spans="6:9" x14ac:dyDescent="0.35">
      <c r="F170" s="33"/>
      <c r="G170" s="70"/>
      <c r="H170" s="400"/>
      <c r="I170" s="239"/>
    </row>
    <row r="171" spans="6:9" x14ac:dyDescent="0.35">
      <c r="F171" s="33"/>
      <c r="G171" s="70"/>
      <c r="H171" s="400"/>
      <c r="I171" s="239"/>
    </row>
    <row r="172" spans="6:9" x14ac:dyDescent="0.35">
      <c r="F172" s="33"/>
      <c r="G172" s="70"/>
      <c r="H172" s="400"/>
      <c r="I172" s="239"/>
    </row>
    <row r="173" spans="6:9" x14ac:dyDescent="0.35">
      <c r="F173" s="33"/>
      <c r="G173" s="70"/>
      <c r="H173" s="400"/>
      <c r="I173" s="239"/>
    </row>
    <row r="174" spans="6:9" x14ac:dyDescent="0.35">
      <c r="F174" s="33"/>
      <c r="G174" s="70"/>
      <c r="H174" s="400"/>
      <c r="I174" s="239"/>
    </row>
    <row r="175" spans="6:9" x14ac:dyDescent="0.35">
      <c r="F175" s="33"/>
      <c r="G175" s="70"/>
      <c r="H175" s="400"/>
      <c r="I175" s="239"/>
    </row>
    <row r="176" spans="6:9" x14ac:dyDescent="0.35">
      <c r="F176" s="33"/>
      <c r="G176" s="70"/>
      <c r="H176" s="400"/>
      <c r="I176" s="239"/>
    </row>
    <row r="177" spans="6:9" x14ac:dyDescent="0.35">
      <c r="F177" s="33"/>
      <c r="G177" s="70"/>
      <c r="H177" s="400"/>
      <c r="I177" s="239"/>
    </row>
    <row r="178" spans="6:9" x14ac:dyDescent="0.35">
      <c r="F178" s="33"/>
      <c r="G178" s="70"/>
      <c r="H178" s="400"/>
      <c r="I178" s="239"/>
    </row>
    <row r="179" spans="6:9" x14ac:dyDescent="0.35">
      <c r="F179" s="33"/>
      <c r="G179" s="70"/>
      <c r="H179" s="400"/>
      <c r="I179" s="239"/>
    </row>
    <row r="180" spans="6:9" x14ac:dyDescent="0.35">
      <c r="F180" s="33"/>
      <c r="G180" s="70"/>
      <c r="H180" s="400"/>
      <c r="I180" s="239"/>
    </row>
    <row r="181" spans="6:9" x14ac:dyDescent="0.35">
      <c r="F181" s="33"/>
      <c r="G181" s="70"/>
      <c r="H181" s="400"/>
      <c r="I181" s="239"/>
    </row>
    <row r="182" spans="6:9" x14ac:dyDescent="0.35">
      <c r="F182" s="33"/>
      <c r="G182" s="70"/>
      <c r="H182" s="400"/>
      <c r="I182" s="239"/>
    </row>
    <row r="183" spans="6:9" x14ac:dyDescent="0.35">
      <c r="F183" s="33"/>
      <c r="G183" s="70"/>
      <c r="H183" s="400"/>
      <c r="I183" s="239"/>
    </row>
    <row r="184" spans="6:9" x14ac:dyDescent="0.35">
      <c r="F184" s="33"/>
      <c r="G184" s="70"/>
      <c r="H184" s="400"/>
      <c r="I184" s="239"/>
    </row>
    <row r="185" spans="6:9" x14ac:dyDescent="0.35">
      <c r="F185" s="33"/>
      <c r="G185" s="70"/>
      <c r="H185" s="400"/>
      <c r="I185" s="239"/>
    </row>
    <row r="186" spans="6:9" x14ac:dyDescent="0.35">
      <c r="F186" s="33"/>
      <c r="G186" s="70"/>
      <c r="H186" s="400"/>
      <c r="I186" s="239"/>
    </row>
    <row r="187" spans="6:9" x14ac:dyDescent="0.35">
      <c r="F187" s="33"/>
      <c r="G187" s="70"/>
      <c r="H187" s="400"/>
      <c r="I187" s="239"/>
    </row>
    <row r="188" spans="6:9" x14ac:dyDescent="0.35">
      <c r="F188" s="33"/>
      <c r="G188" s="70"/>
      <c r="H188" s="400"/>
      <c r="I188" s="239"/>
    </row>
    <row r="189" spans="6:9" x14ac:dyDescent="0.35">
      <c r="F189" s="33"/>
      <c r="G189" s="70"/>
      <c r="H189" s="400"/>
      <c r="I189" s="239"/>
    </row>
    <row r="190" spans="6:9" x14ac:dyDescent="0.35">
      <c r="F190" s="33"/>
      <c r="G190" s="70"/>
      <c r="H190" s="400"/>
      <c r="I190" s="239"/>
    </row>
    <row r="191" spans="6:9" x14ac:dyDescent="0.35">
      <c r="F191" s="33"/>
      <c r="G191" s="70"/>
      <c r="H191" s="400"/>
      <c r="I191" s="239"/>
    </row>
    <row r="192" spans="6:9" x14ac:dyDescent="0.35">
      <c r="F192" s="33"/>
      <c r="G192" s="70"/>
      <c r="H192" s="400"/>
      <c r="I192" s="239"/>
    </row>
    <row r="193" spans="6:9" x14ac:dyDescent="0.35">
      <c r="F193" s="33"/>
      <c r="G193" s="70"/>
      <c r="H193" s="400"/>
      <c r="I193" s="239"/>
    </row>
    <row r="194" spans="6:9" x14ac:dyDescent="0.35">
      <c r="F194" s="33"/>
      <c r="G194" s="70"/>
      <c r="H194" s="400"/>
      <c r="I194" s="239"/>
    </row>
    <row r="195" spans="6:9" x14ac:dyDescent="0.35">
      <c r="F195" s="33"/>
      <c r="G195" s="70"/>
      <c r="H195" s="400"/>
      <c r="I195" s="239"/>
    </row>
    <row r="196" spans="6:9" x14ac:dyDescent="0.35">
      <c r="F196" s="33"/>
      <c r="G196" s="70"/>
      <c r="H196" s="400"/>
      <c r="I196" s="239"/>
    </row>
    <row r="197" spans="6:9" x14ac:dyDescent="0.35">
      <c r="F197" s="33"/>
      <c r="G197" s="70"/>
      <c r="H197" s="400"/>
      <c r="I197" s="239"/>
    </row>
    <row r="198" spans="6:9" x14ac:dyDescent="0.35">
      <c r="F198" s="33"/>
      <c r="G198" s="70"/>
      <c r="H198" s="400"/>
      <c r="I198" s="239"/>
    </row>
    <row r="199" spans="6:9" x14ac:dyDescent="0.35">
      <c r="F199" s="33"/>
      <c r="G199" s="70"/>
      <c r="H199" s="400"/>
      <c r="I199" s="239"/>
    </row>
    <row r="200" spans="6:9" x14ac:dyDescent="0.35">
      <c r="F200" s="33"/>
      <c r="G200" s="70"/>
      <c r="H200" s="400"/>
      <c r="I200" s="239"/>
    </row>
    <row r="201" spans="6:9" x14ac:dyDescent="0.35">
      <c r="F201" s="33"/>
      <c r="G201" s="70"/>
      <c r="H201" s="400"/>
      <c r="I201" s="239"/>
    </row>
    <row r="202" spans="6:9" x14ac:dyDescent="0.35">
      <c r="F202" s="33"/>
      <c r="G202" s="70"/>
      <c r="H202" s="400"/>
      <c r="I202" s="239"/>
    </row>
    <row r="203" spans="6:9" x14ac:dyDescent="0.35">
      <c r="F203" s="33"/>
      <c r="G203" s="70"/>
      <c r="H203" s="400"/>
      <c r="I203" s="239"/>
    </row>
    <row r="204" spans="6:9" x14ac:dyDescent="0.35">
      <c r="F204" s="33"/>
      <c r="G204" s="70"/>
      <c r="H204" s="400"/>
      <c r="I204" s="239"/>
    </row>
    <row r="205" spans="6:9" x14ac:dyDescent="0.35">
      <c r="F205" s="33"/>
      <c r="G205" s="70"/>
      <c r="H205" s="400"/>
      <c r="I205" s="239"/>
    </row>
    <row r="206" spans="6:9" x14ac:dyDescent="0.35">
      <c r="F206" s="33"/>
      <c r="G206" s="70"/>
      <c r="H206" s="400"/>
      <c r="I206" s="239"/>
    </row>
    <row r="207" spans="6:9" x14ac:dyDescent="0.35">
      <c r="F207" s="33"/>
      <c r="G207" s="70"/>
      <c r="H207" s="400"/>
      <c r="I207" s="239"/>
    </row>
    <row r="208" spans="6:9" x14ac:dyDescent="0.35">
      <c r="F208" s="33"/>
      <c r="G208" s="70"/>
      <c r="H208" s="400"/>
      <c r="I208" s="239"/>
    </row>
    <row r="209" spans="6:9" x14ac:dyDescent="0.35">
      <c r="F209" s="33"/>
      <c r="G209" s="70"/>
      <c r="H209" s="400"/>
      <c r="I209" s="239"/>
    </row>
    <row r="210" spans="6:9" x14ac:dyDescent="0.35">
      <c r="F210" s="33"/>
      <c r="G210" s="70"/>
      <c r="H210" s="400"/>
      <c r="I210" s="239"/>
    </row>
    <row r="211" spans="6:9" x14ac:dyDescent="0.35">
      <c r="F211" s="33"/>
      <c r="G211" s="70"/>
      <c r="H211" s="400"/>
      <c r="I211" s="239"/>
    </row>
    <row r="212" spans="6:9" x14ac:dyDescent="0.35">
      <c r="F212" s="33"/>
      <c r="G212" s="70"/>
      <c r="H212" s="400"/>
      <c r="I212" s="239"/>
    </row>
    <row r="213" spans="6:9" x14ac:dyDescent="0.35">
      <c r="F213" s="33"/>
      <c r="G213" s="70"/>
      <c r="H213" s="400"/>
      <c r="I213" s="239"/>
    </row>
    <row r="214" spans="6:9" x14ac:dyDescent="0.35">
      <c r="F214" s="33"/>
      <c r="G214" s="70"/>
      <c r="H214" s="400"/>
      <c r="I214" s="239"/>
    </row>
    <row r="215" spans="6:9" x14ac:dyDescent="0.35">
      <c r="F215" s="33"/>
      <c r="G215" s="70"/>
      <c r="H215" s="400"/>
      <c r="I215" s="239"/>
    </row>
    <row r="216" spans="6:9" x14ac:dyDescent="0.35">
      <c r="F216" s="33"/>
      <c r="G216" s="70"/>
      <c r="H216" s="400"/>
      <c r="I216" s="239"/>
    </row>
    <row r="217" spans="6:9" x14ac:dyDescent="0.35">
      <c r="F217" s="33"/>
      <c r="G217" s="70"/>
      <c r="H217" s="400"/>
      <c r="I217" s="239"/>
    </row>
    <row r="218" spans="6:9" x14ac:dyDescent="0.35">
      <c r="F218" s="33"/>
      <c r="G218" s="70"/>
      <c r="H218" s="400"/>
      <c r="I218" s="239"/>
    </row>
    <row r="219" spans="6:9" x14ac:dyDescent="0.35">
      <c r="F219" s="33"/>
      <c r="G219" s="70"/>
      <c r="H219" s="400"/>
      <c r="I219" s="239"/>
    </row>
    <row r="220" spans="6:9" x14ac:dyDescent="0.35">
      <c r="F220" s="33"/>
      <c r="G220" s="70"/>
      <c r="H220" s="400"/>
      <c r="I220" s="239"/>
    </row>
    <row r="221" spans="6:9" x14ac:dyDescent="0.35">
      <c r="F221" s="33"/>
      <c r="G221" s="70"/>
      <c r="H221" s="400"/>
      <c r="I221" s="239"/>
    </row>
    <row r="222" spans="6:9" x14ac:dyDescent="0.35">
      <c r="F222" s="33"/>
      <c r="G222" s="70"/>
      <c r="H222" s="400"/>
      <c r="I222" s="239"/>
    </row>
    <row r="223" spans="6:9" x14ac:dyDescent="0.35">
      <c r="F223" s="33"/>
      <c r="G223" s="70"/>
      <c r="H223" s="400"/>
      <c r="I223" s="239"/>
    </row>
    <row r="224" spans="6:9" x14ac:dyDescent="0.35">
      <c r="F224" s="33"/>
      <c r="G224" s="70"/>
      <c r="H224" s="400"/>
      <c r="I224" s="239"/>
    </row>
    <row r="225" spans="6:9" x14ac:dyDescent="0.35">
      <c r="F225" s="33"/>
      <c r="G225" s="70"/>
      <c r="H225" s="400"/>
      <c r="I225" s="239"/>
    </row>
    <row r="226" spans="6:9" x14ac:dyDescent="0.35">
      <c r="F226" s="33"/>
      <c r="G226" s="70"/>
      <c r="H226" s="400"/>
      <c r="I226" s="239"/>
    </row>
    <row r="227" spans="6:9" x14ac:dyDescent="0.35">
      <c r="F227" s="33"/>
      <c r="G227" s="70"/>
      <c r="H227" s="400"/>
      <c r="I227" s="239"/>
    </row>
    <row r="228" spans="6:9" x14ac:dyDescent="0.35">
      <c r="F228" s="33"/>
      <c r="G228" s="70"/>
      <c r="H228" s="400"/>
      <c r="I228" s="239"/>
    </row>
    <row r="229" spans="6:9" x14ac:dyDescent="0.35">
      <c r="F229" s="33"/>
      <c r="G229" s="70"/>
      <c r="H229" s="400"/>
      <c r="I229" s="239"/>
    </row>
    <row r="230" spans="6:9" x14ac:dyDescent="0.35">
      <c r="F230" s="33"/>
      <c r="G230" s="70"/>
      <c r="H230" s="400"/>
      <c r="I230" s="239"/>
    </row>
    <row r="231" spans="6:9" x14ac:dyDescent="0.35">
      <c r="F231" s="33"/>
      <c r="G231" s="70"/>
      <c r="H231" s="400"/>
      <c r="I231" s="239"/>
    </row>
    <row r="232" spans="6:9" x14ac:dyDescent="0.35">
      <c r="F232" s="33"/>
      <c r="G232" s="70"/>
      <c r="H232" s="400"/>
      <c r="I232" s="239"/>
    </row>
    <row r="233" spans="6:9" x14ac:dyDescent="0.35">
      <c r="F233" s="33"/>
      <c r="G233" s="70"/>
      <c r="H233" s="400"/>
      <c r="I233" s="239"/>
    </row>
    <row r="234" spans="6:9" x14ac:dyDescent="0.35">
      <c r="F234" s="33"/>
      <c r="G234" s="70"/>
      <c r="H234" s="400"/>
      <c r="I234" s="239"/>
    </row>
    <row r="235" spans="6:9" x14ac:dyDescent="0.35">
      <c r="F235" s="33"/>
      <c r="G235" s="70"/>
      <c r="H235" s="400"/>
      <c r="I235" s="239"/>
    </row>
    <row r="236" spans="6:9" x14ac:dyDescent="0.35">
      <c r="F236" s="33"/>
      <c r="G236" s="70"/>
      <c r="H236" s="400"/>
      <c r="I236" s="239"/>
    </row>
    <row r="237" spans="6:9" x14ac:dyDescent="0.35">
      <c r="F237" s="33"/>
      <c r="G237" s="70"/>
      <c r="H237" s="400"/>
      <c r="I237" s="239"/>
    </row>
    <row r="238" spans="6:9" x14ac:dyDescent="0.35">
      <c r="F238" s="33"/>
      <c r="G238" s="70"/>
      <c r="H238" s="400"/>
      <c r="I238" s="239"/>
    </row>
    <row r="239" spans="6:9" x14ac:dyDescent="0.35">
      <c r="F239" s="33"/>
      <c r="G239" s="70"/>
      <c r="H239" s="400"/>
      <c r="I239" s="239"/>
    </row>
    <row r="240" spans="6:9" x14ac:dyDescent="0.35">
      <c r="F240" s="33"/>
      <c r="G240" s="70"/>
      <c r="H240" s="400"/>
      <c r="I240" s="239"/>
    </row>
    <row r="241" spans="6:9" x14ac:dyDescent="0.35">
      <c r="F241" s="33"/>
      <c r="G241" s="70"/>
      <c r="H241" s="400"/>
      <c r="I241" s="239"/>
    </row>
    <row r="242" spans="6:9" x14ac:dyDescent="0.35">
      <c r="F242" s="33"/>
      <c r="G242" s="70"/>
      <c r="H242" s="400"/>
      <c r="I242" s="239"/>
    </row>
    <row r="243" spans="6:9" x14ac:dyDescent="0.35">
      <c r="F243" s="33"/>
      <c r="G243" s="70"/>
      <c r="H243" s="400"/>
      <c r="I243" s="239"/>
    </row>
    <row r="244" spans="6:9" x14ac:dyDescent="0.35">
      <c r="F244" s="33"/>
      <c r="G244" s="70"/>
      <c r="H244" s="400"/>
      <c r="I244" s="239"/>
    </row>
    <row r="245" spans="6:9" x14ac:dyDescent="0.35">
      <c r="F245" s="33"/>
      <c r="G245" s="70"/>
      <c r="H245" s="400"/>
      <c r="I245" s="239"/>
    </row>
    <row r="246" spans="6:9" x14ac:dyDescent="0.35">
      <c r="F246" s="33"/>
      <c r="G246" s="70"/>
      <c r="H246" s="400"/>
      <c r="I246" s="239"/>
    </row>
    <row r="247" spans="6:9" x14ac:dyDescent="0.35">
      <c r="F247" s="33"/>
      <c r="G247" s="70"/>
      <c r="H247" s="400"/>
      <c r="I247" s="239"/>
    </row>
    <row r="248" spans="6:9" x14ac:dyDescent="0.35">
      <c r="F248" s="33"/>
      <c r="G248" s="70"/>
      <c r="H248" s="400"/>
      <c r="I248" s="239"/>
    </row>
    <row r="249" spans="6:9" x14ac:dyDescent="0.35">
      <c r="F249" s="33"/>
      <c r="G249" s="70"/>
      <c r="H249" s="400"/>
      <c r="I249" s="239"/>
    </row>
    <row r="250" spans="6:9" x14ac:dyDescent="0.35">
      <c r="F250" s="33"/>
      <c r="G250" s="70"/>
      <c r="H250" s="400"/>
      <c r="I250" s="239"/>
    </row>
    <row r="251" spans="6:9" x14ac:dyDescent="0.35">
      <c r="F251" s="33"/>
      <c r="G251" s="70"/>
      <c r="H251" s="400"/>
      <c r="I251" s="239"/>
    </row>
    <row r="252" spans="6:9" x14ac:dyDescent="0.35">
      <c r="F252" s="33"/>
      <c r="G252" s="70"/>
      <c r="H252" s="400"/>
      <c r="I252" s="239"/>
    </row>
    <row r="253" spans="6:9" x14ac:dyDescent="0.35">
      <c r="F253" s="33"/>
      <c r="G253" s="70"/>
      <c r="H253" s="400"/>
      <c r="I253" s="239"/>
    </row>
    <row r="254" spans="6:9" x14ac:dyDescent="0.35">
      <c r="F254" s="33"/>
      <c r="G254" s="70"/>
      <c r="H254" s="400"/>
      <c r="I254" s="239"/>
    </row>
    <row r="255" spans="6:9" x14ac:dyDescent="0.35">
      <c r="F255" s="33"/>
      <c r="G255" s="70"/>
      <c r="H255" s="400"/>
      <c r="I255" s="239"/>
    </row>
    <row r="256" spans="6:9" x14ac:dyDescent="0.35">
      <c r="F256" s="33"/>
      <c r="G256" s="70"/>
      <c r="H256" s="400"/>
      <c r="I256" s="239"/>
    </row>
    <row r="257" spans="6:9" x14ac:dyDescent="0.35">
      <c r="F257" s="33"/>
      <c r="G257" s="70"/>
      <c r="H257" s="400"/>
      <c r="I257" s="239"/>
    </row>
    <row r="258" spans="6:9" x14ac:dyDescent="0.35">
      <c r="F258" s="33"/>
      <c r="G258" s="70"/>
      <c r="H258" s="400"/>
      <c r="I258" s="239"/>
    </row>
    <row r="259" spans="6:9" x14ac:dyDescent="0.35">
      <c r="F259" s="33"/>
      <c r="G259" s="70"/>
      <c r="H259" s="400"/>
      <c r="I259" s="239"/>
    </row>
    <row r="260" spans="6:9" x14ac:dyDescent="0.35">
      <c r="F260" s="33"/>
      <c r="G260" s="70"/>
      <c r="H260" s="400"/>
      <c r="I260" s="239"/>
    </row>
    <row r="261" spans="6:9" x14ac:dyDescent="0.35">
      <c r="F261" s="33"/>
      <c r="G261" s="70"/>
      <c r="H261" s="400"/>
      <c r="I261" s="239"/>
    </row>
    <row r="262" spans="6:9" x14ac:dyDescent="0.35">
      <c r="F262" s="33"/>
      <c r="G262" s="70"/>
      <c r="H262" s="400"/>
      <c r="I262" s="239"/>
    </row>
    <row r="263" spans="6:9" x14ac:dyDescent="0.35">
      <c r="F263" s="33"/>
      <c r="G263" s="70"/>
      <c r="H263" s="400"/>
      <c r="I263" s="239"/>
    </row>
    <row r="264" spans="6:9" x14ac:dyDescent="0.35">
      <c r="F264" s="33"/>
      <c r="G264" s="70"/>
      <c r="H264" s="400"/>
      <c r="I264" s="239"/>
    </row>
    <row r="265" spans="6:9" x14ac:dyDescent="0.35">
      <c r="F265" s="33"/>
      <c r="G265" s="70"/>
      <c r="H265" s="400"/>
      <c r="I265" s="239"/>
    </row>
    <row r="266" spans="6:9" x14ac:dyDescent="0.35">
      <c r="F266" s="33"/>
      <c r="G266" s="70"/>
      <c r="H266" s="400"/>
      <c r="I266" s="239"/>
    </row>
    <row r="267" spans="6:9" x14ac:dyDescent="0.35">
      <c r="F267" s="33"/>
      <c r="G267" s="70"/>
      <c r="H267" s="400"/>
      <c r="I267" s="239"/>
    </row>
    <row r="268" spans="6:9" x14ac:dyDescent="0.35">
      <c r="F268" s="33"/>
      <c r="G268" s="70"/>
      <c r="H268" s="400"/>
      <c r="I268" s="239"/>
    </row>
    <row r="269" spans="6:9" x14ac:dyDescent="0.35">
      <c r="F269" s="33"/>
      <c r="G269" s="70"/>
      <c r="H269" s="400"/>
      <c r="I269" s="239"/>
    </row>
    <row r="270" spans="6:9" x14ac:dyDescent="0.35">
      <c r="F270" s="33"/>
      <c r="G270" s="70"/>
      <c r="H270" s="400"/>
      <c r="I270" s="239"/>
    </row>
    <row r="271" spans="6:9" x14ac:dyDescent="0.35">
      <c r="F271" s="33"/>
      <c r="G271" s="70"/>
      <c r="H271" s="400"/>
      <c r="I271" s="239"/>
    </row>
    <row r="272" spans="6:9" x14ac:dyDescent="0.35">
      <c r="F272" s="33"/>
      <c r="G272" s="70"/>
      <c r="H272" s="400"/>
      <c r="I272" s="239"/>
    </row>
    <row r="273" spans="6:9" x14ac:dyDescent="0.35">
      <c r="F273" s="33"/>
      <c r="G273" s="70"/>
      <c r="H273" s="400"/>
      <c r="I273" s="239"/>
    </row>
    <row r="274" spans="6:9" x14ac:dyDescent="0.35">
      <c r="F274" s="33"/>
      <c r="G274" s="70"/>
      <c r="H274" s="400"/>
      <c r="I274" s="239"/>
    </row>
    <row r="275" spans="6:9" x14ac:dyDescent="0.35">
      <c r="F275" s="33"/>
      <c r="G275" s="70"/>
      <c r="H275" s="400"/>
      <c r="I275" s="239"/>
    </row>
    <row r="276" spans="6:9" x14ac:dyDescent="0.35">
      <c r="F276" s="33"/>
      <c r="G276" s="70"/>
      <c r="H276" s="400"/>
      <c r="I276" s="239"/>
    </row>
    <row r="277" spans="6:9" x14ac:dyDescent="0.35">
      <c r="F277" s="33"/>
      <c r="G277" s="70"/>
      <c r="H277" s="400"/>
      <c r="I277" s="239"/>
    </row>
    <row r="278" spans="6:9" x14ac:dyDescent="0.35">
      <c r="F278" s="33"/>
      <c r="G278" s="70"/>
      <c r="H278" s="400"/>
      <c r="I278" s="239"/>
    </row>
    <row r="279" spans="6:9" x14ac:dyDescent="0.35">
      <c r="F279" s="33"/>
      <c r="G279" s="70"/>
      <c r="H279" s="400"/>
      <c r="I279" s="239"/>
    </row>
    <row r="280" spans="6:9" x14ac:dyDescent="0.35">
      <c r="F280" s="33"/>
      <c r="G280" s="70"/>
      <c r="H280" s="400"/>
      <c r="I280" s="239"/>
    </row>
    <row r="281" spans="6:9" x14ac:dyDescent="0.35">
      <c r="F281" s="33"/>
      <c r="G281" s="70"/>
      <c r="H281" s="400"/>
      <c r="I281" s="239"/>
    </row>
    <row r="282" spans="6:9" x14ac:dyDescent="0.35">
      <c r="F282" s="33"/>
      <c r="G282" s="70"/>
      <c r="H282" s="400"/>
      <c r="I282" s="239"/>
    </row>
    <row r="283" spans="6:9" x14ac:dyDescent="0.35">
      <c r="F283" s="33"/>
      <c r="G283" s="70"/>
      <c r="H283" s="400"/>
      <c r="I283" s="239"/>
    </row>
    <row r="284" spans="6:9" x14ac:dyDescent="0.35">
      <c r="F284" s="33"/>
      <c r="G284" s="70"/>
      <c r="H284" s="400"/>
      <c r="I284" s="239"/>
    </row>
    <row r="285" spans="6:9" x14ac:dyDescent="0.35">
      <c r="F285" s="33"/>
      <c r="G285" s="70"/>
      <c r="H285" s="400"/>
      <c r="I285" s="239"/>
    </row>
    <row r="286" spans="6:9" x14ac:dyDescent="0.35">
      <c r="F286" s="33"/>
      <c r="G286" s="70"/>
      <c r="H286" s="400"/>
      <c r="I286" s="239"/>
    </row>
    <row r="287" spans="6:9" x14ac:dyDescent="0.35">
      <c r="F287" s="33"/>
      <c r="G287" s="70"/>
      <c r="H287" s="400"/>
      <c r="I287" s="239"/>
    </row>
    <row r="288" spans="6:9" x14ac:dyDescent="0.35">
      <c r="F288" s="33"/>
      <c r="G288" s="70"/>
      <c r="H288" s="400"/>
      <c r="I288" s="239"/>
    </row>
    <row r="289" spans="6:9" x14ac:dyDescent="0.35">
      <c r="F289" s="33"/>
      <c r="G289" s="70"/>
      <c r="H289" s="400"/>
      <c r="I289" s="239"/>
    </row>
    <row r="290" spans="6:9" x14ac:dyDescent="0.35">
      <c r="F290" s="33"/>
      <c r="G290" s="70"/>
      <c r="H290" s="400"/>
      <c r="I290" s="239"/>
    </row>
    <row r="291" spans="6:9" x14ac:dyDescent="0.35">
      <c r="F291" s="33"/>
      <c r="G291" s="70"/>
      <c r="H291" s="400"/>
      <c r="I291" s="239"/>
    </row>
    <row r="292" spans="6:9" x14ac:dyDescent="0.35">
      <c r="F292" s="33"/>
      <c r="G292" s="70"/>
      <c r="H292" s="400"/>
      <c r="I292" s="239"/>
    </row>
    <row r="293" spans="6:9" x14ac:dyDescent="0.35">
      <c r="F293" s="33"/>
      <c r="G293" s="70"/>
      <c r="H293" s="400"/>
      <c r="I293" s="239"/>
    </row>
    <row r="294" spans="6:9" x14ac:dyDescent="0.35">
      <c r="F294" s="33"/>
      <c r="G294" s="70"/>
      <c r="H294" s="400"/>
      <c r="I294" s="239"/>
    </row>
    <row r="295" spans="6:9" x14ac:dyDescent="0.35">
      <c r="F295" s="33"/>
      <c r="G295" s="70"/>
      <c r="H295" s="400"/>
      <c r="I295" s="239"/>
    </row>
    <row r="296" spans="6:9" x14ac:dyDescent="0.35">
      <c r="F296" s="33"/>
      <c r="G296" s="70"/>
      <c r="H296" s="400"/>
      <c r="I296" s="239"/>
    </row>
    <row r="297" spans="6:9" x14ac:dyDescent="0.35">
      <c r="F297" s="33"/>
      <c r="G297" s="70"/>
      <c r="H297" s="400"/>
      <c r="I297" s="239"/>
    </row>
    <row r="298" spans="6:9" x14ac:dyDescent="0.35">
      <c r="F298" s="33"/>
      <c r="G298" s="70"/>
      <c r="H298" s="400"/>
      <c r="I298" s="239"/>
    </row>
    <row r="299" spans="6:9" x14ac:dyDescent="0.35">
      <c r="F299" s="33"/>
      <c r="G299" s="70"/>
      <c r="H299" s="400"/>
      <c r="I299" s="239"/>
    </row>
    <row r="300" spans="6:9" x14ac:dyDescent="0.35">
      <c r="F300" s="33"/>
      <c r="G300" s="70"/>
      <c r="H300" s="400"/>
      <c r="I300" s="239"/>
    </row>
    <row r="301" spans="6:9" x14ac:dyDescent="0.35">
      <c r="F301" s="33"/>
      <c r="G301" s="70"/>
      <c r="H301" s="400"/>
      <c r="I301" s="239"/>
    </row>
    <row r="302" spans="6:9" x14ac:dyDescent="0.35">
      <c r="F302" s="33"/>
      <c r="G302" s="70"/>
      <c r="H302" s="400"/>
      <c r="I302" s="239"/>
    </row>
    <row r="303" spans="6:9" x14ac:dyDescent="0.35">
      <c r="F303" s="33"/>
      <c r="G303" s="70"/>
      <c r="H303" s="400"/>
      <c r="I303" s="239"/>
    </row>
    <row r="304" spans="6:9" x14ac:dyDescent="0.35">
      <c r="F304" s="33"/>
      <c r="G304" s="70"/>
      <c r="H304" s="400"/>
      <c r="I304" s="239"/>
    </row>
    <row r="305" spans="6:9" x14ac:dyDescent="0.35">
      <c r="F305" s="33"/>
      <c r="G305" s="70"/>
      <c r="H305" s="400"/>
      <c r="I305" s="239"/>
    </row>
    <row r="306" spans="6:9" x14ac:dyDescent="0.35">
      <c r="F306" s="33"/>
      <c r="G306" s="70"/>
      <c r="H306" s="400"/>
      <c r="I306" s="239"/>
    </row>
    <row r="307" spans="6:9" x14ac:dyDescent="0.35">
      <c r="F307" s="33"/>
      <c r="G307" s="70"/>
      <c r="H307" s="400"/>
      <c r="I307" s="239"/>
    </row>
    <row r="308" spans="6:9" x14ac:dyDescent="0.35">
      <c r="F308" s="33"/>
      <c r="G308" s="70"/>
      <c r="H308" s="400"/>
      <c r="I308" s="239"/>
    </row>
    <row r="309" spans="6:9" x14ac:dyDescent="0.35">
      <c r="F309" s="33"/>
      <c r="G309" s="70"/>
      <c r="H309" s="400"/>
      <c r="I309" s="239"/>
    </row>
    <row r="310" spans="6:9" x14ac:dyDescent="0.35">
      <c r="F310" s="33"/>
      <c r="G310" s="70"/>
      <c r="H310" s="400"/>
      <c r="I310" s="239"/>
    </row>
    <row r="311" spans="6:9" x14ac:dyDescent="0.35">
      <c r="F311" s="33"/>
      <c r="G311" s="70"/>
      <c r="H311" s="400"/>
      <c r="I311" s="239"/>
    </row>
    <row r="312" spans="6:9" x14ac:dyDescent="0.35">
      <c r="F312" s="33"/>
      <c r="G312" s="70"/>
      <c r="H312" s="400"/>
      <c r="I312" s="239"/>
    </row>
    <row r="313" spans="6:9" x14ac:dyDescent="0.35">
      <c r="F313" s="33"/>
      <c r="G313" s="70"/>
      <c r="H313" s="400"/>
      <c r="I313" s="239"/>
    </row>
    <row r="314" spans="6:9" x14ac:dyDescent="0.35">
      <c r="F314" s="33"/>
      <c r="G314" s="70"/>
      <c r="H314" s="400"/>
      <c r="I314" s="239"/>
    </row>
    <row r="315" spans="6:9" x14ac:dyDescent="0.35">
      <c r="F315" s="33"/>
      <c r="G315" s="70"/>
      <c r="H315" s="400"/>
      <c r="I315" s="239"/>
    </row>
    <row r="316" spans="6:9" x14ac:dyDescent="0.35">
      <c r="F316" s="33"/>
      <c r="G316" s="70"/>
      <c r="H316" s="400"/>
      <c r="I316" s="239"/>
    </row>
    <row r="317" spans="6:9" x14ac:dyDescent="0.35">
      <c r="F317" s="33"/>
      <c r="G317" s="70"/>
      <c r="H317" s="400"/>
      <c r="I317" s="239"/>
    </row>
    <row r="318" spans="6:9" x14ac:dyDescent="0.35">
      <c r="F318" s="33"/>
      <c r="G318" s="70"/>
      <c r="H318" s="400"/>
      <c r="I318" s="239"/>
    </row>
    <row r="319" spans="6:9" x14ac:dyDescent="0.35">
      <c r="F319" s="33"/>
      <c r="G319" s="70"/>
      <c r="H319" s="400"/>
      <c r="I319" s="239"/>
    </row>
    <row r="320" spans="6:9" x14ac:dyDescent="0.35">
      <c r="F320" s="33"/>
      <c r="G320" s="70"/>
      <c r="H320" s="400"/>
      <c r="I320" s="239"/>
    </row>
    <row r="321" spans="6:9" x14ac:dyDescent="0.35">
      <c r="F321" s="33"/>
      <c r="G321" s="70"/>
      <c r="H321" s="400"/>
      <c r="I321" s="239"/>
    </row>
    <row r="322" spans="6:9" x14ac:dyDescent="0.35">
      <c r="F322" s="33"/>
      <c r="G322" s="70"/>
      <c r="H322" s="400"/>
      <c r="I322" s="239"/>
    </row>
    <row r="323" spans="6:9" x14ac:dyDescent="0.35">
      <c r="F323" s="33"/>
      <c r="G323" s="70"/>
      <c r="H323" s="400"/>
      <c r="I323" s="239"/>
    </row>
    <row r="324" spans="6:9" x14ac:dyDescent="0.35">
      <c r="F324" s="33"/>
      <c r="G324" s="70"/>
      <c r="H324" s="400"/>
      <c r="I324" s="239"/>
    </row>
    <row r="325" spans="6:9" x14ac:dyDescent="0.35">
      <c r="F325" s="33"/>
      <c r="G325" s="70"/>
      <c r="H325" s="400"/>
      <c r="I325" s="239"/>
    </row>
    <row r="326" spans="6:9" x14ac:dyDescent="0.35">
      <c r="F326" s="33"/>
      <c r="G326" s="70"/>
      <c r="H326" s="400"/>
      <c r="I326" s="239"/>
    </row>
    <row r="327" spans="6:9" x14ac:dyDescent="0.35">
      <c r="F327" s="33"/>
      <c r="G327" s="70"/>
      <c r="H327" s="400"/>
      <c r="I327" s="239"/>
    </row>
    <row r="328" spans="6:9" x14ac:dyDescent="0.35">
      <c r="F328" s="33"/>
      <c r="G328" s="70"/>
      <c r="H328" s="400"/>
      <c r="I328" s="239"/>
    </row>
    <row r="329" spans="6:9" x14ac:dyDescent="0.35">
      <c r="F329" s="33"/>
      <c r="G329" s="70"/>
      <c r="H329" s="400"/>
      <c r="I329" s="239"/>
    </row>
    <row r="330" spans="6:9" x14ac:dyDescent="0.35">
      <c r="F330" s="33"/>
      <c r="G330" s="70"/>
      <c r="H330" s="400"/>
      <c r="I330" s="239"/>
    </row>
    <row r="331" spans="6:9" x14ac:dyDescent="0.35">
      <c r="F331" s="33"/>
      <c r="G331" s="70"/>
      <c r="H331" s="400"/>
      <c r="I331" s="239"/>
    </row>
    <row r="332" spans="6:9" x14ac:dyDescent="0.35">
      <c r="F332" s="33"/>
      <c r="G332" s="70"/>
      <c r="H332" s="400"/>
      <c r="I332" s="239"/>
    </row>
    <row r="333" spans="6:9" x14ac:dyDescent="0.35">
      <c r="F333" s="33"/>
      <c r="G333" s="70"/>
      <c r="H333" s="400"/>
      <c r="I333" s="239"/>
    </row>
    <row r="334" spans="6:9" x14ac:dyDescent="0.35">
      <c r="F334" s="33"/>
      <c r="G334" s="70"/>
      <c r="H334" s="400"/>
      <c r="I334" s="239"/>
    </row>
    <row r="335" spans="6:9" x14ac:dyDescent="0.35">
      <c r="F335" s="33"/>
      <c r="G335" s="70"/>
      <c r="H335" s="400"/>
      <c r="I335" s="239"/>
    </row>
    <row r="336" spans="6:9" x14ac:dyDescent="0.35">
      <c r="F336" s="33"/>
      <c r="G336" s="70"/>
      <c r="H336" s="400"/>
      <c r="I336" s="239"/>
    </row>
    <row r="337" spans="6:9" x14ac:dyDescent="0.35">
      <c r="F337" s="33"/>
      <c r="G337" s="70"/>
      <c r="H337" s="400"/>
      <c r="I337" s="239"/>
    </row>
    <row r="338" spans="6:9" x14ac:dyDescent="0.35">
      <c r="F338" s="33"/>
      <c r="G338" s="70"/>
      <c r="H338" s="400"/>
      <c r="I338" s="239"/>
    </row>
    <row r="339" spans="6:9" x14ac:dyDescent="0.35">
      <c r="F339" s="33"/>
      <c r="G339" s="70"/>
      <c r="H339" s="400"/>
      <c r="I339" s="239"/>
    </row>
    <row r="340" spans="6:9" x14ac:dyDescent="0.35">
      <c r="F340" s="33"/>
      <c r="G340" s="70"/>
      <c r="H340" s="400"/>
      <c r="I340" s="239"/>
    </row>
    <row r="341" spans="6:9" x14ac:dyDescent="0.35">
      <c r="F341" s="33"/>
      <c r="G341" s="70"/>
      <c r="H341" s="400"/>
      <c r="I341" s="239"/>
    </row>
    <row r="342" spans="6:9" x14ac:dyDescent="0.35">
      <c r="F342" s="33"/>
      <c r="G342" s="70"/>
      <c r="H342" s="400"/>
      <c r="I342" s="239"/>
    </row>
    <row r="343" spans="6:9" x14ac:dyDescent="0.35">
      <c r="F343" s="33"/>
      <c r="G343" s="70"/>
      <c r="H343" s="400"/>
      <c r="I343" s="239"/>
    </row>
    <row r="344" spans="6:9" x14ac:dyDescent="0.35">
      <c r="F344" s="33"/>
      <c r="G344" s="70"/>
      <c r="H344" s="400"/>
      <c r="I344" s="239"/>
    </row>
    <row r="345" spans="6:9" x14ac:dyDescent="0.35">
      <c r="F345" s="33"/>
      <c r="G345" s="70"/>
      <c r="H345" s="400"/>
      <c r="I345" s="239"/>
    </row>
    <row r="346" spans="6:9" x14ac:dyDescent="0.35">
      <c r="F346" s="33"/>
      <c r="G346" s="70"/>
      <c r="H346" s="400"/>
      <c r="I346" s="239"/>
    </row>
    <row r="347" spans="6:9" x14ac:dyDescent="0.35">
      <c r="F347" s="33"/>
      <c r="G347" s="70"/>
      <c r="H347" s="400"/>
      <c r="I347" s="239"/>
    </row>
    <row r="348" spans="6:9" x14ac:dyDescent="0.35">
      <c r="F348" s="33"/>
      <c r="G348" s="70"/>
      <c r="H348" s="400"/>
      <c r="I348" s="239"/>
    </row>
    <row r="349" spans="6:9" x14ac:dyDescent="0.35">
      <c r="F349" s="33"/>
      <c r="G349" s="70"/>
      <c r="H349" s="400"/>
      <c r="I349" s="239"/>
    </row>
    <row r="350" spans="6:9" x14ac:dyDescent="0.35">
      <c r="F350" s="33"/>
      <c r="G350" s="70"/>
      <c r="H350" s="400"/>
      <c r="I350" s="239"/>
    </row>
    <row r="351" spans="6:9" x14ac:dyDescent="0.35">
      <c r="F351" s="33"/>
      <c r="G351" s="70"/>
      <c r="H351" s="400"/>
      <c r="I351" s="239"/>
    </row>
    <row r="352" spans="6:9" x14ac:dyDescent="0.35">
      <c r="F352" s="33"/>
      <c r="G352" s="70"/>
      <c r="H352" s="400"/>
      <c r="I352" s="239"/>
    </row>
    <row r="353" spans="6:9" x14ac:dyDescent="0.35">
      <c r="F353" s="33"/>
      <c r="G353" s="70"/>
      <c r="H353" s="400"/>
      <c r="I353" s="239"/>
    </row>
    <row r="354" spans="6:9" x14ac:dyDescent="0.35">
      <c r="F354" s="33"/>
      <c r="G354" s="70"/>
      <c r="H354" s="400"/>
      <c r="I354" s="239"/>
    </row>
    <row r="355" spans="6:9" x14ac:dyDescent="0.35">
      <c r="F355" s="33"/>
      <c r="G355" s="70"/>
      <c r="H355" s="400"/>
      <c r="I355" s="239"/>
    </row>
    <row r="356" spans="6:9" x14ac:dyDescent="0.35">
      <c r="F356" s="33"/>
      <c r="G356" s="70"/>
      <c r="H356" s="400"/>
      <c r="I356" s="239"/>
    </row>
    <row r="357" spans="6:9" x14ac:dyDescent="0.35">
      <c r="F357" s="33"/>
      <c r="G357" s="70"/>
      <c r="H357" s="400"/>
      <c r="I357" s="239"/>
    </row>
    <row r="358" spans="6:9" x14ac:dyDescent="0.35">
      <c r="F358" s="33"/>
      <c r="G358" s="70"/>
      <c r="H358" s="400"/>
      <c r="I358" s="239"/>
    </row>
    <row r="359" spans="6:9" x14ac:dyDescent="0.35">
      <c r="F359" s="33"/>
      <c r="G359" s="70"/>
      <c r="H359" s="400"/>
      <c r="I359" s="239"/>
    </row>
    <row r="360" spans="6:9" x14ac:dyDescent="0.35">
      <c r="F360" s="33"/>
      <c r="G360" s="70"/>
      <c r="H360" s="400"/>
      <c r="I360" s="239"/>
    </row>
    <row r="361" spans="6:9" x14ac:dyDescent="0.35">
      <c r="F361" s="33"/>
      <c r="G361" s="70"/>
      <c r="H361" s="400"/>
      <c r="I361" s="239"/>
    </row>
    <row r="362" spans="6:9" x14ac:dyDescent="0.35">
      <c r="F362" s="33"/>
      <c r="G362" s="70"/>
      <c r="H362" s="400"/>
      <c r="I362" s="239"/>
    </row>
    <row r="363" spans="6:9" x14ac:dyDescent="0.35">
      <c r="F363" s="33"/>
      <c r="G363" s="70"/>
      <c r="H363" s="400"/>
      <c r="I363" s="239"/>
    </row>
    <row r="364" spans="6:9" x14ac:dyDescent="0.35">
      <c r="F364" s="33"/>
      <c r="G364" s="70"/>
      <c r="H364" s="400"/>
      <c r="I364" s="239"/>
    </row>
    <row r="365" spans="6:9" x14ac:dyDescent="0.35">
      <c r="F365" s="33"/>
      <c r="G365" s="70"/>
      <c r="H365" s="400"/>
      <c r="I365" s="239"/>
    </row>
    <row r="366" spans="6:9" x14ac:dyDescent="0.35">
      <c r="F366" s="33"/>
      <c r="G366" s="70"/>
      <c r="H366" s="400"/>
      <c r="I366" s="239"/>
    </row>
    <row r="367" spans="6:9" x14ac:dyDescent="0.35">
      <c r="F367" s="33"/>
      <c r="G367" s="70"/>
      <c r="H367" s="400"/>
      <c r="I367" s="239"/>
    </row>
    <row r="368" spans="6:9" x14ac:dyDescent="0.35">
      <c r="F368" s="33"/>
      <c r="G368" s="70"/>
      <c r="H368" s="400"/>
      <c r="I368" s="239"/>
    </row>
    <row r="369" spans="6:9" x14ac:dyDescent="0.35">
      <c r="F369" s="33"/>
      <c r="G369" s="70"/>
      <c r="H369" s="400"/>
      <c r="I369" s="239"/>
    </row>
    <row r="370" spans="6:9" x14ac:dyDescent="0.35">
      <c r="F370" s="33"/>
      <c r="G370" s="70"/>
      <c r="H370" s="400"/>
      <c r="I370" s="239"/>
    </row>
    <row r="371" spans="6:9" x14ac:dyDescent="0.35">
      <c r="F371" s="33"/>
      <c r="G371" s="70"/>
      <c r="H371" s="400"/>
      <c r="I371" s="239"/>
    </row>
    <row r="372" spans="6:9" x14ac:dyDescent="0.35">
      <c r="F372" s="33"/>
      <c r="G372" s="70"/>
      <c r="H372" s="400"/>
      <c r="I372" s="239"/>
    </row>
    <row r="373" spans="6:9" x14ac:dyDescent="0.35">
      <c r="F373" s="33"/>
      <c r="G373" s="70"/>
      <c r="H373" s="400"/>
      <c r="I373" s="239"/>
    </row>
    <row r="374" spans="6:9" x14ac:dyDescent="0.35">
      <c r="F374" s="33"/>
      <c r="G374" s="70"/>
      <c r="H374" s="400"/>
      <c r="I374" s="239"/>
    </row>
    <row r="375" spans="6:9" x14ac:dyDescent="0.35">
      <c r="F375" s="33"/>
      <c r="G375" s="70"/>
      <c r="H375" s="400"/>
      <c r="I375" s="239"/>
    </row>
    <row r="376" spans="6:9" x14ac:dyDescent="0.35">
      <c r="F376" s="33"/>
      <c r="G376" s="70"/>
      <c r="H376" s="400"/>
      <c r="I376" s="239"/>
    </row>
    <row r="377" spans="6:9" x14ac:dyDescent="0.35">
      <c r="F377" s="33"/>
      <c r="G377" s="70"/>
      <c r="H377" s="400"/>
      <c r="I377" s="239"/>
    </row>
    <row r="378" spans="6:9" x14ac:dyDescent="0.35">
      <c r="F378" s="33"/>
      <c r="G378" s="70"/>
      <c r="H378" s="400"/>
      <c r="I378" s="239"/>
    </row>
    <row r="379" spans="6:9" x14ac:dyDescent="0.35">
      <c r="F379" s="33"/>
      <c r="G379" s="70"/>
      <c r="H379" s="400"/>
      <c r="I379" s="239"/>
    </row>
    <row r="380" spans="6:9" x14ac:dyDescent="0.35">
      <c r="F380" s="33"/>
      <c r="G380" s="70"/>
      <c r="H380" s="400"/>
      <c r="I380" s="239"/>
    </row>
    <row r="381" spans="6:9" x14ac:dyDescent="0.35">
      <c r="F381" s="33"/>
      <c r="G381" s="70"/>
      <c r="H381" s="400"/>
      <c r="I381" s="239"/>
    </row>
    <row r="382" spans="6:9" x14ac:dyDescent="0.35">
      <c r="F382" s="33"/>
      <c r="G382" s="70"/>
      <c r="H382" s="400"/>
      <c r="I382" s="239"/>
    </row>
    <row r="383" spans="6:9" x14ac:dyDescent="0.35">
      <c r="F383" s="33"/>
      <c r="G383" s="70"/>
      <c r="H383" s="400"/>
      <c r="I383" s="239"/>
    </row>
    <row r="384" spans="6:9" x14ac:dyDescent="0.35">
      <c r="F384" s="33"/>
      <c r="G384" s="70"/>
      <c r="H384" s="400"/>
      <c r="I384" s="239"/>
    </row>
    <row r="385" spans="6:9" x14ac:dyDescent="0.35">
      <c r="F385" s="33"/>
      <c r="G385" s="70"/>
      <c r="H385" s="400"/>
      <c r="I385" s="239"/>
    </row>
    <row r="386" spans="6:9" x14ac:dyDescent="0.35">
      <c r="F386" s="33"/>
      <c r="G386" s="70"/>
      <c r="H386" s="400"/>
      <c r="I386" s="239"/>
    </row>
    <row r="387" spans="6:9" x14ac:dyDescent="0.35">
      <c r="F387" s="33"/>
      <c r="G387" s="70"/>
      <c r="H387" s="400"/>
      <c r="I387" s="239"/>
    </row>
    <row r="388" spans="6:9" x14ac:dyDescent="0.35">
      <c r="F388" s="33"/>
      <c r="G388" s="70"/>
      <c r="H388" s="400"/>
      <c r="I388" s="239"/>
    </row>
    <row r="389" spans="6:9" x14ac:dyDescent="0.35">
      <c r="F389" s="33"/>
      <c r="G389" s="70"/>
      <c r="H389" s="400"/>
      <c r="I389" s="239"/>
    </row>
    <row r="390" spans="6:9" x14ac:dyDescent="0.35">
      <c r="F390" s="33"/>
      <c r="G390" s="70"/>
      <c r="H390" s="400"/>
      <c r="I390" s="239"/>
    </row>
    <row r="391" spans="6:9" x14ac:dyDescent="0.35">
      <c r="F391" s="33"/>
      <c r="G391" s="70"/>
      <c r="H391" s="400"/>
      <c r="I391" s="239"/>
    </row>
    <row r="392" spans="6:9" x14ac:dyDescent="0.35">
      <c r="F392" s="33"/>
      <c r="G392" s="70"/>
      <c r="H392" s="400"/>
      <c r="I392" s="239"/>
    </row>
    <row r="393" spans="6:9" x14ac:dyDescent="0.35">
      <c r="F393" s="33"/>
      <c r="G393" s="70"/>
      <c r="H393" s="400"/>
      <c r="I393" s="239"/>
    </row>
    <row r="394" spans="6:9" x14ac:dyDescent="0.35">
      <c r="F394" s="33"/>
      <c r="G394" s="70"/>
      <c r="H394" s="400"/>
      <c r="I394" s="239"/>
    </row>
    <row r="395" spans="6:9" x14ac:dyDescent="0.35">
      <c r="F395" s="33"/>
      <c r="G395" s="70"/>
      <c r="H395" s="400"/>
      <c r="I395" s="239"/>
    </row>
    <row r="396" spans="6:9" x14ac:dyDescent="0.35">
      <c r="F396" s="33"/>
      <c r="G396" s="70"/>
      <c r="H396" s="400"/>
      <c r="I396" s="239"/>
    </row>
    <row r="397" spans="6:9" x14ac:dyDescent="0.35">
      <c r="F397" s="33"/>
      <c r="G397" s="70"/>
      <c r="H397" s="400"/>
      <c r="I397" s="239"/>
    </row>
    <row r="398" spans="6:9" x14ac:dyDescent="0.35">
      <c r="F398" s="33"/>
      <c r="G398" s="70"/>
      <c r="H398" s="400"/>
      <c r="I398" s="239"/>
    </row>
    <row r="399" spans="6:9" x14ac:dyDescent="0.35">
      <c r="F399" s="33"/>
      <c r="G399" s="70"/>
      <c r="H399" s="400"/>
      <c r="I399" s="239"/>
    </row>
    <row r="400" spans="6:9" x14ac:dyDescent="0.35">
      <c r="F400" s="33"/>
      <c r="G400" s="70"/>
      <c r="H400" s="400"/>
      <c r="I400" s="239"/>
    </row>
    <row r="401" spans="6:9" x14ac:dyDescent="0.35">
      <c r="F401" s="33"/>
      <c r="G401" s="70"/>
      <c r="H401" s="400"/>
      <c r="I401" s="239"/>
    </row>
    <row r="402" spans="6:9" x14ac:dyDescent="0.35">
      <c r="F402" s="33"/>
      <c r="G402" s="70"/>
      <c r="H402" s="400"/>
      <c r="I402" s="239"/>
    </row>
    <row r="403" spans="6:9" x14ac:dyDescent="0.35">
      <c r="F403" s="33"/>
      <c r="G403" s="70"/>
      <c r="H403" s="400"/>
      <c r="I403" s="239"/>
    </row>
    <row r="404" spans="6:9" x14ac:dyDescent="0.35">
      <c r="F404" s="33"/>
      <c r="G404" s="70"/>
      <c r="H404" s="400"/>
      <c r="I404" s="239"/>
    </row>
    <row r="405" spans="6:9" x14ac:dyDescent="0.35">
      <c r="F405" s="33"/>
      <c r="G405" s="70"/>
      <c r="H405" s="400"/>
      <c r="I405" s="239"/>
    </row>
    <row r="406" spans="6:9" x14ac:dyDescent="0.35">
      <c r="F406" s="33"/>
      <c r="G406" s="70"/>
      <c r="H406" s="400"/>
      <c r="I406" s="239"/>
    </row>
    <row r="407" spans="6:9" x14ac:dyDescent="0.35">
      <c r="F407" s="33"/>
      <c r="G407" s="70"/>
      <c r="H407" s="400"/>
      <c r="I407" s="239"/>
    </row>
    <row r="408" spans="6:9" x14ac:dyDescent="0.35">
      <c r="F408" s="33"/>
      <c r="G408" s="70"/>
      <c r="H408" s="400"/>
      <c r="I408" s="239"/>
    </row>
    <row r="409" spans="6:9" x14ac:dyDescent="0.35">
      <c r="F409" s="33"/>
      <c r="G409" s="70"/>
      <c r="H409" s="400"/>
      <c r="I409" s="239"/>
    </row>
    <row r="410" spans="6:9" x14ac:dyDescent="0.35">
      <c r="F410" s="33"/>
      <c r="G410" s="70"/>
      <c r="H410" s="400"/>
      <c r="I410" s="239"/>
    </row>
    <row r="411" spans="6:9" x14ac:dyDescent="0.35">
      <c r="F411" s="33"/>
      <c r="G411" s="70"/>
      <c r="H411" s="400"/>
      <c r="I411" s="239"/>
    </row>
    <row r="412" spans="6:9" x14ac:dyDescent="0.35">
      <c r="F412" s="33"/>
      <c r="G412" s="70"/>
      <c r="H412" s="400"/>
      <c r="I412" s="239"/>
    </row>
    <row r="413" spans="6:9" x14ac:dyDescent="0.35">
      <c r="F413" s="33"/>
      <c r="G413" s="70"/>
      <c r="H413" s="400"/>
      <c r="I413" s="239"/>
    </row>
    <row r="414" spans="6:9" x14ac:dyDescent="0.35">
      <c r="F414" s="33"/>
      <c r="G414" s="70"/>
      <c r="H414" s="400"/>
      <c r="I414" s="239"/>
    </row>
    <row r="415" spans="6:9" x14ac:dyDescent="0.35">
      <c r="F415" s="33"/>
      <c r="G415" s="70"/>
      <c r="H415" s="400"/>
      <c r="I415" s="239"/>
    </row>
    <row r="416" spans="6:9" x14ac:dyDescent="0.35">
      <c r="F416" s="33"/>
      <c r="G416" s="70"/>
      <c r="H416" s="400"/>
      <c r="I416" s="239"/>
    </row>
    <row r="417" spans="6:9" x14ac:dyDescent="0.35">
      <c r="F417" s="33"/>
      <c r="G417" s="70"/>
      <c r="H417" s="400"/>
      <c r="I417" s="239"/>
    </row>
    <row r="418" spans="6:9" x14ac:dyDescent="0.35">
      <c r="F418" s="33"/>
      <c r="G418" s="70"/>
      <c r="H418" s="400"/>
      <c r="I418" s="239"/>
    </row>
    <row r="419" spans="6:9" x14ac:dyDescent="0.35">
      <c r="F419" s="33"/>
      <c r="G419" s="70"/>
      <c r="H419" s="400"/>
      <c r="I419" s="239"/>
    </row>
    <row r="420" spans="6:9" x14ac:dyDescent="0.35">
      <c r="F420" s="33"/>
      <c r="G420" s="70"/>
      <c r="H420" s="400"/>
      <c r="I420" s="239"/>
    </row>
    <row r="421" spans="6:9" x14ac:dyDescent="0.35">
      <c r="F421" s="33"/>
      <c r="G421" s="70"/>
      <c r="H421" s="400"/>
      <c r="I421" s="239"/>
    </row>
    <row r="422" spans="6:9" x14ac:dyDescent="0.35">
      <c r="F422" s="33"/>
      <c r="G422" s="70"/>
      <c r="H422" s="400"/>
      <c r="I422" s="239"/>
    </row>
    <row r="423" spans="6:9" x14ac:dyDescent="0.35">
      <c r="F423" s="33"/>
      <c r="G423" s="70"/>
      <c r="H423" s="400"/>
      <c r="I423" s="239"/>
    </row>
    <row r="424" spans="6:9" x14ac:dyDescent="0.35">
      <c r="F424" s="33"/>
      <c r="G424" s="70"/>
      <c r="H424" s="400"/>
      <c r="I424" s="239"/>
    </row>
    <row r="425" spans="6:9" x14ac:dyDescent="0.35">
      <c r="F425" s="33"/>
      <c r="G425" s="70"/>
      <c r="H425" s="400"/>
      <c r="I425" s="239"/>
    </row>
    <row r="426" spans="6:9" x14ac:dyDescent="0.35">
      <c r="F426" s="33"/>
      <c r="G426" s="70"/>
      <c r="H426" s="400"/>
      <c r="I426" s="239"/>
    </row>
    <row r="427" spans="6:9" x14ac:dyDescent="0.35">
      <c r="F427" s="33"/>
      <c r="G427" s="70"/>
      <c r="H427" s="400"/>
      <c r="I427" s="239"/>
    </row>
    <row r="428" spans="6:9" x14ac:dyDescent="0.35">
      <c r="F428" s="33"/>
      <c r="G428" s="70"/>
      <c r="H428" s="400"/>
      <c r="I428" s="239"/>
    </row>
    <row r="429" spans="6:9" x14ac:dyDescent="0.35">
      <c r="F429" s="33"/>
      <c r="G429" s="70"/>
      <c r="H429" s="400"/>
      <c r="I429" s="239"/>
    </row>
    <row r="430" spans="6:9" x14ac:dyDescent="0.35">
      <c r="F430" s="33"/>
      <c r="G430" s="70"/>
      <c r="H430" s="400"/>
      <c r="I430" s="239"/>
    </row>
    <row r="431" spans="6:9" x14ac:dyDescent="0.35">
      <c r="F431" s="33"/>
      <c r="G431" s="70"/>
      <c r="H431" s="400"/>
      <c r="I431" s="239"/>
    </row>
    <row r="432" spans="6:9" x14ac:dyDescent="0.35">
      <c r="F432" s="33"/>
      <c r="G432" s="70"/>
      <c r="H432" s="400"/>
      <c r="I432" s="239"/>
    </row>
    <row r="433" spans="6:9" x14ac:dyDescent="0.35">
      <c r="F433" s="33"/>
      <c r="G433" s="70"/>
      <c r="H433" s="400"/>
      <c r="I433" s="239"/>
    </row>
    <row r="434" spans="6:9" x14ac:dyDescent="0.35">
      <c r="F434" s="33"/>
      <c r="G434" s="70"/>
      <c r="H434" s="400"/>
      <c r="I434" s="239"/>
    </row>
    <row r="435" spans="6:9" x14ac:dyDescent="0.35">
      <c r="F435" s="33"/>
      <c r="G435" s="70"/>
      <c r="H435" s="400"/>
      <c r="I435" s="239"/>
    </row>
    <row r="436" spans="6:9" x14ac:dyDescent="0.35">
      <c r="F436" s="33"/>
      <c r="G436" s="70"/>
      <c r="H436" s="400"/>
      <c r="I436" s="239"/>
    </row>
    <row r="437" spans="6:9" x14ac:dyDescent="0.35">
      <c r="F437" s="33"/>
      <c r="G437" s="70"/>
      <c r="H437" s="400"/>
      <c r="I437" s="239"/>
    </row>
    <row r="438" spans="6:9" x14ac:dyDescent="0.35">
      <c r="F438" s="33"/>
      <c r="G438" s="70"/>
      <c r="H438" s="400"/>
      <c r="I438" s="239"/>
    </row>
    <row r="439" spans="6:9" x14ac:dyDescent="0.35">
      <c r="F439" s="33"/>
      <c r="G439" s="70"/>
      <c r="H439" s="400"/>
      <c r="I439" s="239"/>
    </row>
    <row r="440" spans="6:9" x14ac:dyDescent="0.35">
      <c r="F440" s="33"/>
      <c r="G440" s="70"/>
      <c r="H440" s="400"/>
      <c r="I440" s="239"/>
    </row>
    <row r="441" spans="6:9" x14ac:dyDescent="0.35">
      <c r="F441" s="33"/>
      <c r="G441" s="70"/>
      <c r="H441" s="400"/>
      <c r="I441" s="239"/>
    </row>
    <row r="442" spans="6:9" x14ac:dyDescent="0.35">
      <c r="F442" s="33"/>
      <c r="G442" s="70"/>
      <c r="H442" s="400"/>
      <c r="I442" s="239"/>
    </row>
    <row r="443" spans="6:9" x14ac:dyDescent="0.35">
      <c r="F443" s="33"/>
      <c r="G443" s="70"/>
      <c r="H443" s="400"/>
      <c r="I443" s="239"/>
    </row>
    <row r="444" spans="6:9" x14ac:dyDescent="0.35">
      <c r="F444" s="33"/>
      <c r="G444" s="70"/>
      <c r="H444" s="400"/>
      <c r="I444" s="239"/>
    </row>
    <row r="445" spans="6:9" x14ac:dyDescent="0.35">
      <c r="F445" s="33"/>
      <c r="G445" s="70"/>
      <c r="H445" s="400"/>
      <c r="I445" s="239"/>
    </row>
    <row r="446" spans="6:9" x14ac:dyDescent="0.35">
      <c r="F446" s="33"/>
      <c r="G446" s="70"/>
      <c r="H446" s="400"/>
      <c r="I446" s="239"/>
    </row>
    <row r="447" spans="6:9" x14ac:dyDescent="0.35">
      <c r="F447" s="33"/>
      <c r="G447" s="70"/>
      <c r="H447" s="400"/>
      <c r="I447" s="239"/>
    </row>
    <row r="448" spans="6:9" x14ac:dyDescent="0.35">
      <c r="F448" s="33"/>
      <c r="G448" s="70"/>
      <c r="H448" s="400"/>
      <c r="I448" s="239"/>
    </row>
    <row r="449" spans="6:9" x14ac:dyDescent="0.35">
      <c r="F449" s="33"/>
      <c r="G449" s="70"/>
      <c r="H449" s="400"/>
      <c r="I449" s="239"/>
    </row>
    <row r="450" spans="6:9" x14ac:dyDescent="0.35">
      <c r="F450" s="33"/>
      <c r="G450" s="70"/>
      <c r="H450" s="400"/>
      <c r="I450" s="239"/>
    </row>
    <row r="451" spans="6:9" x14ac:dyDescent="0.35">
      <c r="F451" s="33"/>
      <c r="G451" s="70"/>
      <c r="H451" s="400"/>
      <c r="I451" s="239"/>
    </row>
    <row r="452" spans="6:9" x14ac:dyDescent="0.35">
      <c r="F452" s="33"/>
      <c r="G452" s="70"/>
      <c r="H452" s="400"/>
      <c r="I452" s="239"/>
    </row>
    <row r="453" spans="6:9" x14ac:dyDescent="0.35">
      <c r="F453" s="33"/>
      <c r="G453" s="70"/>
      <c r="H453" s="400"/>
      <c r="I453" s="239"/>
    </row>
    <row r="454" spans="6:9" x14ac:dyDescent="0.35">
      <c r="F454" s="33"/>
      <c r="G454" s="70"/>
      <c r="H454" s="400"/>
      <c r="I454" s="239"/>
    </row>
    <row r="455" spans="6:9" x14ac:dyDescent="0.35">
      <c r="F455" s="33"/>
      <c r="G455" s="70"/>
      <c r="H455" s="400"/>
      <c r="I455" s="239"/>
    </row>
    <row r="456" spans="6:9" x14ac:dyDescent="0.35">
      <c r="F456" s="33"/>
      <c r="G456" s="70"/>
      <c r="H456" s="400"/>
      <c r="I456" s="239"/>
    </row>
    <row r="457" spans="6:9" x14ac:dyDescent="0.35">
      <c r="F457" s="33"/>
      <c r="G457" s="70"/>
      <c r="H457" s="400"/>
      <c r="I457" s="239"/>
    </row>
    <row r="458" spans="6:9" x14ac:dyDescent="0.35">
      <c r="F458" s="33"/>
      <c r="G458" s="70"/>
      <c r="H458" s="400"/>
      <c r="I458" s="239"/>
    </row>
    <row r="459" spans="6:9" x14ac:dyDescent="0.35">
      <c r="F459" s="33"/>
      <c r="G459" s="70"/>
      <c r="H459" s="400"/>
      <c r="I459" s="239"/>
    </row>
    <row r="460" spans="6:9" x14ac:dyDescent="0.35">
      <c r="F460" s="33"/>
      <c r="G460" s="70"/>
      <c r="H460" s="400"/>
      <c r="I460" s="239"/>
    </row>
    <row r="461" spans="6:9" x14ac:dyDescent="0.35">
      <c r="F461" s="33"/>
      <c r="G461" s="70"/>
      <c r="H461" s="400"/>
      <c r="I461" s="239"/>
    </row>
    <row r="462" spans="6:9" x14ac:dyDescent="0.35">
      <c r="F462" s="33"/>
      <c r="G462" s="70"/>
      <c r="H462" s="400"/>
      <c r="I462" s="239"/>
    </row>
    <row r="463" spans="6:9" x14ac:dyDescent="0.35">
      <c r="F463" s="33"/>
      <c r="G463" s="70"/>
      <c r="H463" s="400"/>
      <c r="I463" s="239"/>
    </row>
    <row r="464" spans="6:9" x14ac:dyDescent="0.35">
      <c r="F464" s="33"/>
      <c r="G464" s="70"/>
      <c r="H464" s="400"/>
      <c r="I464" s="239"/>
    </row>
    <row r="465" spans="6:9" x14ac:dyDescent="0.35">
      <c r="F465" s="33"/>
      <c r="G465" s="70"/>
      <c r="H465" s="400"/>
      <c r="I465" s="239"/>
    </row>
    <row r="466" spans="6:9" x14ac:dyDescent="0.35">
      <c r="F466" s="33"/>
      <c r="G466" s="70"/>
      <c r="H466" s="400"/>
      <c r="I466" s="239"/>
    </row>
    <row r="467" spans="6:9" x14ac:dyDescent="0.35">
      <c r="F467" s="33"/>
      <c r="G467" s="70"/>
      <c r="H467" s="400"/>
      <c r="I467" s="239"/>
    </row>
    <row r="468" spans="6:9" x14ac:dyDescent="0.35">
      <c r="F468" s="33"/>
      <c r="G468" s="70"/>
      <c r="H468" s="400"/>
      <c r="I468" s="239"/>
    </row>
    <row r="469" spans="6:9" x14ac:dyDescent="0.35">
      <c r="F469" s="33"/>
      <c r="G469" s="70"/>
      <c r="H469" s="400"/>
      <c r="I469" s="239"/>
    </row>
    <row r="470" spans="6:9" x14ac:dyDescent="0.35">
      <c r="F470" s="33"/>
      <c r="G470" s="70"/>
      <c r="H470" s="400"/>
      <c r="I470" s="239"/>
    </row>
    <row r="471" spans="6:9" x14ac:dyDescent="0.35">
      <c r="F471" s="33"/>
      <c r="G471" s="70"/>
      <c r="H471" s="400"/>
      <c r="I471" s="239"/>
    </row>
    <row r="472" spans="6:9" x14ac:dyDescent="0.35">
      <c r="F472" s="33"/>
      <c r="G472" s="70"/>
      <c r="H472" s="400"/>
      <c r="I472" s="239"/>
    </row>
    <row r="473" spans="6:9" x14ac:dyDescent="0.35">
      <c r="F473" s="33"/>
      <c r="G473" s="70"/>
      <c r="H473" s="400"/>
      <c r="I473" s="239"/>
    </row>
    <row r="474" spans="6:9" x14ac:dyDescent="0.35">
      <c r="F474" s="33"/>
      <c r="G474" s="70"/>
      <c r="H474" s="400"/>
      <c r="I474" s="239"/>
    </row>
    <row r="475" spans="6:9" x14ac:dyDescent="0.35">
      <c r="F475" s="33"/>
      <c r="G475" s="70"/>
      <c r="H475" s="400"/>
      <c r="I475" s="239"/>
    </row>
    <row r="476" spans="6:9" x14ac:dyDescent="0.35">
      <c r="F476" s="33"/>
      <c r="G476" s="70"/>
      <c r="H476" s="400"/>
      <c r="I476" s="239"/>
    </row>
    <row r="477" spans="6:9" x14ac:dyDescent="0.35">
      <c r="F477" s="33"/>
      <c r="G477" s="70"/>
      <c r="H477" s="400"/>
      <c r="I477" s="239"/>
    </row>
    <row r="478" spans="6:9" x14ac:dyDescent="0.35">
      <c r="F478" s="33"/>
      <c r="G478" s="70"/>
      <c r="H478" s="400"/>
      <c r="I478" s="239"/>
    </row>
    <row r="479" spans="6:9" x14ac:dyDescent="0.35">
      <c r="F479" s="33"/>
      <c r="G479" s="70"/>
      <c r="H479" s="400"/>
      <c r="I479" s="239"/>
    </row>
    <row r="480" spans="6:9" x14ac:dyDescent="0.35">
      <c r="F480" s="33"/>
      <c r="G480" s="70"/>
      <c r="H480" s="400"/>
      <c r="I480" s="239"/>
    </row>
    <row r="481" spans="6:9" x14ac:dyDescent="0.35">
      <c r="F481" s="33"/>
      <c r="G481" s="70"/>
      <c r="H481" s="400"/>
      <c r="I481" s="239"/>
    </row>
    <row r="482" spans="6:9" x14ac:dyDescent="0.35">
      <c r="F482" s="33"/>
      <c r="G482" s="70"/>
      <c r="H482" s="400"/>
      <c r="I482" s="239"/>
    </row>
    <row r="483" spans="6:9" x14ac:dyDescent="0.35">
      <c r="F483" s="33"/>
      <c r="G483" s="70"/>
      <c r="H483" s="400"/>
      <c r="I483" s="239"/>
    </row>
    <row r="484" spans="6:9" x14ac:dyDescent="0.35">
      <c r="F484" s="33"/>
      <c r="G484" s="70"/>
      <c r="H484" s="400"/>
      <c r="I484" s="239"/>
    </row>
    <row r="485" spans="6:9" x14ac:dyDescent="0.35">
      <c r="F485" s="33"/>
      <c r="G485" s="70"/>
      <c r="H485" s="400"/>
      <c r="I485" s="239"/>
    </row>
    <row r="486" spans="6:9" x14ac:dyDescent="0.35">
      <c r="F486" s="33"/>
      <c r="G486" s="70"/>
      <c r="H486" s="400"/>
      <c r="I486" s="239"/>
    </row>
    <row r="487" spans="6:9" x14ac:dyDescent="0.35">
      <c r="F487" s="33"/>
      <c r="G487" s="70"/>
      <c r="H487" s="400"/>
      <c r="I487" s="239"/>
    </row>
    <row r="488" spans="6:9" x14ac:dyDescent="0.35">
      <c r="F488" s="33"/>
      <c r="G488" s="70"/>
      <c r="H488" s="400"/>
      <c r="I488" s="239"/>
    </row>
    <row r="489" spans="6:9" x14ac:dyDescent="0.35">
      <c r="F489" s="33"/>
      <c r="G489" s="70"/>
      <c r="H489" s="400"/>
      <c r="I489" s="239"/>
    </row>
    <row r="490" spans="6:9" x14ac:dyDescent="0.35">
      <c r="F490" s="33"/>
      <c r="G490" s="70"/>
      <c r="H490" s="400"/>
      <c r="I490" s="239"/>
    </row>
    <row r="491" spans="6:9" x14ac:dyDescent="0.35">
      <c r="F491" s="33"/>
      <c r="G491" s="70"/>
      <c r="H491" s="400"/>
      <c r="I491" s="239"/>
    </row>
    <row r="492" spans="6:9" x14ac:dyDescent="0.35">
      <c r="F492" s="33"/>
      <c r="G492" s="70"/>
      <c r="H492" s="400"/>
      <c r="I492" s="239"/>
    </row>
    <row r="493" spans="6:9" x14ac:dyDescent="0.35">
      <c r="F493" s="33"/>
      <c r="G493" s="70"/>
      <c r="H493" s="400"/>
      <c r="I493" s="239"/>
    </row>
    <row r="494" spans="6:9" x14ac:dyDescent="0.35">
      <c r="F494" s="33"/>
      <c r="G494" s="70"/>
      <c r="H494" s="400"/>
      <c r="I494" s="239"/>
    </row>
    <row r="495" spans="6:9" x14ac:dyDescent="0.35">
      <c r="F495" s="33"/>
      <c r="G495" s="70"/>
      <c r="H495" s="400"/>
      <c r="I495" s="239"/>
    </row>
    <row r="496" spans="6:9" x14ac:dyDescent="0.35">
      <c r="F496" s="33"/>
      <c r="G496" s="70"/>
      <c r="H496" s="400"/>
      <c r="I496" s="239"/>
    </row>
    <row r="497" spans="6:9" x14ac:dyDescent="0.35">
      <c r="F497" s="33"/>
      <c r="G497" s="70"/>
      <c r="H497" s="400"/>
      <c r="I497" s="239"/>
    </row>
    <row r="498" spans="6:9" x14ac:dyDescent="0.35">
      <c r="F498" s="33"/>
      <c r="G498" s="70"/>
      <c r="H498" s="400"/>
      <c r="I498" s="239"/>
    </row>
    <row r="499" spans="6:9" x14ac:dyDescent="0.35">
      <c r="F499" s="33"/>
      <c r="G499" s="70"/>
      <c r="H499" s="400"/>
      <c r="I499" s="239"/>
    </row>
    <row r="500" spans="6:9" x14ac:dyDescent="0.35">
      <c r="F500" s="33"/>
      <c r="G500" s="70"/>
      <c r="H500" s="400"/>
      <c r="I500" s="239"/>
    </row>
    <row r="501" spans="6:9" x14ac:dyDescent="0.35">
      <c r="F501" s="33"/>
      <c r="G501" s="70"/>
      <c r="H501" s="400"/>
      <c r="I501" s="239"/>
    </row>
    <row r="502" spans="6:9" x14ac:dyDescent="0.35">
      <c r="F502" s="33"/>
      <c r="G502" s="70"/>
      <c r="H502" s="400"/>
      <c r="I502" s="239"/>
    </row>
    <row r="503" spans="6:9" x14ac:dyDescent="0.35">
      <c r="F503" s="33"/>
      <c r="G503" s="70"/>
      <c r="H503" s="400"/>
      <c r="I503" s="239"/>
    </row>
    <row r="504" spans="6:9" x14ac:dyDescent="0.35">
      <c r="F504" s="33"/>
      <c r="G504" s="70"/>
      <c r="H504" s="400"/>
      <c r="I504" s="239"/>
    </row>
    <row r="505" spans="6:9" x14ac:dyDescent="0.35">
      <c r="F505" s="33"/>
      <c r="G505" s="70"/>
      <c r="H505" s="400"/>
      <c r="I505" s="239"/>
    </row>
    <row r="506" spans="6:9" x14ac:dyDescent="0.35">
      <c r="F506" s="33"/>
      <c r="G506" s="70"/>
      <c r="H506" s="400"/>
      <c r="I506" s="239"/>
    </row>
    <row r="507" spans="6:9" x14ac:dyDescent="0.35">
      <c r="F507" s="33"/>
      <c r="G507" s="70"/>
      <c r="H507" s="400"/>
      <c r="I507" s="239"/>
    </row>
    <row r="508" spans="6:9" x14ac:dyDescent="0.35">
      <c r="F508" s="33"/>
      <c r="G508" s="70"/>
      <c r="H508" s="400"/>
      <c r="I508" s="239"/>
    </row>
    <row r="509" spans="6:9" x14ac:dyDescent="0.35">
      <c r="F509" s="33"/>
      <c r="G509" s="70"/>
      <c r="H509" s="400"/>
      <c r="I509" s="239"/>
    </row>
    <row r="510" spans="6:9" x14ac:dyDescent="0.35">
      <c r="F510" s="33"/>
      <c r="G510" s="70"/>
      <c r="H510" s="400"/>
      <c r="I510" s="239"/>
    </row>
    <row r="511" spans="6:9" x14ac:dyDescent="0.35">
      <c r="F511" s="33"/>
      <c r="G511" s="70"/>
      <c r="H511" s="400"/>
      <c r="I511" s="239"/>
    </row>
    <row r="512" spans="6:9" x14ac:dyDescent="0.35">
      <c r="F512" s="33"/>
      <c r="G512" s="70"/>
      <c r="H512" s="400"/>
      <c r="I512" s="239"/>
    </row>
    <row r="513" spans="6:9" x14ac:dyDescent="0.35">
      <c r="F513" s="33"/>
      <c r="G513" s="70"/>
      <c r="H513" s="400"/>
      <c r="I513" s="239"/>
    </row>
    <row r="514" spans="6:9" x14ac:dyDescent="0.35">
      <c r="F514" s="33"/>
      <c r="G514" s="70"/>
      <c r="H514" s="400"/>
      <c r="I514" s="239"/>
    </row>
    <row r="515" spans="6:9" x14ac:dyDescent="0.35">
      <c r="F515" s="33"/>
      <c r="G515" s="70"/>
      <c r="H515" s="400"/>
      <c r="I515" s="239"/>
    </row>
    <row r="516" spans="6:9" x14ac:dyDescent="0.35">
      <c r="F516" s="33"/>
      <c r="G516" s="70"/>
      <c r="H516" s="400"/>
      <c r="I516" s="239"/>
    </row>
    <row r="517" spans="6:9" x14ac:dyDescent="0.35">
      <c r="F517" s="33"/>
      <c r="G517" s="70"/>
      <c r="H517" s="400"/>
      <c r="I517" s="239"/>
    </row>
    <row r="518" spans="6:9" x14ac:dyDescent="0.35">
      <c r="F518" s="33"/>
      <c r="G518" s="70"/>
      <c r="H518" s="400"/>
      <c r="I518" s="239"/>
    </row>
    <row r="519" spans="6:9" x14ac:dyDescent="0.35">
      <c r="F519" s="33"/>
      <c r="G519" s="70"/>
      <c r="H519" s="400"/>
      <c r="I519" s="239"/>
    </row>
    <row r="520" spans="6:9" x14ac:dyDescent="0.35">
      <c r="F520" s="33"/>
      <c r="G520" s="70"/>
      <c r="H520" s="400"/>
      <c r="I520" s="239"/>
    </row>
    <row r="521" spans="6:9" x14ac:dyDescent="0.35">
      <c r="F521" s="33"/>
      <c r="G521" s="70"/>
      <c r="H521" s="400"/>
      <c r="I521" s="239"/>
    </row>
    <row r="522" spans="6:9" x14ac:dyDescent="0.35">
      <c r="F522" s="33"/>
      <c r="G522" s="70"/>
      <c r="H522" s="400"/>
      <c r="I522" s="239"/>
    </row>
    <row r="523" spans="6:9" x14ac:dyDescent="0.35">
      <c r="F523" s="33"/>
      <c r="G523" s="70"/>
      <c r="H523" s="400"/>
      <c r="I523" s="239"/>
    </row>
    <row r="524" spans="6:9" x14ac:dyDescent="0.35">
      <c r="F524" s="33"/>
      <c r="G524" s="70"/>
      <c r="H524" s="400"/>
      <c r="I524" s="239"/>
    </row>
    <row r="525" spans="6:9" x14ac:dyDescent="0.35">
      <c r="F525" s="33"/>
      <c r="G525" s="70"/>
      <c r="H525" s="400"/>
      <c r="I525" s="239"/>
    </row>
    <row r="526" spans="6:9" x14ac:dyDescent="0.35">
      <c r="F526" s="33"/>
      <c r="G526" s="70"/>
      <c r="H526" s="400"/>
      <c r="I526" s="239"/>
    </row>
    <row r="527" spans="6:9" x14ac:dyDescent="0.35">
      <c r="F527" s="33"/>
      <c r="G527" s="70"/>
      <c r="H527" s="400"/>
      <c r="I527" s="239"/>
    </row>
    <row r="528" spans="6:9" x14ac:dyDescent="0.35">
      <c r="F528" s="33"/>
      <c r="G528" s="70"/>
      <c r="H528" s="400"/>
      <c r="I528" s="239"/>
    </row>
    <row r="529" spans="6:9" x14ac:dyDescent="0.35">
      <c r="F529" s="33"/>
      <c r="G529" s="70"/>
      <c r="H529" s="400"/>
      <c r="I529" s="239"/>
    </row>
    <row r="530" spans="6:9" x14ac:dyDescent="0.35">
      <c r="F530" s="33"/>
      <c r="G530" s="70"/>
      <c r="H530" s="400"/>
      <c r="I530" s="239"/>
    </row>
    <row r="531" spans="6:9" x14ac:dyDescent="0.35">
      <c r="F531" s="33"/>
      <c r="G531" s="70"/>
      <c r="H531" s="400"/>
      <c r="I531" s="239"/>
    </row>
    <row r="532" spans="6:9" x14ac:dyDescent="0.35">
      <c r="F532" s="33"/>
      <c r="G532" s="70"/>
      <c r="H532" s="400"/>
      <c r="I532" s="239"/>
    </row>
    <row r="533" spans="6:9" x14ac:dyDescent="0.35">
      <c r="F533" s="33"/>
      <c r="G533" s="70"/>
      <c r="H533" s="400"/>
      <c r="I533" s="239"/>
    </row>
    <row r="534" spans="6:9" x14ac:dyDescent="0.35">
      <c r="F534" s="33"/>
      <c r="G534" s="70"/>
      <c r="H534" s="400"/>
      <c r="I534" s="239"/>
    </row>
    <row r="535" spans="6:9" x14ac:dyDescent="0.35">
      <c r="F535" s="33"/>
      <c r="G535" s="70"/>
      <c r="H535" s="400"/>
      <c r="I535" s="239"/>
    </row>
    <row r="536" spans="6:9" x14ac:dyDescent="0.35">
      <c r="F536" s="33"/>
      <c r="G536" s="70"/>
      <c r="H536" s="400"/>
      <c r="I536" s="239"/>
    </row>
    <row r="537" spans="6:9" x14ac:dyDescent="0.35">
      <c r="F537" s="33"/>
      <c r="G537" s="70"/>
      <c r="H537" s="400"/>
      <c r="I537" s="239"/>
    </row>
    <row r="538" spans="6:9" x14ac:dyDescent="0.35">
      <c r="F538" s="33"/>
      <c r="G538" s="70"/>
      <c r="H538" s="400"/>
      <c r="I538" s="239"/>
    </row>
    <row r="539" spans="6:9" x14ac:dyDescent="0.35">
      <c r="F539" s="33"/>
      <c r="G539" s="70"/>
      <c r="H539" s="400"/>
      <c r="I539" s="239"/>
    </row>
    <row r="540" spans="6:9" x14ac:dyDescent="0.35">
      <c r="F540" s="33"/>
      <c r="G540" s="70"/>
      <c r="H540" s="400"/>
      <c r="I540" s="239"/>
    </row>
    <row r="541" spans="6:9" x14ac:dyDescent="0.35">
      <c r="F541" s="33"/>
      <c r="G541" s="70"/>
      <c r="H541" s="400"/>
      <c r="I541" s="239"/>
    </row>
    <row r="542" spans="6:9" x14ac:dyDescent="0.35">
      <c r="F542" s="33"/>
      <c r="G542" s="70"/>
      <c r="H542" s="400"/>
      <c r="I542" s="239"/>
    </row>
    <row r="543" spans="6:9" x14ac:dyDescent="0.35">
      <c r="F543" s="33"/>
      <c r="G543" s="70"/>
      <c r="H543" s="400"/>
      <c r="I543" s="239"/>
    </row>
    <row r="544" spans="6:9" x14ac:dyDescent="0.35">
      <c r="F544" s="33"/>
      <c r="G544" s="70"/>
      <c r="H544" s="400"/>
      <c r="I544" s="239"/>
    </row>
    <row r="545" spans="6:9" x14ac:dyDescent="0.35">
      <c r="F545" s="33"/>
      <c r="G545" s="70"/>
      <c r="H545" s="400"/>
      <c r="I545" s="239"/>
    </row>
    <row r="546" spans="6:9" x14ac:dyDescent="0.35">
      <c r="F546" s="33"/>
      <c r="G546" s="70"/>
      <c r="H546" s="400"/>
      <c r="I546" s="239"/>
    </row>
    <row r="547" spans="6:9" x14ac:dyDescent="0.35">
      <c r="F547" s="33"/>
      <c r="G547" s="70"/>
      <c r="H547" s="400"/>
      <c r="I547" s="239"/>
    </row>
    <row r="548" spans="6:9" x14ac:dyDescent="0.35">
      <c r="F548" s="33"/>
      <c r="G548" s="70"/>
      <c r="H548" s="400"/>
      <c r="I548" s="239"/>
    </row>
    <row r="549" spans="6:9" x14ac:dyDescent="0.35">
      <c r="F549" s="33"/>
      <c r="G549" s="70"/>
      <c r="H549" s="400"/>
      <c r="I549" s="239"/>
    </row>
    <row r="550" spans="6:9" x14ac:dyDescent="0.35">
      <c r="F550" s="33"/>
      <c r="G550" s="70"/>
      <c r="H550" s="400"/>
      <c r="I550" s="239"/>
    </row>
    <row r="551" spans="6:9" x14ac:dyDescent="0.35">
      <c r="F551" s="33"/>
      <c r="G551" s="70"/>
      <c r="H551" s="400"/>
      <c r="I551" s="239"/>
    </row>
    <row r="552" spans="6:9" x14ac:dyDescent="0.35">
      <c r="F552" s="33"/>
      <c r="G552" s="70"/>
      <c r="H552" s="400"/>
      <c r="I552" s="239"/>
    </row>
    <row r="553" spans="6:9" x14ac:dyDescent="0.35">
      <c r="F553" s="33"/>
      <c r="G553" s="70"/>
      <c r="H553" s="400"/>
      <c r="I553" s="239"/>
    </row>
    <row r="554" spans="6:9" x14ac:dyDescent="0.35">
      <c r="F554" s="33"/>
      <c r="G554" s="70"/>
      <c r="H554" s="400"/>
      <c r="I554" s="239"/>
    </row>
    <row r="555" spans="6:9" x14ac:dyDescent="0.35">
      <c r="F555" s="33"/>
      <c r="G555" s="70"/>
      <c r="H555" s="400"/>
      <c r="I555" s="239"/>
    </row>
    <row r="556" spans="6:9" x14ac:dyDescent="0.35">
      <c r="F556" s="33"/>
      <c r="G556" s="70"/>
      <c r="H556" s="400"/>
      <c r="I556" s="239"/>
    </row>
    <row r="557" spans="6:9" x14ac:dyDescent="0.35">
      <c r="F557" s="33"/>
      <c r="G557" s="70"/>
      <c r="H557" s="400"/>
      <c r="I557" s="239"/>
    </row>
    <row r="558" spans="6:9" x14ac:dyDescent="0.35">
      <c r="F558" s="33"/>
      <c r="G558" s="70"/>
      <c r="H558" s="400"/>
      <c r="I558" s="239"/>
    </row>
    <row r="559" spans="6:9" x14ac:dyDescent="0.35">
      <c r="F559" s="33"/>
      <c r="G559" s="70"/>
      <c r="H559" s="400"/>
      <c r="I559" s="239"/>
    </row>
    <row r="560" spans="6:9" x14ac:dyDescent="0.35">
      <c r="F560" s="33"/>
      <c r="G560" s="70"/>
      <c r="H560" s="400"/>
      <c r="I560" s="239"/>
    </row>
    <row r="561" spans="6:9" x14ac:dyDescent="0.35">
      <c r="F561" s="33"/>
      <c r="G561" s="70"/>
      <c r="H561" s="400"/>
      <c r="I561" s="239"/>
    </row>
    <row r="562" spans="6:9" x14ac:dyDescent="0.35">
      <c r="F562" s="33"/>
      <c r="G562" s="70"/>
      <c r="H562" s="400"/>
      <c r="I562" s="239"/>
    </row>
    <row r="563" spans="6:9" x14ac:dyDescent="0.35">
      <c r="F563" s="33"/>
      <c r="G563" s="70"/>
      <c r="H563" s="400"/>
      <c r="I563" s="239"/>
    </row>
    <row r="564" spans="6:9" x14ac:dyDescent="0.35">
      <c r="F564" s="33"/>
      <c r="G564" s="70"/>
      <c r="H564" s="400"/>
      <c r="I564" s="239"/>
    </row>
    <row r="565" spans="6:9" x14ac:dyDescent="0.35">
      <c r="F565" s="33"/>
      <c r="G565" s="70"/>
      <c r="H565" s="400"/>
      <c r="I565" s="239"/>
    </row>
    <row r="566" spans="6:9" x14ac:dyDescent="0.35">
      <c r="F566" s="33"/>
      <c r="G566" s="70"/>
      <c r="H566" s="400"/>
      <c r="I566" s="239"/>
    </row>
    <row r="567" spans="6:9" x14ac:dyDescent="0.35">
      <c r="F567" s="33"/>
      <c r="G567" s="70"/>
      <c r="H567" s="400"/>
      <c r="I567" s="239"/>
    </row>
    <row r="568" spans="6:9" x14ac:dyDescent="0.35">
      <c r="F568" s="33"/>
      <c r="G568" s="70"/>
      <c r="H568" s="400"/>
      <c r="I568" s="239"/>
    </row>
    <row r="569" spans="6:9" x14ac:dyDescent="0.35">
      <c r="F569" s="33"/>
      <c r="G569" s="70"/>
      <c r="H569" s="400"/>
      <c r="I569" s="239"/>
    </row>
    <row r="570" spans="6:9" x14ac:dyDescent="0.35">
      <c r="F570" s="33"/>
      <c r="G570" s="70"/>
      <c r="H570" s="400"/>
      <c r="I570" s="239"/>
    </row>
    <row r="571" spans="6:9" x14ac:dyDescent="0.35">
      <c r="F571" s="33"/>
      <c r="G571" s="70"/>
      <c r="H571" s="400"/>
      <c r="I571" s="239"/>
    </row>
    <row r="572" spans="6:9" x14ac:dyDescent="0.35">
      <c r="F572" s="33"/>
      <c r="G572" s="70"/>
      <c r="H572" s="400"/>
      <c r="I572" s="239"/>
    </row>
    <row r="573" spans="6:9" x14ac:dyDescent="0.35">
      <c r="F573" s="33"/>
      <c r="G573" s="70"/>
      <c r="H573" s="400"/>
      <c r="I573" s="239"/>
    </row>
    <row r="574" spans="6:9" x14ac:dyDescent="0.35">
      <c r="F574" s="33"/>
      <c r="G574" s="70"/>
      <c r="H574" s="400"/>
      <c r="I574" s="239"/>
    </row>
    <row r="575" spans="6:9" x14ac:dyDescent="0.35">
      <c r="F575" s="33"/>
      <c r="G575" s="70"/>
      <c r="H575" s="400"/>
      <c r="I575" s="239"/>
    </row>
    <row r="576" spans="6:9" x14ac:dyDescent="0.35">
      <c r="F576" s="33"/>
      <c r="G576" s="70"/>
      <c r="H576" s="400"/>
      <c r="I576" s="239"/>
    </row>
    <row r="577" spans="6:9" x14ac:dyDescent="0.35">
      <c r="F577" s="33"/>
      <c r="G577" s="70"/>
      <c r="H577" s="400"/>
      <c r="I577" s="239"/>
    </row>
    <row r="578" spans="6:9" x14ac:dyDescent="0.35">
      <c r="F578" s="33"/>
      <c r="G578" s="70"/>
      <c r="H578" s="400"/>
      <c r="I578" s="239"/>
    </row>
    <row r="579" spans="6:9" x14ac:dyDescent="0.35">
      <c r="F579" s="33"/>
      <c r="G579" s="70"/>
      <c r="H579" s="400"/>
      <c r="I579" s="239"/>
    </row>
    <row r="580" spans="6:9" x14ac:dyDescent="0.35">
      <c r="F580" s="33"/>
      <c r="G580" s="70"/>
      <c r="H580" s="400"/>
      <c r="I580" s="239"/>
    </row>
    <row r="581" spans="6:9" x14ac:dyDescent="0.35">
      <c r="F581" s="33"/>
      <c r="G581" s="70"/>
      <c r="H581" s="400"/>
      <c r="I581" s="239"/>
    </row>
    <row r="582" spans="6:9" x14ac:dyDescent="0.35">
      <c r="F582" s="33"/>
      <c r="G582" s="70"/>
      <c r="H582" s="400"/>
      <c r="I582" s="239"/>
    </row>
    <row r="583" spans="6:9" x14ac:dyDescent="0.35">
      <c r="F583" s="33"/>
      <c r="G583" s="70"/>
      <c r="H583" s="400"/>
      <c r="I583" s="239"/>
    </row>
    <row r="584" spans="6:9" x14ac:dyDescent="0.35">
      <c r="F584" s="33"/>
      <c r="G584" s="70"/>
      <c r="H584" s="400"/>
      <c r="I584" s="239"/>
    </row>
    <row r="585" spans="6:9" x14ac:dyDescent="0.35">
      <c r="F585" s="33"/>
      <c r="G585" s="70"/>
      <c r="H585" s="400"/>
      <c r="I585" s="239"/>
    </row>
    <row r="586" spans="6:9" x14ac:dyDescent="0.35">
      <c r="F586" s="33"/>
      <c r="G586" s="70"/>
      <c r="H586" s="400"/>
      <c r="I586" s="239"/>
    </row>
    <row r="587" spans="6:9" x14ac:dyDescent="0.35">
      <c r="F587" s="33"/>
      <c r="G587" s="70"/>
      <c r="H587" s="400"/>
      <c r="I587" s="239"/>
    </row>
    <row r="588" spans="6:9" x14ac:dyDescent="0.35">
      <c r="F588" s="33"/>
      <c r="G588" s="70"/>
      <c r="H588" s="400"/>
      <c r="I588" s="239"/>
    </row>
    <row r="589" spans="6:9" x14ac:dyDescent="0.35">
      <c r="F589" s="33"/>
      <c r="G589" s="70"/>
      <c r="H589" s="400"/>
      <c r="I589" s="239"/>
    </row>
    <row r="590" spans="6:9" x14ac:dyDescent="0.35">
      <c r="F590" s="33"/>
      <c r="G590" s="70"/>
      <c r="H590" s="400"/>
      <c r="I590" s="239"/>
    </row>
    <row r="591" spans="6:9" x14ac:dyDescent="0.35">
      <c r="F591" s="33"/>
      <c r="G591" s="70"/>
      <c r="H591" s="400"/>
      <c r="I591" s="239"/>
    </row>
    <row r="592" spans="6:9" x14ac:dyDescent="0.35">
      <c r="F592" s="33"/>
      <c r="G592" s="70"/>
      <c r="H592" s="400"/>
      <c r="I592" s="239"/>
    </row>
    <row r="593" spans="6:9" x14ac:dyDescent="0.35">
      <c r="F593" s="33"/>
      <c r="G593" s="70"/>
      <c r="H593" s="400"/>
      <c r="I593" s="239"/>
    </row>
    <row r="594" spans="6:9" x14ac:dyDescent="0.35">
      <c r="F594" s="33"/>
      <c r="G594" s="70"/>
      <c r="H594" s="400"/>
      <c r="I594" s="239"/>
    </row>
    <row r="595" spans="6:9" x14ac:dyDescent="0.35">
      <c r="F595" s="33"/>
      <c r="G595" s="70"/>
      <c r="H595" s="400"/>
      <c r="I595" s="239"/>
    </row>
    <row r="596" spans="6:9" x14ac:dyDescent="0.35">
      <c r="F596" s="33"/>
      <c r="G596" s="70"/>
      <c r="H596" s="400"/>
      <c r="I596" s="239"/>
    </row>
    <row r="597" spans="6:9" x14ac:dyDescent="0.35">
      <c r="F597" s="33"/>
      <c r="G597" s="70"/>
      <c r="H597" s="400"/>
      <c r="I597" s="239"/>
    </row>
    <row r="598" spans="6:9" x14ac:dyDescent="0.35">
      <c r="F598" s="33"/>
      <c r="G598" s="70"/>
      <c r="H598" s="400"/>
      <c r="I598" s="239"/>
    </row>
    <row r="599" spans="6:9" x14ac:dyDescent="0.35">
      <c r="F599" s="33"/>
      <c r="G599" s="70"/>
      <c r="H599" s="400"/>
      <c r="I599" s="239"/>
    </row>
    <row r="600" spans="6:9" x14ac:dyDescent="0.35">
      <c r="F600" s="33"/>
      <c r="G600" s="70"/>
      <c r="H600" s="400"/>
      <c r="I600" s="239"/>
    </row>
    <row r="601" spans="6:9" x14ac:dyDescent="0.35">
      <c r="F601" s="33"/>
      <c r="G601" s="70"/>
      <c r="H601" s="400"/>
      <c r="I601" s="239"/>
    </row>
    <row r="602" spans="6:9" x14ac:dyDescent="0.35">
      <c r="F602" s="33"/>
      <c r="G602" s="70"/>
      <c r="H602" s="400"/>
      <c r="I602" s="239"/>
    </row>
    <row r="603" spans="6:9" x14ac:dyDescent="0.35">
      <c r="F603" s="33"/>
      <c r="G603" s="70"/>
      <c r="H603" s="400"/>
      <c r="I603" s="239"/>
    </row>
    <row r="604" spans="6:9" x14ac:dyDescent="0.35">
      <c r="F604" s="33"/>
      <c r="G604" s="70"/>
      <c r="H604" s="400"/>
      <c r="I604" s="239"/>
    </row>
    <row r="605" spans="6:9" x14ac:dyDescent="0.35">
      <c r="F605" s="33"/>
      <c r="G605" s="70"/>
      <c r="H605" s="400"/>
      <c r="I605" s="239"/>
    </row>
    <row r="606" spans="6:9" x14ac:dyDescent="0.35">
      <c r="F606" s="33"/>
      <c r="G606" s="70"/>
      <c r="H606" s="400"/>
      <c r="I606" s="239"/>
    </row>
    <row r="607" spans="6:9" x14ac:dyDescent="0.35">
      <c r="F607" s="33"/>
      <c r="G607" s="70"/>
      <c r="H607" s="400"/>
      <c r="I607" s="239"/>
    </row>
    <row r="608" spans="6:9" x14ac:dyDescent="0.35">
      <c r="F608" s="33"/>
      <c r="G608" s="70"/>
      <c r="H608" s="400"/>
      <c r="I608" s="239"/>
    </row>
    <row r="609" spans="6:9" x14ac:dyDescent="0.35">
      <c r="F609" s="33"/>
      <c r="G609" s="70"/>
      <c r="H609" s="400"/>
      <c r="I609" s="239"/>
    </row>
    <row r="610" spans="6:9" x14ac:dyDescent="0.35">
      <c r="F610" s="33"/>
      <c r="G610" s="70"/>
      <c r="H610" s="400"/>
      <c r="I610" s="239"/>
    </row>
    <row r="611" spans="6:9" x14ac:dyDescent="0.35">
      <c r="F611" s="33"/>
      <c r="G611" s="70"/>
      <c r="H611" s="400"/>
      <c r="I611" s="239"/>
    </row>
    <row r="612" spans="6:9" x14ac:dyDescent="0.35">
      <c r="F612" s="33"/>
      <c r="G612" s="70"/>
      <c r="H612" s="400"/>
      <c r="I612" s="239"/>
    </row>
    <row r="613" spans="6:9" x14ac:dyDescent="0.35">
      <c r="F613" s="33"/>
      <c r="G613" s="70"/>
      <c r="H613" s="400"/>
      <c r="I613" s="239"/>
    </row>
    <row r="614" spans="6:9" x14ac:dyDescent="0.35">
      <c r="F614" s="33"/>
      <c r="G614" s="70"/>
      <c r="H614" s="400"/>
      <c r="I614" s="239"/>
    </row>
    <row r="615" spans="6:9" x14ac:dyDescent="0.35">
      <c r="F615" s="33"/>
      <c r="G615" s="70"/>
      <c r="H615" s="400"/>
      <c r="I615" s="239"/>
    </row>
    <row r="616" spans="6:9" x14ac:dyDescent="0.35">
      <c r="F616" s="33"/>
      <c r="G616" s="70"/>
      <c r="H616" s="400"/>
      <c r="I616" s="239"/>
    </row>
    <row r="617" spans="6:9" x14ac:dyDescent="0.35">
      <c r="F617" s="33"/>
      <c r="G617" s="70"/>
      <c r="H617" s="400"/>
      <c r="I617" s="239"/>
    </row>
    <row r="618" spans="6:9" x14ac:dyDescent="0.35">
      <c r="F618" s="33"/>
      <c r="G618" s="70"/>
      <c r="H618" s="400"/>
      <c r="I618" s="239"/>
    </row>
    <row r="619" spans="6:9" x14ac:dyDescent="0.35">
      <c r="F619" s="33"/>
      <c r="G619" s="70"/>
      <c r="H619" s="400"/>
      <c r="I619" s="239"/>
    </row>
    <row r="620" spans="6:9" x14ac:dyDescent="0.35">
      <c r="F620" s="33"/>
      <c r="G620" s="70"/>
      <c r="H620" s="400"/>
      <c r="I620" s="239"/>
    </row>
    <row r="621" spans="6:9" x14ac:dyDescent="0.35">
      <c r="F621" s="33"/>
      <c r="G621" s="70"/>
      <c r="H621" s="400"/>
      <c r="I621" s="239"/>
    </row>
    <row r="622" spans="6:9" x14ac:dyDescent="0.35">
      <c r="F622" s="33"/>
      <c r="G622" s="70"/>
      <c r="H622" s="400"/>
      <c r="I622" s="239"/>
    </row>
    <row r="623" spans="6:9" x14ac:dyDescent="0.35">
      <c r="F623" s="33"/>
      <c r="G623" s="70"/>
      <c r="H623" s="400"/>
      <c r="I623" s="239"/>
    </row>
    <row r="624" spans="6:9" x14ac:dyDescent="0.35">
      <c r="F624" s="33"/>
      <c r="G624" s="70"/>
      <c r="H624" s="400"/>
      <c r="I624" s="239"/>
    </row>
    <row r="625" spans="6:9" x14ac:dyDescent="0.35">
      <c r="F625" s="33"/>
      <c r="G625" s="70"/>
      <c r="H625" s="400"/>
      <c r="I625" s="239"/>
    </row>
    <row r="626" spans="6:9" x14ac:dyDescent="0.35">
      <c r="F626" s="33"/>
      <c r="G626" s="70"/>
      <c r="H626" s="400"/>
      <c r="I626" s="239"/>
    </row>
    <row r="627" spans="6:9" x14ac:dyDescent="0.35">
      <c r="F627" s="33"/>
      <c r="G627" s="70"/>
      <c r="H627" s="400"/>
      <c r="I627" s="239"/>
    </row>
    <row r="628" spans="6:9" x14ac:dyDescent="0.35">
      <c r="F628" s="33"/>
      <c r="G628" s="70"/>
      <c r="H628" s="400"/>
      <c r="I628" s="239"/>
    </row>
    <row r="629" spans="6:9" x14ac:dyDescent="0.35">
      <c r="F629" s="33"/>
      <c r="G629" s="70"/>
      <c r="H629" s="400"/>
      <c r="I629" s="239"/>
    </row>
    <row r="630" spans="6:9" x14ac:dyDescent="0.35">
      <c r="F630" s="33"/>
      <c r="G630" s="70"/>
      <c r="H630" s="400"/>
      <c r="I630" s="239"/>
    </row>
    <row r="631" spans="6:9" x14ac:dyDescent="0.35">
      <c r="F631" s="33"/>
      <c r="G631" s="70"/>
      <c r="H631" s="400"/>
      <c r="I631" s="239"/>
    </row>
    <row r="632" spans="6:9" x14ac:dyDescent="0.35">
      <c r="F632" s="33"/>
      <c r="G632" s="70"/>
      <c r="H632" s="400"/>
      <c r="I632" s="239"/>
    </row>
    <row r="633" spans="6:9" x14ac:dyDescent="0.35">
      <c r="F633" s="33"/>
      <c r="G633" s="70"/>
      <c r="H633" s="400"/>
      <c r="I633" s="239"/>
    </row>
    <row r="634" spans="6:9" x14ac:dyDescent="0.35">
      <c r="F634" s="33"/>
      <c r="G634" s="70"/>
      <c r="H634" s="400"/>
      <c r="I634" s="239"/>
    </row>
    <row r="635" spans="6:9" x14ac:dyDescent="0.35">
      <c r="F635" s="33"/>
      <c r="G635" s="70"/>
      <c r="H635" s="400"/>
      <c r="I635" s="239"/>
    </row>
    <row r="636" spans="6:9" x14ac:dyDescent="0.35">
      <c r="F636" s="33"/>
      <c r="G636" s="70"/>
      <c r="H636" s="400"/>
      <c r="I636" s="239"/>
    </row>
    <row r="637" spans="6:9" x14ac:dyDescent="0.35">
      <c r="F637" s="33"/>
      <c r="G637" s="70"/>
      <c r="H637" s="400"/>
      <c r="I637" s="239"/>
    </row>
    <row r="638" spans="6:9" x14ac:dyDescent="0.35">
      <c r="F638" s="33"/>
      <c r="G638" s="70"/>
      <c r="H638" s="400"/>
      <c r="I638" s="239"/>
    </row>
    <row r="639" spans="6:9" x14ac:dyDescent="0.35">
      <c r="F639" s="33"/>
      <c r="G639" s="70"/>
      <c r="H639" s="400"/>
      <c r="I639" s="239"/>
    </row>
    <row r="640" spans="6:9" x14ac:dyDescent="0.35">
      <c r="F640" s="33"/>
      <c r="G640" s="70"/>
      <c r="H640" s="400"/>
      <c r="I640" s="239"/>
    </row>
    <row r="641" spans="6:9" x14ac:dyDescent="0.35">
      <c r="F641" s="33"/>
      <c r="G641" s="70"/>
      <c r="H641" s="400"/>
      <c r="I641" s="239"/>
    </row>
    <row r="642" spans="6:9" x14ac:dyDescent="0.35">
      <c r="F642" s="33"/>
      <c r="G642" s="70"/>
      <c r="H642" s="400"/>
      <c r="I642" s="239"/>
    </row>
    <row r="643" spans="6:9" x14ac:dyDescent="0.35">
      <c r="F643" s="33"/>
      <c r="G643" s="70"/>
      <c r="H643" s="400"/>
      <c r="I643" s="239"/>
    </row>
    <row r="644" spans="6:9" x14ac:dyDescent="0.35">
      <c r="F644" s="33"/>
      <c r="G644" s="70"/>
      <c r="H644" s="400"/>
      <c r="I644" s="239"/>
    </row>
    <row r="645" spans="6:9" x14ac:dyDescent="0.35">
      <c r="F645" s="33"/>
      <c r="G645" s="70"/>
      <c r="H645" s="400"/>
      <c r="I645" s="239"/>
    </row>
    <row r="646" spans="6:9" x14ac:dyDescent="0.35">
      <c r="F646" s="33"/>
      <c r="G646" s="70"/>
      <c r="H646" s="400"/>
      <c r="I646" s="239"/>
    </row>
    <row r="647" spans="6:9" x14ac:dyDescent="0.35">
      <c r="F647" s="33"/>
      <c r="G647" s="70"/>
      <c r="H647" s="400"/>
      <c r="I647" s="239"/>
    </row>
    <row r="648" spans="6:9" x14ac:dyDescent="0.35">
      <c r="F648" s="33"/>
      <c r="G648" s="70"/>
      <c r="H648" s="400"/>
      <c r="I648" s="239"/>
    </row>
    <row r="649" spans="6:9" x14ac:dyDescent="0.35">
      <c r="F649" s="33"/>
      <c r="G649" s="70"/>
      <c r="H649" s="400"/>
      <c r="I649" s="239"/>
    </row>
    <row r="650" spans="6:9" x14ac:dyDescent="0.35">
      <c r="F650" s="33"/>
      <c r="G650" s="70"/>
      <c r="H650" s="400"/>
      <c r="I650" s="239"/>
    </row>
    <row r="651" spans="6:9" x14ac:dyDescent="0.35">
      <c r="F651" s="33"/>
      <c r="G651" s="70"/>
      <c r="H651" s="400"/>
      <c r="I651" s="239"/>
    </row>
    <row r="652" spans="6:9" x14ac:dyDescent="0.35">
      <c r="F652" s="33"/>
      <c r="G652" s="70"/>
      <c r="H652" s="400"/>
      <c r="I652" s="239"/>
    </row>
    <row r="653" spans="6:9" x14ac:dyDescent="0.35">
      <c r="F653" s="33"/>
      <c r="G653" s="70"/>
      <c r="H653" s="400"/>
      <c r="I653" s="239"/>
    </row>
    <row r="654" spans="6:9" x14ac:dyDescent="0.35">
      <c r="F654" s="33"/>
      <c r="G654" s="70"/>
      <c r="H654" s="400"/>
      <c r="I654" s="239"/>
    </row>
    <row r="655" spans="6:9" x14ac:dyDescent="0.35">
      <c r="F655" s="33"/>
      <c r="G655" s="70"/>
      <c r="H655" s="400"/>
      <c r="I655" s="239"/>
    </row>
    <row r="656" spans="6:9" x14ac:dyDescent="0.35">
      <c r="F656" s="33"/>
      <c r="G656" s="70"/>
      <c r="H656" s="400"/>
      <c r="I656" s="239"/>
    </row>
    <row r="657" spans="6:9" x14ac:dyDescent="0.35">
      <c r="F657" s="33"/>
      <c r="G657" s="70"/>
      <c r="H657" s="400"/>
      <c r="I657" s="239"/>
    </row>
    <row r="658" spans="6:9" x14ac:dyDescent="0.35">
      <c r="F658" s="33"/>
      <c r="G658" s="70"/>
      <c r="H658" s="400"/>
      <c r="I658" s="239"/>
    </row>
    <row r="659" spans="6:9" x14ac:dyDescent="0.35">
      <c r="F659" s="33"/>
      <c r="G659" s="70"/>
      <c r="H659" s="400"/>
      <c r="I659" s="239"/>
    </row>
    <row r="660" spans="6:9" x14ac:dyDescent="0.35">
      <c r="F660" s="33"/>
      <c r="G660" s="70"/>
      <c r="H660" s="400"/>
      <c r="I660" s="239"/>
    </row>
    <row r="661" spans="6:9" x14ac:dyDescent="0.35">
      <c r="F661" s="33"/>
      <c r="G661" s="70"/>
      <c r="H661" s="400"/>
      <c r="I661" s="239"/>
    </row>
    <row r="662" spans="6:9" x14ac:dyDescent="0.35">
      <c r="F662" s="33"/>
      <c r="G662" s="70"/>
      <c r="H662" s="400"/>
      <c r="I662" s="239"/>
    </row>
    <row r="663" spans="6:9" x14ac:dyDescent="0.35">
      <c r="F663" s="33"/>
      <c r="G663" s="70"/>
      <c r="H663" s="400"/>
      <c r="I663" s="239"/>
    </row>
    <row r="664" spans="6:9" x14ac:dyDescent="0.35">
      <c r="F664" s="33"/>
      <c r="G664" s="70"/>
      <c r="H664" s="400"/>
      <c r="I664" s="239"/>
    </row>
    <row r="665" spans="6:9" x14ac:dyDescent="0.35">
      <c r="F665" s="33"/>
      <c r="G665" s="70"/>
      <c r="H665" s="400"/>
      <c r="I665" s="239"/>
    </row>
    <row r="666" spans="6:9" x14ac:dyDescent="0.35">
      <c r="F666" s="33"/>
      <c r="G666" s="70"/>
      <c r="H666" s="400"/>
      <c r="I666" s="239"/>
    </row>
    <row r="667" spans="6:9" x14ac:dyDescent="0.35">
      <c r="F667" s="33"/>
      <c r="G667" s="70"/>
      <c r="H667" s="400"/>
      <c r="I667" s="239"/>
    </row>
    <row r="668" spans="6:9" x14ac:dyDescent="0.35">
      <c r="F668" s="33"/>
      <c r="G668" s="70"/>
      <c r="H668" s="400"/>
      <c r="I668" s="239"/>
    </row>
    <row r="669" spans="6:9" x14ac:dyDescent="0.35">
      <c r="F669" s="33"/>
      <c r="G669" s="70"/>
      <c r="H669" s="400"/>
      <c r="I669" s="239"/>
    </row>
    <row r="670" spans="6:9" x14ac:dyDescent="0.35">
      <c r="F670" s="33"/>
      <c r="G670" s="70"/>
      <c r="H670" s="400"/>
      <c r="I670" s="239"/>
    </row>
    <row r="671" spans="6:9" x14ac:dyDescent="0.35">
      <c r="F671" s="33"/>
      <c r="G671" s="70"/>
      <c r="H671" s="400"/>
      <c r="I671" s="239"/>
    </row>
    <row r="672" spans="6:9" x14ac:dyDescent="0.35">
      <c r="F672" s="33"/>
      <c r="G672" s="70"/>
      <c r="H672" s="400"/>
      <c r="I672" s="239"/>
    </row>
    <row r="673" spans="6:9" x14ac:dyDescent="0.35">
      <c r="F673" s="33"/>
      <c r="G673" s="70"/>
      <c r="H673" s="400"/>
      <c r="I673" s="239"/>
    </row>
    <row r="674" spans="6:9" x14ac:dyDescent="0.35">
      <c r="F674" s="33"/>
      <c r="G674" s="70"/>
      <c r="H674" s="400"/>
      <c r="I674" s="239"/>
    </row>
    <row r="675" spans="6:9" x14ac:dyDescent="0.35">
      <c r="F675" s="33"/>
      <c r="G675" s="70"/>
      <c r="H675" s="400"/>
      <c r="I675" s="239"/>
    </row>
    <row r="676" spans="6:9" x14ac:dyDescent="0.35">
      <c r="F676" s="33"/>
      <c r="G676" s="70"/>
      <c r="H676" s="400"/>
      <c r="I676" s="239"/>
    </row>
    <row r="677" spans="6:9" x14ac:dyDescent="0.35">
      <c r="F677" s="33"/>
      <c r="G677" s="70"/>
      <c r="H677" s="400"/>
      <c r="I677" s="239"/>
    </row>
    <row r="678" spans="6:9" x14ac:dyDescent="0.35">
      <c r="F678" s="33"/>
      <c r="G678" s="70"/>
      <c r="H678" s="400"/>
      <c r="I678" s="239"/>
    </row>
    <row r="679" spans="6:9" x14ac:dyDescent="0.35">
      <c r="F679" s="33"/>
      <c r="G679" s="70"/>
      <c r="H679" s="400"/>
      <c r="I679" s="239"/>
    </row>
    <row r="680" spans="6:9" x14ac:dyDescent="0.35">
      <c r="F680" s="33"/>
      <c r="G680" s="70"/>
      <c r="H680" s="400"/>
      <c r="I680" s="239"/>
    </row>
    <row r="681" spans="6:9" x14ac:dyDescent="0.35">
      <c r="F681" s="33"/>
      <c r="G681" s="70"/>
      <c r="H681" s="400"/>
      <c r="I681" s="239"/>
    </row>
    <row r="682" spans="6:9" x14ac:dyDescent="0.35">
      <c r="F682" s="33"/>
      <c r="G682" s="70"/>
      <c r="H682" s="400"/>
      <c r="I682" s="239"/>
    </row>
    <row r="683" spans="6:9" x14ac:dyDescent="0.35">
      <c r="F683" s="33"/>
      <c r="G683" s="70"/>
      <c r="H683" s="400"/>
      <c r="I683" s="239"/>
    </row>
    <row r="684" spans="6:9" x14ac:dyDescent="0.35">
      <c r="F684" s="33"/>
      <c r="G684" s="70"/>
      <c r="H684" s="400"/>
      <c r="I684" s="239"/>
    </row>
    <row r="685" spans="6:9" x14ac:dyDescent="0.35">
      <c r="F685" s="33"/>
      <c r="G685" s="70"/>
      <c r="H685" s="400"/>
      <c r="I685" s="239"/>
    </row>
    <row r="686" spans="6:9" x14ac:dyDescent="0.35">
      <c r="F686" s="33"/>
      <c r="G686" s="70"/>
      <c r="H686" s="400"/>
      <c r="I686" s="239"/>
    </row>
    <row r="687" spans="6:9" x14ac:dyDescent="0.35">
      <c r="F687" s="33"/>
      <c r="G687" s="70"/>
      <c r="H687" s="400"/>
      <c r="I687" s="239"/>
    </row>
    <row r="688" spans="6:9" x14ac:dyDescent="0.35">
      <c r="F688" s="33"/>
      <c r="G688" s="70"/>
      <c r="H688" s="400"/>
      <c r="I688" s="239"/>
    </row>
    <row r="689" spans="6:9" x14ac:dyDescent="0.35">
      <c r="F689" s="33"/>
      <c r="G689" s="70"/>
      <c r="H689" s="400"/>
      <c r="I689" s="239"/>
    </row>
    <row r="690" spans="6:9" x14ac:dyDescent="0.35">
      <c r="F690" s="33"/>
      <c r="G690" s="70"/>
      <c r="H690" s="400"/>
      <c r="I690" s="239"/>
    </row>
    <row r="691" spans="6:9" x14ac:dyDescent="0.35">
      <c r="F691" s="33"/>
      <c r="G691" s="70"/>
      <c r="H691" s="400"/>
      <c r="I691" s="239"/>
    </row>
    <row r="692" spans="6:9" x14ac:dyDescent="0.35">
      <c r="F692" s="33"/>
      <c r="G692" s="70"/>
      <c r="H692" s="400"/>
      <c r="I692" s="239"/>
    </row>
    <row r="693" spans="6:9" x14ac:dyDescent="0.35">
      <c r="F693" s="33"/>
      <c r="G693" s="70"/>
      <c r="H693" s="400"/>
      <c r="I693" s="239"/>
    </row>
    <row r="694" spans="6:9" x14ac:dyDescent="0.35">
      <c r="F694" s="33"/>
      <c r="G694" s="70"/>
      <c r="H694" s="400"/>
      <c r="I694" s="239"/>
    </row>
    <row r="695" spans="6:9" x14ac:dyDescent="0.35">
      <c r="F695" s="33"/>
      <c r="G695" s="70"/>
      <c r="H695" s="400"/>
      <c r="I695" s="239"/>
    </row>
    <row r="696" spans="6:9" x14ac:dyDescent="0.35">
      <c r="F696" s="33"/>
      <c r="G696" s="70"/>
      <c r="H696" s="400"/>
      <c r="I696" s="239"/>
    </row>
    <row r="697" spans="6:9" x14ac:dyDescent="0.35">
      <c r="F697" s="33"/>
      <c r="G697" s="70"/>
      <c r="H697" s="400"/>
      <c r="I697" s="239"/>
    </row>
    <row r="698" spans="6:9" x14ac:dyDescent="0.35">
      <c r="F698" s="33"/>
      <c r="G698" s="70"/>
      <c r="H698" s="400"/>
      <c r="I698" s="239"/>
    </row>
    <row r="699" spans="6:9" x14ac:dyDescent="0.35">
      <c r="F699" s="33"/>
      <c r="G699" s="70"/>
      <c r="H699" s="400"/>
      <c r="I699" s="239"/>
    </row>
    <row r="700" spans="6:9" x14ac:dyDescent="0.35">
      <c r="F700" s="33"/>
      <c r="G700" s="70"/>
      <c r="H700" s="400"/>
      <c r="I700" s="239"/>
    </row>
    <row r="701" spans="6:9" x14ac:dyDescent="0.35">
      <c r="F701" s="33"/>
      <c r="G701" s="70"/>
      <c r="H701" s="400"/>
      <c r="I701" s="239"/>
    </row>
    <row r="702" spans="6:9" x14ac:dyDescent="0.35">
      <c r="F702" s="33"/>
      <c r="G702" s="70"/>
      <c r="H702" s="400"/>
      <c r="I702" s="239"/>
    </row>
    <row r="703" spans="6:9" x14ac:dyDescent="0.35">
      <c r="F703" s="33"/>
      <c r="G703" s="70"/>
      <c r="H703" s="400"/>
      <c r="I703" s="239"/>
    </row>
    <row r="704" spans="6:9" x14ac:dyDescent="0.35">
      <c r="F704" s="33"/>
      <c r="G704" s="70"/>
      <c r="H704" s="400"/>
      <c r="I704" s="239"/>
    </row>
    <row r="705" spans="6:9" x14ac:dyDescent="0.35">
      <c r="F705" s="33"/>
      <c r="G705" s="70"/>
      <c r="H705" s="400"/>
      <c r="I705" s="239"/>
    </row>
    <row r="706" spans="6:9" x14ac:dyDescent="0.35">
      <c r="F706" s="33"/>
      <c r="G706" s="70"/>
      <c r="H706" s="400"/>
      <c r="I706" s="239"/>
    </row>
    <row r="707" spans="6:9" x14ac:dyDescent="0.35">
      <c r="F707" s="33"/>
      <c r="G707" s="70"/>
      <c r="H707" s="400"/>
      <c r="I707" s="239"/>
    </row>
    <row r="708" spans="6:9" x14ac:dyDescent="0.35">
      <c r="F708" s="33"/>
      <c r="G708" s="70"/>
      <c r="H708" s="400"/>
      <c r="I708" s="239"/>
    </row>
    <row r="709" spans="6:9" x14ac:dyDescent="0.35">
      <c r="F709" s="33"/>
      <c r="G709" s="70"/>
      <c r="H709" s="400"/>
      <c r="I709" s="239"/>
    </row>
    <row r="710" spans="6:9" x14ac:dyDescent="0.35">
      <c r="F710" s="33"/>
      <c r="G710" s="70"/>
      <c r="H710" s="400"/>
      <c r="I710" s="239"/>
    </row>
    <row r="711" spans="6:9" x14ac:dyDescent="0.35">
      <c r="F711" s="33"/>
      <c r="G711" s="70"/>
      <c r="H711" s="400"/>
      <c r="I711" s="239"/>
    </row>
    <row r="712" spans="6:9" x14ac:dyDescent="0.35">
      <c r="F712" s="33"/>
      <c r="G712" s="70"/>
      <c r="H712" s="400"/>
      <c r="I712" s="239"/>
    </row>
    <row r="713" spans="6:9" x14ac:dyDescent="0.35">
      <c r="F713" s="33"/>
      <c r="G713" s="70"/>
      <c r="H713" s="400"/>
      <c r="I713" s="239"/>
    </row>
    <row r="714" spans="6:9" x14ac:dyDescent="0.35">
      <c r="F714" s="33"/>
      <c r="G714" s="70"/>
      <c r="H714" s="400"/>
      <c r="I714" s="239"/>
    </row>
    <row r="715" spans="6:9" x14ac:dyDescent="0.35">
      <c r="F715" s="33"/>
      <c r="G715" s="70"/>
      <c r="H715" s="400"/>
      <c r="I715" s="239"/>
    </row>
    <row r="716" spans="6:9" x14ac:dyDescent="0.35">
      <c r="F716" s="33"/>
      <c r="G716" s="70"/>
      <c r="H716" s="400"/>
      <c r="I716" s="239"/>
    </row>
    <row r="717" spans="6:9" x14ac:dyDescent="0.35">
      <c r="F717" s="33"/>
      <c r="G717" s="70"/>
      <c r="H717" s="400"/>
      <c r="I717" s="239"/>
    </row>
    <row r="718" spans="6:9" x14ac:dyDescent="0.35">
      <c r="F718" s="33"/>
      <c r="G718" s="70"/>
      <c r="H718" s="400"/>
      <c r="I718" s="239"/>
    </row>
    <row r="719" spans="6:9" x14ac:dyDescent="0.35">
      <c r="F719" s="33"/>
      <c r="G719" s="70"/>
      <c r="H719" s="400"/>
      <c r="I719" s="239"/>
    </row>
    <row r="720" spans="6:9" x14ac:dyDescent="0.35">
      <c r="F720" s="33"/>
      <c r="G720" s="70"/>
      <c r="H720" s="400"/>
      <c r="I720" s="239"/>
    </row>
    <row r="721" spans="6:9" x14ac:dyDescent="0.35">
      <c r="F721" s="33"/>
      <c r="G721" s="70"/>
      <c r="H721" s="400"/>
      <c r="I721" s="239"/>
    </row>
    <row r="722" spans="6:9" x14ac:dyDescent="0.35">
      <c r="F722" s="33"/>
      <c r="G722" s="70"/>
      <c r="H722" s="400"/>
      <c r="I722" s="239"/>
    </row>
    <row r="723" spans="6:9" x14ac:dyDescent="0.35">
      <c r="F723" s="33"/>
      <c r="G723" s="70"/>
      <c r="H723" s="400"/>
      <c r="I723" s="239"/>
    </row>
    <row r="724" spans="6:9" x14ac:dyDescent="0.35">
      <c r="F724" s="33"/>
      <c r="G724" s="70"/>
      <c r="H724" s="400"/>
      <c r="I724" s="239"/>
    </row>
    <row r="725" spans="6:9" x14ac:dyDescent="0.35">
      <c r="F725" s="33"/>
      <c r="G725" s="70"/>
      <c r="H725" s="400"/>
      <c r="I725" s="239"/>
    </row>
    <row r="726" spans="6:9" x14ac:dyDescent="0.35">
      <c r="F726" s="33"/>
      <c r="G726" s="70"/>
      <c r="H726" s="400"/>
      <c r="I726" s="239"/>
    </row>
    <row r="727" spans="6:9" x14ac:dyDescent="0.35">
      <c r="F727" s="33"/>
      <c r="G727" s="70"/>
      <c r="H727" s="400"/>
      <c r="I727" s="239"/>
    </row>
    <row r="728" spans="6:9" x14ac:dyDescent="0.35">
      <c r="F728" s="33"/>
      <c r="G728" s="70"/>
      <c r="H728" s="400"/>
      <c r="I728" s="239"/>
    </row>
    <row r="729" spans="6:9" x14ac:dyDescent="0.35">
      <c r="F729" s="33"/>
      <c r="G729" s="70"/>
      <c r="H729" s="400"/>
      <c r="I729" s="239"/>
    </row>
    <row r="730" spans="6:9" x14ac:dyDescent="0.35">
      <c r="F730" s="33"/>
      <c r="G730" s="70"/>
      <c r="H730" s="400"/>
      <c r="I730" s="239"/>
    </row>
    <row r="731" spans="6:9" x14ac:dyDescent="0.35">
      <c r="F731" s="33"/>
      <c r="G731" s="70"/>
      <c r="H731" s="400"/>
      <c r="I731" s="239"/>
    </row>
    <row r="732" spans="6:9" x14ac:dyDescent="0.35">
      <c r="F732" s="33"/>
      <c r="G732" s="70"/>
      <c r="H732" s="400"/>
      <c r="I732" s="239"/>
    </row>
    <row r="733" spans="6:9" x14ac:dyDescent="0.35">
      <c r="F733" s="33"/>
      <c r="G733" s="70"/>
      <c r="H733" s="400"/>
      <c r="I733" s="239"/>
    </row>
    <row r="734" spans="6:9" x14ac:dyDescent="0.35">
      <c r="F734" s="33"/>
      <c r="G734" s="70"/>
      <c r="H734" s="400"/>
      <c r="I734" s="239"/>
    </row>
    <row r="735" spans="6:9" x14ac:dyDescent="0.35">
      <c r="F735" s="33"/>
      <c r="G735" s="70"/>
      <c r="H735" s="400"/>
      <c r="I735" s="239"/>
    </row>
    <row r="736" spans="6:9" x14ac:dyDescent="0.35">
      <c r="F736" s="33"/>
      <c r="G736" s="70"/>
      <c r="H736" s="400"/>
      <c r="I736" s="239"/>
    </row>
    <row r="737" spans="6:9" x14ac:dyDescent="0.35">
      <c r="F737" s="33"/>
      <c r="G737" s="70"/>
      <c r="H737" s="400"/>
      <c r="I737" s="239"/>
    </row>
    <row r="738" spans="6:9" x14ac:dyDescent="0.35">
      <c r="F738" s="33"/>
      <c r="G738" s="70"/>
      <c r="H738" s="400"/>
      <c r="I738" s="239"/>
    </row>
    <row r="739" spans="6:9" x14ac:dyDescent="0.35">
      <c r="F739" s="33"/>
      <c r="G739" s="70"/>
      <c r="H739" s="400"/>
      <c r="I739" s="239"/>
    </row>
    <row r="740" spans="6:9" x14ac:dyDescent="0.35">
      <c r="F740" s="33"/>
      <c r="G740" s="70"/>
      <c r="H740" s="400"/>
      <c r="I740" s="239"/>
    </row>
    <row r="741" spans="6:9" x14ac:dyDescent="0.35">
      <c r="F741" s="33"/>
      <c r="G741" s="70"/>
      <c r="H741" s="400"/>
      <c r="I741" s="239"/>
    </row>
    <row r="742" spans="6:9" x14ac:dyDescent="0.35">
      <c r="F742" s="33"/>
      <c r="G742" s="70"/>
      <c r="H742" s="400"/>
      <c r="I742" s="239"/>
    </row>
    <row r="743" spans="6:9" x14ac:dyDescent="0.35">
      <c r="F743" s="33"/>
      <c r="G743" s="70"/>
      <c r="H743" s="400"/>
      <c r="I743" s="239"/>
    </row>
    <row r="744" spans="6:9" x14ac:dyDescent="0.35">
      <c r="F744" s="33"/>
      <c r="G744" s="70"/>
      <c r="H744" s="400"/>
      <c r="I744" s="239"/>
    </row>
    <row r="745" spans="6:9" x14ac:dyDescent="0.35">
      <c r="F745" s="33"/>
      <c r="G745" s="70"/>
      <c r="H745" s="400"/>
      <c r="I745" s="239"/>
    </row>
    <row r="746" spans="6:9" x14ac:dyDescent="0.35">
      <c r="F746" s="33"/>
      <c r="G746" s="70"/>
      <c r="H746" s="400"/>
      <c r="I746" s="239"/>
    </row>
    <row r="747" spans="6:9" x14ac:dyDescent="0.35">
      <c r="F747" s="33"/>
      <c r="G747" s="70"/>
      <c r="H747" s="400"/>
      <c r="I747" s="239"/>
    </row>
    <row r="748" spans="6:9" x14ac:dyDescent="0.35">
      <c r="F748" s="33"/>
      <c r="G748" s="70"/>
      <c r="H748" s="400"/>
      <c r="I748" s="239"/>
    </row>
    <row r="749" spans="6:9" x14ac:dyDescent="0.35">
      <c r="F749" s="33"/>
      <c r="G749" s="70"/>
      <c r="H749" s="400"/>
      <c r="I749" s="239"/>
    </row>
    <row r="750" spans="6:9" x14ac:dyDescent="0.35">
      <c r="F750" s="33"/>
      <c r="G750" s="70"/>
      <c r="H750" s="400"/>
      <c r="I750" s="239"/>
    </row>
    <row r="751" spans="6:9" x14ac:dyDescent="0.35">
      <c r="F751" s="33"/>
      <c r="G751" s="70"/>
      <c r="H751" s="400"/>
      <c r="I751" s="239"/>
    </row>
    <row r="752" spans="6:9" x14ac:dyDescent="0.35">
      <c r="F752" s="33"/>
      <c r="G752" s="70"/>
      <c r="H752" s="400"/>
      <c r="I752" s="239"/>
    </row>
    <row r="753" spans="6:9" x14ac:dyDescent="0.35">
      <c r="F753" s="33"/>
      <c r="G753" s="70"/>
      <c r="H753" s="400"/>
      <c r="I753" s="239"/>
    </row>
    <row r="754" spans="6:9" x14ac:dyDescent="0.35">
      <c r="F754" s="33"/>
      <c r="G754" s="70"/>
      <c r="H754" s="400"/>
      <c r="I754" s="239"/>
    </row>
    <row r="755" spans="6:9" x14ac:dyDescent="0.35">
      <c r="F755" s="33"/>
      <c r="G755" s="70"/>
      <c r="H755" s="400"/>
      <c r="I755" s="239"/>
    </row>
    <row r="756" spans="6:9" x14ac:dyDescent="0.35">
      <c r="F756" s="33"/>
      <c r="G756" s="70"/>
      <c r="H756" s="400"/>
      <c r="I756" s="239"/>
    </row>
    <row r="757" spans="6:9" x14ac:dyDescent="0.35">
      <c r="F757" s="33"/>
      <c r="G757" s="70"/>
      <c r="H757" s="400"/>
      <c r="I757" s="239"/>
    </row>
    <row r="758" spans="6:9" x14ac:dyDescent="0.35">
      <c r="F758" s="33"/>
      <c r="G758" s="70"/>
      <c r="H758" s="400"/>
      <c r="I758" s="239"/>
    </row>
    <row r="759" spans="6:9" x14ac:dyDescent="0.35">
      <c r="F759" s="33"/>
      <c r="G759" s="70"/>
      <c r="H759" s="400"/>
      <c r="I759" s="239"/>
    </row>
    <row r="760" spans="6:9" x14ac:dyDescent="0.35">
      <c r="F760" s="33"/>
      <c r="G760" s="70"/>
      <c r="H760" s="400"/>
      <c r="I760" s="239"/>
    </row>
    <row r="761" spans="6:9" x14ac:dyDescent="0.35">
      <c r="F761" s="33"/>
      <c r="G761" s="70"/>
      <c r="H761" s="400"/>
      <c r="I761" s="239"/>
    </row>
    <row r="762" spans="6:9" x14ac:dyDescent="0.35">
      <c r="F762" s="33"/>
      <c r="G762" s="70"/>
      <c r="H762" s="400"/>
      <c r="I762" s="239"/>
    </row>
    <row r="763" spans="6:9" x14ac:dyDescent="0.35">
      <c r="F763" s="33"/>
      <c r="G763" s="70"/>
      <c r="H763" s="400"/>
      <c r="I763" s="239"/>
    </row>
    <row r="764" spans="6:9" x14ac:dyDescent="0.35">
      <c r="F764" s="33"/>
      <c r="G764" s="70"/>
      <c r="H764" s="400"/>
      <c r="I764" s="239"/>
    </row>
    <row r="765" spans="6:9" x14ac:dyDescent="0.35">
      <c r="F765" s="33"/>
      <c r="G765" s="70"/>
      <c r="H765" s="400"/>
      <c r="I765" s="239"/>
    </row>
    <row r="766" spans="6:9" x14ac:dyDescent="0.35">
      <c r="F766" s="33"/>
      <c r="G766" s="70"/>
      <c r="H766" s="400"/>
      <c r="I766" s="239"/>
    </row>
    <row r="767" spans="6:9" x14ac:dyDescent="0.35">
      <c r="F767" s="33"/>
      <c r="G767" s="70"/>
      <c r="H767" s="400"/>
      <c r="I767" s="239"/>
    </row>
    <row r="768" spans="6:9" x14ac:dyDescent="0.35">
      <c r="F768" s="33"/>
      <c r="G768" s="70"/>
      <c r="H768" s="400"/>
      <c r="I768" s="239"/>
    </row>
    <row r="769" spans="6:9" x14ac:dyDescent="0.35">
      <c r="F769" s="33"/>
      <c r="G769" s="70"/>
      <c r="H769" s="400"/>
      <c r="I769" s="239"/>
    </row>
    <row r="770" spans="6:9" x14ac:dyDescent="0.35">
      <c r="F770" s="33"/>
      <c r="G770" s="70"/>
      <c r="H770" s="400"/>
      <c r="I770" s="239"/>
    </row>
    <row r="771" spans="6:9" x14ac:dyDescent="0.35">
      <c r="F771" s="33"/>
      <c r="G771" s="70"/>
      <c r="H771" s="400"/>
      <c r="I771" s="239"/>
    </row>
    <row r="772" spans="6:9" x14ac:dyDescent="0.35">
      <c r="F772" s="33"/>
      <c r="G772" s="70"/>
      <c r="H772" s="400"/>
      <c r="I772" s="239"/>
    </row>
    <row r="773" spans="6:9" x14ac:dyDescent="0.35">
      <c r="F773" s="33"/>
      <c r="G773" s="70"/>
      <c r="H773" s="400"/>
      <c r="I773" s="239"/>
    </row>
    <row r="774" spans="6:9" x14ac:dyDescent="0.35">
      <c r="F774" s="33"/>
      <c r="G774" s="70"/>
      <c r="H774" s="400"/>
      <c r="I774" s="239"/>
    </row>
    <row r="775" spans="6:9" x14ac:dyDescent="0.35">
      <c r="F775" s="33"/>
      <c r="G775" s="70"/>
      <c r="H775" s="400"/>
      <c r="I775" s="239"/>
    </row>
    <row r="776" spans="6:9" x14ac:dyDescent="0.35">
      <c r="F776" s="33"/>
      <c r="G776" s="70"/>
      <c r="H776" s="400"/>
      <c r="I776" s="239"/>
    </row>
    <row r="777" spans="6:9" x14ac:dyDescent="0.35">
      <c r="F777" s="33"/>
      <c r="G777" s="70"/>
      <c r="H777" s="400"/>
      <c r="I777" s="239"/>
    </row>
    <row r="778" spans="6:9" x14ac:dyDescent="0.35">
      <c r="F778" s="33"/>
      <c r="G778" s="70"/>
      <c r="H778" s="400"/>
      <c r="I778" s="239"/>
    </row>
    <row r="779" spans="6:9" x14ac:dyDescent="0.35">
      <c r="F779" s="33"/>
      <c r="G779" s="70"/>
      <c r="H779" s="400"/>
      <c r="I779" s="239"/>
    </row>
    <row r="780" spans="6:9" x14ac:dyDescent="0.35">
      <c r="F780" s="33"/>
      <c r="G780" s="70"/>
      <c r="H780" s="400"/>
      <c r="I780" s="239"/>
    </row>
    <row r="781" spans="6:9" x14ac:dyDescent="0.35">
      <c r="F781" s="33"/>
      <c r="G781" s="70"/>
      <c r="H781" s="400"/>
      <c r="I781" s="239"/>
    </row>
    <row r="782" spans="6:9" x14ac:dyDescent="0.35">
      <c r="F782" s="33"/>
      <c r="G782" s="70"/>
      <c r="H782" s="400"/>
      <c r="I782" s="239"/>
    </row>
    <row r="783" spans="6:9" x14ac:dyDescent="0.35">
      <c r="F783" s="33"/>
      <c r="G783" s="70"/>
      <c r="H783" s="400"/>
      <c r="I783" s="239"/>
    </row>
    <row r="784" spans="6:9" x14ac:dyDescent="0.35">
      <c r="F784" s="33"/>
      <c r="G784" s="70"/>
      <c r="H784" s="400"/>
      <c r="I784" s="239"/>
    </row>
    <row r="785" spans="6:9" x14ac:dyDescent="0.35">
      <c r="F785" s="33"/>
      <c r="G785" s="70"/>
      <c r="H785" s="400"/>
      <c r="I785" s="239"/>
    </row>
    <row r="786" spans="6:9" x14ac:dyDescent="0.35">
      <c r="F786" s="33"/>
      <c r="G786" s="70"/>
      <c r="H786" s="400"/>
      <c r="I786" s="239"/>
    </row>
    <row r="787" spans="6:9" x14ac:dyDescent="0.35">
      <c r="F787" s="33"/>
      <c r="G787" s="70"/>
      <c r="H787" s="400"/>
      <c r="I787" s="239"/>
    </row>
    <row r="788" spans="6:9" x14ac:dyDescent="0.35">
      <c r="F788" s="33"/>
      <c r="G788" s="70"/>
      <c r="H788" s="400"/>
      <c r="I788" s="239"/>
    </row>
    <row r="789" spans="6:9" x14ac:dyDescent="0.35">
      <c r="F789" s="33"/>
      <c r="G789" s="70"/>
      <c r="H789" s="400"/>
      <c r="I789" s="239"/>
    </row>
    <row r="790" spans="6:9" x14ac:dyDescent="0.35">
      <c r="F790" s="33"/>
      <c r="G790" s="70"/>
      <c r="H790" s="400"/>
      <c r="I790" s="239"/>
    </row>
    <row r="791" spans="6:9" x14ac:dyDescent="0.35">
      <c r="F791" s="33"/>
      <c r="G791" s="70"/>
      <c r="H791" s="400"/>
      <c r="I791" s="239"/>
    </row>
    <row r="792" spans="6:9" x14ac:dyDescent="0.35">
      <c r="F792" s="33"/>
      <c r="G792" s="70"/>
      <c r="H792" s="400"/>
      <c r="I792" s="239"/>
    </row>
    <row r="793" spans="6:9" x14ac:dyDescent="0.35">
      <c r="F793" s="33"/>
      <c r="G793" s="70"/>
      <c r="H793" s="400"/>
      <c r="I793" s="239"/>
    </row>
    <row r="794" spans="6:9" x14ac:dyDescent="0.35">
      <c r="F794" s="33"/>
      <c r="G794" s="70"/>
      <c r="H794" s="400"/>
      <c r="I794" s="239"/>
    </row>
    <row r="795" spans="6:9" x14ac:dyDescent="0.35">
      <c r="F795" s="33"/>
      <c r="G795" s="70"/>
      <c r="H795" s="400"/>
      <c r="I795" s="239"/>
    </row>
    <row r="796" spans="6:9" x14ac:dyDescent="0.35">
      <c r="F796" s="33"/>
      <c r="G796" s="70"/>
      <c r="H796" s="400"/>
      <c r="I796" s="239"/>
    </row>
    <row r="797" spans="6:9" x14ac:dyDescent="0.35">
      <c r="F797" s="33"/>
      <c r="G797" s="70"/>
      <c r="H797" s="400"/>
      <c r="I797" s="239"/>
    </row>
    <row r="798" spans="6:9" x14ac:dyDescent="0.35">
      <c r="F798" s="33"/>
      <c r="G798" s="70"/>
      <c r="H798" s="400"/>
      <c r="I798" s="239"/>
    </row>
    <row r="799" spans="6:9" x14ac:dyDescent="0.35">
      <c r="F799" s="33"/>
      <c r="G799" s="70"/>
      <c r="H799" s="400"/>
      <c r="I799" s="239"/>
    </row>
    <row r="800" spans="6:9" x14ac:dyDescent="0.35">
      <c r="F800" s="33"/>
      <c r="G800" s="70"/>
      <c r="H800" s="400"/>
      <c r="I800" s="239"/>
    </row>
    <row r="801" spans="6:9" x14ac:dyDescent="0.35">
      <c r="F801" s="33"/>
      <c r="G801" s="70"/>
      <c r="H801" s="400"/>
      <c r="I801" s="239"/>
    </row>
    <row r="802" spans="6:9" x14ac:dyDescent="0.35">
      <c r="F802" s="33"/>
      <c r="G802" s="70"/>
      <c r="H802" s="400"/>
      <c r="I802" s="239"/>
    </row>
    <row r="803" spans="6:9" x14ac:dyDescent="0.35">
      <c r="F803" s="33"/>
      <c r="G803" s="70"/>
      <c r="H803" s="400"/>
      <c r="I803" s="239"/>
    </row>
    <row r="804" spans="6:9" x14ac:dyDescent="0.35">
      <c r="F804" s="33"/>
      <c r="G804" s="70"/>
      <c r="H804" s="400"/>
      <c r="I804" s="239"/>
    </row>
    <row r="805" spans="6:9" x14ac:dyDescent="0.35">
      <c r="F805" s="33"/>
      <c r="G805" s="70"/>
      <c r="H805" s="400"/>
      <c r="I805" s="239"/>
    </row>
    <row r="806" spans="6:9" x14ac:dyDescent="0.35">
      <c r="F806" s="33"/>
      <c r="G806" s="70"/>
      <c r="H806" s="400"/>
      <c r="I806" s="239"/>
    </row>
    <row r="807" spans="6:9" x14ac:dyDescent="0.35">
      <c r="F807" s="33"/>
      <c r="G807" s="70"/>
      <c r="H807" s="400"/>
      <c r="I807" s="239"/>
    </row>
    <row r="808" spans="6:9" x14ac:dyDescent="0.35">
      <c r="F808" s="33"/>
      <c r="G808" s="70"/>
      <c r="H808" s="400"/>
      <c r="I808" s="239"/>
    </row>
    <row r="809" spans="6:9" x14ac:dyDescent="0.35">
      <c r="F809" s="33"/>
      <c r="G809" s="70"/>
      <c r="H809" s="400"/>
      <c r="I809" s="239"/>
    </row>
    <row r="810" spans="6:9" x14ac:dyDescent="0.35">
      <c r="F810" s="33"/>
      <c r="G810" s="70"/>
      <c r="H810" s="400"/>
      <c r="I810" s="239"/>
    </row>
    <row r="811" spans="6:9" x14ac:dyDescent="0.35">
      <c r="F811" s="33"/>
      <c r="G811" s="70"/>
      <c r="H811" s="400"/>
      <c r="I811" s="239"/>
    </row>
    <row r="812" spans="6:9" x14ac:dyDescent="0.35">
      <c r="F812" s="33"/>
      <c r="G812" s="70"/>
      <c r="H812" s="400"/>
      <c r="I812" s="239"/>
    </row>
    <row r="813" spans="6:9" x14ac:dyDescent="0.35">
      <c r="F813" s="33"/>
      <c r="G813" s="70"/>
      <c r="H813" s="400"/>
      <c r="I813" s="239"/>
    </row>
    <row r="814" spans="6:9" x14ac:dyDescent="0.35">
      <c r="F814" s="33"/>
      <c r="G814" s="70"/>
      <c r="H814" s="400"/>
      <c r="I814" s="239"/>
    </row>
    <row r="815" spans="6:9" x14ac:dyDescent="0.35">
      <c r="F815" s="33"/>
      <c r="G815" s="70"/>
      <c r="H815" s="400"/>
      <c r="I815" s="239"/>
    </row>
    <row r="816" spans="6:9" x14ac:dyDescent="0.35">
      <c r="F816" s="33"/>
      <c r="G816" s="70"/>
      <c r="H816" s="400"/>
      <c r="I816" s="239"/>
    </row>
    <row r="817" spans="6:9" x14ac:dyDescent="0.35">
      <c r="F817" s="33"/>
      <c r="G817" s="70"/>
      <c r="H817" s="400"/>
      <c r="I817" s="239"/>
    </row>
    <row r="818" spans="6:9" x14ac:dyDescent="0.35">
      <c r="F818" s="33"/>
      <c r="G818" s="70"/>
      <c r="H818" s="400"/>
      <c r="I818" s="239"/>
    </row>
    <row r="819" spans="6:9" x14ac:dyDescent="0.35">
      <c r="F819" s="33"/>
      <c r="G819" s="70"/>
      <c r="H819" s="400"/>
      <c r="I819" s="239"/>
    </row>
    <row r="820" spans="6:9" x14ac:dyDescent="0.35">
      <c r="F820" s="33"/>
      <c r="G820" s="70"/>
      <c r="H820" s="400"/>
      <c r="I820" s="239"/>
    </row>
    <row r="821" spans="6:9" x14ac:dyDescent="0.35">
      <c r="F821" s="33"/>
      <c r="G821" s="70"/>
      <c r="H821" s="400"/>
      <c r="I821" s="239"/>
    </row>
    <row r="822" spans="6:9" x14ac:dyDescent="0.35">
      <c r="F822" s="33"/>
      <c r="G822" s="70"/>
      <c r="H822" s="400"/>
      <c r="I822" s="239"/>
    </row>
    <row r="823" spans="6:9" x14ac:dyDescent="0.35">
      <c r="F823" s="33"/>
      <c r="G823" s="70"/>
      <c r="H823" s="400"/>
      <c r="I823" s="239"/>
    </row>
    <row r="824" spans="6:9" x14ac:dyDescent="0.35">
      <c r="F824" s="33"/>
      <c r="G824" s="70"/>
      <c r="H824" s="400"/>
      <c r="I824" s="239"/>
    </row>
    <row r="825" spans="6:9" x14ac:dyDescent="0.35">
      <c r="F825" s="33"/>
      <c r="G825" s="70"/>
      <c r="H825" s="400"/>
      <c r="I825" s="239"/>
    </row>
    <row r="826" spans="6:9" x14ac:dyDescent="0.35">
      <c r="F826" s="33"/>
      <c r="G826" s="70"/>
      <c r="H826" s="400"/>
      <c r="I826" s="239"/>
    </row>
    <row r="827" spans="6:9" x14ac:dyDescent="0.35">
      <c r="F827" s="33"/>
      <c r="G827" s="70"/>
      <c r="H827" s="400"/>
      <c r="I827" s="239"/>
    </row>
    <row r="828" spans="6:9" x14ac:dyDescent="0.35">
      <c r="F828" s="33"/>
      <c r="G828" s="70"/>
      <c r="H828" s="400"/>
      <c r="I828" s="239"/>
    </row>
    <row r="829" spans="6:9" x14ac:dyDescent="0.35">
      <c r="F829" s="33"/>
      <c r="G829" s="70"/>
      <c r="H829" s="400"/>
      <c r="I829" s="239"/>
    </row>
    <row r="830" spans="6:9" x14ac:dyDescent="0.35">
      <c r="F830" s="33"/>
      <c r="G830" s="70"/>
      <c r="H830" s="400"/>
      <c r="I830" s="239"/>
    </row>
    <row r="831" spans="6:9" x14ac:dyDescent="0.35">
      <c r="F831" s="33"/>
      <c r="G831" s="70"/>
      <c r="H831" s="400"/>
      <c r="I831" s="239"/>
    </row>
    <row r="832" spans="6:9" x14ac:dyDescent="0.35">
      <c r="F832" s="33"/>
      <c r="G832" s="70"/>
      <c r="H832" s="400"/>
      <c r="I832" s="239"/>
    </row>
    <row r="833" spans="6:9" x14ac:dyDescent="0.35">
      <c r="F833" s="33"/>
      <c r="G833" s="70"/>
      <c r="H833" s="400"/>
      <c r="I833" s="239"/>
    </row>
    <row r="834" spans="6:9" x14ac:dyDescent="0.35">
      <c r="F834" s="33"/>
      <c r="G834" s="70"/>
      <c r="H834" s="400"/>
      <c r="I834" s="239"/>
    </row>
    <row r="835" spans="6:9" x14ac:dyDescent="0.35">
      <c r="F835" s="33"/>
      <c r="G835" s="70"/>
      <c r="H835" s="400"/>
      <c r="I835" s="239"/>
    </row>
    <row r="836" spans="6:9" x14ac:dyDescent="0.35">
      <c r="F836" s="33"/>
      <c r="G836" s="70"/>
      <c r="H836" s="400"/>
      <c r="I836" s="239"/>
    </row>
    <row r="837" spans="6:9" x14ac:dyDescent="0.35">
      <c r="F837" s="33"/>
      <c r="G837" s="70"/>
      <c r="H837" s="400"/>
      <c r="I837" s="239"/>
    </row>
    <row r="838" spans="6:9" x14ac:dyDescent="0.35">
      <c r="F838" s="33"/>
      <c r="G838" s="70"/>
      <c r="H838" s="400"/>
      <c r="I838" s="239"/>
    </row>
    <row r="839" spans="6:9" x14ac:dyDescent="0.35">
      <c r="F839" s="33"/>
      <c r="G839" s="70"/>
      <c r="H839" s="400"/>
      <c r="I839" s="239"/>
    </row>
    <row r="840" spans="6:9" x14ac:dyDescent="0.35">
      <c r="F840" s="33"/>
      <c r="G840" s="70"/>
      <c r="H840" s="400"/>
      <c r="I840" s="239"/>
    </row>
    <row r="841" spans="6:9" x14ac:dyDescent="0.35">
      <c r="F841" s="33"/>
      <c r="G841" s="70"/>
      <c r="H841" s="400"/>
      <c r="I841" s="239"/>
    </row>
    <row r="842" spans="6:9" x14ac:dyDescent="0.35">
      <c r="F842" s="33"/>
      <c r="G842" s="70"/>
      <c r="H842" s="400"/>
      <c r="I842" s="239"/>
    </row>
    <row r="843" spans="6:9" x14ac:dyDescent="0.35">
      <c r="F843" s="33"/>
      <c r="G843" s="70"/>
      <c r="H843" s="400"/>
      <c r="I843" s="239"/>
    </row>
    <row r="844" spans="6:9" x14ac:dyDescent="0.35">
      <c r="F844" s="33"/>
      <c r="G844" s="70"/>
      <c r="H844" s="400"/>
      <c r="I844" s="239"/>
    </row>
    <row r="845" spans="6:9" x14ac:dyDescent="0.35">
      <c r="F845" s="33"/>
      <c r="G845" s="70"/>
      <c r="H845" s="400"/>
      <c r="I845" s="239"/>
    </row>
    <row r="846" spans="6:9" x14ac:dyDescent="0.35">
      <c r="F846" s="33"/>
      <c r="G846" s="70"/>
      <c r="H846" s="400"/>
      <c r="I846" s="239"/>
    </row>
    <row r="847" spans="6:9" x14ac:dyDescent="0.35">
      <c r="F847" s="33"/>
      <c r="G847" s="70"/>
      <c r="H847" s="400"/>
      <c r="I847" s="239"/>
    </row>
    <row r="848" spans="6:9" x14ac:dyDescent="0.35">
      <c r="F848" s="33"/>
      <c r="G848" s="70"/>
      <c r="H848" s="400"/>
      <c r="I848" s="239"/>
    </row>
    <row r="849" spans="6:9" x14ac:dyDescent="0.35">
      <c r="F849" s="33"/>
      <c r="G849" s="70"/>
      <c r="H849" s="400"/>
      <c r="I849" s="239"/>
    </row>
    <row r="850" spans="6:9" x14ac:dyDescent="0.35">
      <c r="F850" s="33"/>
      <c r="G850" s="70"/>
      <c r="H850" s="400"/>
      <c r="I850" s="239"/>
    </row>
    <row r="851" spans="6:9" x14ac:dyDescent="0.35">
      <c r="F851" s="33"/>
      <c r="G851" s="70"/>
      <c r="H851" s="400"/>
      <c r="I851" s="239"/>
    </row>
    <row r="852" spans="6:9" x14ac:dyDescent="0.35">
      <c r="F852" s="33"/>
      <c r="G852" s="70"/>
      <c r="H852" s="400"/>
      <c r="I852" s="239"/>
    </row>
    <row r="853" spans="6:9" x14ac:dyDescent="0.35">
      <c r="F853" s="33"/>
      <c r="G853" s="70"/>
      <c r="H853" s="400"/>
      <c r="I853" s="239"/>
    </row>
    <row r="854" spans="6:9" x14ac:dyDescent="0.35">
      <c r="F854" s="33"/>
      <c r="G854" s="70"/>
      <c r="H854" s="400"/>
      <c r="I854" s="239"/>
    </row>
    <row r="855" spans="6:9" x14ac:dyDescent="0.35">
      <c r="F855" s="33"/>
      <c r="G855" s="70"/>
      <c r="H855" s="400"/>
      <c r="I855" s="239"/>
    </row>
    <row r="856" spans="6:9" x14ac:dyDescent="0.35">
      <c r="F856" s="33"/>
      <c r="G856" s="70"/>
      <c r="H856" s="400"/>
      <c r="I856" s="239"/>
    </row>
    <row r="857" spans="6:9" x14ac:dyDescent="0.35">
      <c r="F857" s="33"/>
      <c r="G857" s="70"/>
      <c r="H857" s="400"/>
      <c r="I857" s="239"/>
    </row>
    <row r="858" spans="6:9" x14ac:dyDescent="0.35">
      <c r="F858" s="33"/>
      <c r="G858" s="70"/>
      <c r="H858" s="400"/>
      <c r="I858" s="239"/>
    </row>
    <row r="859" spans="6:9" x14ac:dyDescent="0.35">
      <c r="F859" s="33"/>
      <c r="G859" s="70"/>
      <c r="H859" s="400"/>
      <c r="I859" s="239"/>
    </row>
    <row r="860" spans="6:9" x14ac:dyDescent="0.35">
      <c r="F860" s="33"/>
      <c r="G860" s="70"/>
      <c r="H860" s="400"/>
      <c r="I860" s="239"/>
    </row>
    <row r="861" spans="6:9" x14ac:dyDescent="0.35">
      <c r="F861" s="33"/>
      <c r="G861" s="70"/>
      <c r="H861" s="400"/>
      <c r="I861" s="239"/>
    </row>
    <row r="862" spans="6:9" x14ac:dyDescent="0.35">
      <c r="F862" s="33"/>
      <c r="G862" s="70"/>
      <c r="H862" s="400"/>
      <c r="I862" s="239"/>
    </row>
    <row r="863" spans="6:9" x14ac:dyDescent="0.35">
      <c r="F863" s="33"/>
      <c r="G863" s="70"/>
      <c r="H863" s="400"/>
      <c r="I863" s="239"/>
    </row>
    <row r="864" spans="6:9" x14ac:dyDescent="0.35">
      <c r="F864" s="33"/>
      <c r="G864" s="70"/>
      <c r="H864" s="400"/>
      <c r="I864" s="239"/>
    </row>
    <row r="865" spans="6:9" x14ac:dyDescent="0.35">
      <c r="F865" s="33"/>
      <c r="G865" s="70"/>
      <c r="H865" s="400"/>
      <c r="I865" s="239"/>
    </row>
    <row r="866" spans="6:9" x14ac:dyDescent="0.35">
      <c r="F866" s="33"/>
      <c r="G866" s="70"/>
      <c r="H866" s="400"/>
      <c r="I866" s="239"/>
    </row>
    <row r="867" spans="6:9" x14ac:dyDescent="0.35">
      <c r="F867" s="33"/>
      <c r="G867" s="70"/>
      <c r="H867" s="400"/>
      <c r="I867" s="239"/>
    </row>
    <row r="868" spans="6:9" x14ac:dyDescent="0.35">
      <c r="F868" s="33"/>
      <c r="G868" s="70"/>
      <c r="H868" s="400"/>
      <c r="I868" s="239"/>
    </row>
    <row r="869" spans="6:9" x14ac:dyDescent="0.35">
      <c r="F869" s="33"/>
      <c r="G869" s="70"/>
      <c r="H869" s="400"/>
      <c r="I869" s="239"/>
    </row>
    <row r="870" spans="6:9" x14ac:dyDescent="0.35">
      <c r="F870" s="33"/>
      <c r="G870" s="70"/>
      <c r="H870" s="400"/>
      <c r="I870" s="239"/>
    </row>
    <row r="871" spans="6:9" x14ac:dyDescent="0.35">
      <c r="F871" s="33"/>
      <c r="G871" s="70"/>
      <c r="H871" s="400"/>
      <c r="I871" s="239"/>
    </row>
    <row r="872" spans="6:9" x14ac:dyDescent="0.35">
      <c r="F872" s="33"/>
      <c r="G872" s="70"/>
      <c r="H872" s="400"/>
      <c r="I872" s="239"/>
    </row>
    <row r="873" spans="6:9" x14ac:dyDescent="0.35">
      <c r="F873" s="33"/>
      <c r="G873" s="70"/>
      <c r="H873" s="400"/>
      <c r="I873" s="239"/>
    </row>
    <row r="874" spans="6:9" x14ac:dyDescent="0.35">
      <c r="F874" s="33"/>
      <c r="G874" s="70"/>
      <c r="H874" s="400"/>
      <c r="I874" s="239"/>
    </row>
    <row r="875" spans="6:9" x14ac:dyDescent="0.35">
      <c r="F875" s="33"/>
      <c r="G875" s="70"/>
      <c r="H875" s="400"/>
      <c r="I875" s="239"/>
    </row>
    <row r="876" spans="6:9" x14ac:dyDescent="0.35">
      <c r="F876" s="33"/>
      <c r="G876" s="70"/>
      <c r="H876" s="400"/>
      <c r="I876" s="239"/>
    </row>
    <row r="877" spans="6:9" x14ac:dyDescent="0.35">
      <c r="F877" s="33"/>
      <c r="G877" s="70"/>
      <c r="H877" s="400"/>
      <c r="I877" s="239"/>
    </row>
    <row r="878" spans="6:9" x14ac:dyDescent="0.35">
      <c r="F878" s="33"/>
      <c r="G878" s="70"/>
      <c r="H878" s="400"/>
      <c r="I878" s="239"/>
    </row>
    <row r="879" spans="6:9" x14ac:dyDescent="0.35">
      <c r="F879" s="33"/>
      <c r="G879" s="70"/>
      <c r="H879" s="400"/>
      <c r="I879" s="239"/>
    </row>
    <row r="880" spans="6:9" x14ac:dyDescent="0.35">
      <c r="F880" s="33"/>
      <c r="G880" s="70"/>
      <c r="H880" s="400"/>
      <c r="I880" s="239"/>
    </row>
    <row r="881" spans="6:9" x14ac:dyDescent="0.35">
      <c r="F881" s="33"/>
      <c r="G881" s="70"/>
      <c r="H881" s="400"/>
      <c r="I881" s="239"/>
    </row>
    <row r="882" spans="6:9" x14ac:dyDescent="0.35">
      <c r="F882" s="33"/>
      <c r="G882" s="70"/>
      <c r="H882" s="400"/>
      <c r="I882" s="239"/>
    </row>
    <row r="883" spans="6:9" x14ac:dyDescent="0.35">
      <c r="F883" s="33"/>
      <c r="G883" s="70"/>
      <c r="H883" s="400"/>
      <c r="I883" s="239"/>
    </row>
    <row r="884" spans="6:9" x14ac:dyDescent="0.35">
      <c r="F884" s="33"/>
      <c r="G884" s="70"/>
      <c r="H884" s="400"/>
      <c r="I884" s="239"/>
    </row>
    <row r="885" spans="6:9" x14ac:dyDescent="0.35">
      <c r="F885" s="33"/>
      <c r="G885" s="70"/>
      <c r="H885" s="400"/>
      <c r="I885" s="239"/>
    </row>
    <row r="886" spans="6:9" x14ac:dyDescent="0.35">
      <c r="F886" s="33"/>
      <c r="G886" s="70"/>
      <c r="H886" s="400"/>
      <c r="I886" s="239"/>
    </row>
    <row r="887" spans="6:9" x14ac:dyDescent="0.35">
      <c r="F887" s="33"/>
      <c r="G887" s="70"/>
      <c r="H887" s="400"/>
      <c r="I887" s="239"/>
    </row>
    <row r="888" spans="6:9" x14ac:dyDescent="0.35">
      <c r="F888" s="33"/>
      <c r="G888" s="70"/>
      <c r="H888" s="400"/>
      <c r="I888" s="239"/>
    </row>
    <row r="889" spans="6:9" x14ac:dyDescent="0.35">
      <c r="F889" s="33"/>
      <c r="G889" s="70"/>
      <c r="H889" s="400"/>
      <c r="I889" s="239"/>
    </row>
    <row r="890" spans="6:9" x14ac:dyDescent="0.35">
      <c r="F890" s="33"/>
      <c r="G890" s="70"/>
      <c r="H890" s="400"/>
      <c r="I890" s="239"/>
    </row>
    <row r="891" spans="6:9" x14ac:dyDescent="0.35">
      <c r="F891" s="33"/>
      <c r="G891" s="70"/>
      <c r="H891" s="400"/>
      <c r="I891" s="239"/>
    </row>
    <row r="892" spans="6:9" x14ac:dyDescent="0.35">
      <c r="F892" s="33"/>
      <c r="G892" s="70"/>
      <c r="H892" s="400"/>
      <c r="I892" s="239"/>
    </row>
    <row r="893" spans="6:9" x14ac:dyDescent="0.35">
      <c r="F893" s="33"/>
      <c r="G893" s="70"/>
      <c r="H893" s="400"/>
      <c r="I893" s="239"/>
    </row>
    <row r="894" spans="6:9" x14ac:dyDescent="0.35">
      <c r="F894" s="33"/>
      <c r="G894" s="70"/>
      <c r="H894" s="400"/>
      <c r="I894" s="239"/>
    </row>
    <row r="895" spans="6:9" x14ac:dyDescent="0.35">
      <c r="F895" s="33"/>
      <c r="G895" s="70"/>
      <c r="H895" s="400"/>
      <c r="I895" s="239"/>
    </row>
    <row r="896" spans="6:9" x14ac:dyDescent="0.35">
      <c r="F896" s="33"/>
      <c r="G896" s="70"/>
      <c r="H896" s="400"/>
      <c r="I896" s="239"/>
    </row>
    <row r="897" spans="6:9" x14ac:dyDescent="0.35">
      <c r="F897" s="33"/>
      <c r="G897" s="70"/>
      <c r="H897" s="400"/>
      <c r="I897" s="239"/>
    </row>
    <row r="898" spans="6:9" x14ac:dyDescent="0.35">
      <c r="F898" s="33"/>
      <c r="G898" s="70"/>
      <c r="H898" s="400"/>
      <c r="I898" s="239"/>
    </row>
    <row r="899" spans="6:9" x14ac:dyDescent="0.35">
      <c r="F899" s="33"/>
      <c r="G899" s="70"/>
      <c r="H899" s="400"/>
      <c r="I899" s="239"/>
    </row>
    <row r="900" spans="6:9" x14ac:dyDescent="0.35">
      <c r="F900" s="33"/>
      <c r="G900" s="70"/>
      <c r="H900" s="400"/>
      <c r="I900" s="239"/>
    </row>
    <row r="901" spans="6:9" x14ac:dyDescent="0.35">
      <c r="F901" s="33"/>
      <c r="G901" s="70"/>
      <c r="H901" s="400"/>
      <c r="I901" s="239"/>
    </row>
    <row r="902" spans="6:9" x14ac:dyDescent="0.35">
      <c r="F902" s="33"/>
      <c r="G902" s="70"/>
      <c r="H902" s="400"/>
      <c r="I902" s="239"/>
    </row>
    <row r="903" spans="6:9" x14ac:dyDescent="0.35">
      <c r="F903" s="33"/>
      <c r="G903" s="70"/>
      <c r="H903" s="400"/>
      <c r="I903" s="239"/>
    </row>
    <row r="904" spans="6:9" x14ac:dyDescent="0.35">
      <c r="F904" s="33"/>
      <c r="G904" s="70"/>
      <c r="H904" s="400"/>
      <c r="I904" s="239"/>
    </row>
    <row r="905" spans="6:9" x14ac:dyDescent="0.35">
      <c r="F905" s="33"/>
      <c r="G905" s="70"/>
      <c r="H905" s="400"/>
      <c r="I905" s="239"/>
    </row>
    <row r="906" spans="6:9" x14ac:dyDescent="0.35">
      <c r="F906" s="33"/>
      <c r="G906" s="70"/>
      <c r="H906" s="400"/>
      <c r="I906" s="239"/>
    </row>
    <row r="907" spans="6:9" x14ac:dyDescent="0.35">
      <c r="F907" s="33"/>
      <c r="G907" s="70"/>
      <c r="H907" s="400"/>
      <c r="I907" s="239"/>
    </row>
    <row r="908" spans="6:9" x14ac:dyDescent="0.35">
      <c r="F908" s="33"/>
      <c r="G908" s="70"/>
      <c r="H908" s="400"/>
      <c r="I908" s="239"/>
    </row>
    <row r="909" spans="6:9" x14ac:dyDescent="0.35">
      <c r="F909" s="33"/>
      <c r="G909" s="70"/>
      <c r="H909" s="400"/>
      <c r="I909" s="239"/>
    </row>
    <row r="910" spans="6:9" x14ac:dyDescent="0.35">
      <c r="F910" s="33"/>
      <c r="G910" s="70"/>
      <c r="H910" s="400"/>
      <c r="I910" s="239"/>
    </row>
    <row r="911" spans="6:9" x14ac:dyDescent="0.35">
      <c r="F911" s="33"/>
      <c r="G911" s="70"/>
      <c r="H911" s="400"/>
      <c r="I911" s="239"/>
    </row>
    <row r="912" spans="6:9" x14ac:dyDescent="0.35">
      <c r="F912" s="33"/>
      <c r="G912" s="70"/>
      <c r="H912" s="400"/>
      <c r="I912" s="239"/>
    </row>
    <row r="913" spans="6:9" x14ac:dyDescent="0.35">
      <c r="F913" s="33"/>
      <c r="G913" s="70"/>
      <c r="H913" s="400"/>
      <c r="I913" s="239"/>
    </row>
    <row r="914" spans="6:9" x14ac:dyDescent="0.35">
      <c r="F914" s="33"/>
      <c r="G914" s="70"/>
      <c r="H914" s="400"/>
      <c r="I914" s="239"/>
    </row>
    <row r="915" spans="6:9" x14ac:dyDescent="0.35">
      <c r="F915" s="33"/>
      <c r="G915" s="70"/>
      <c r="H915" s="400"/>
      <c r="I915" s="239"/>
    </row>
    <row r="916" spans="6:9" x14ac:dyDescent="0.35">
      <c r="F916" s="33"/>
      <c r="G916" s="70"/>
      <c r="H916" s="400"/>
      <c r="I916" s="239"/>
    </row>
    <row r="917" spans="6:9" x14ac:dyDescent="0.35">
      <c r="F917" s="33"/>
      <c r="G917" s="70"/>
      <c r="H917" s="400"/>
      <c r="I917" s="239"/>
    </row>
    <row r="918" spans="6:9" x14ac:dyDescent="0.35">
      <c r="F918" s="33"/>
      <c r="G918" s="70"/>
      <c r="H918" s="400"/>
      <c r="I918" s="239"/>
    </row>
    <row r="919" spans="6:9" x14ac:dyDescent="0.35">
      <c r="F919" s="33"/>
      <c r="G919" s="70"/>
      <c r="H919" s="400"/>
      <c r="I919" s="239"/>
    </row>
    <row r="920" spans="6:9" x14ac:dyDescent="0.35">
      <c r="F920" s="33"/>
      <c r="G920" s="70"/>
      <c r="H920" s="400"/>
      <c r="I920" s="239"/>
    </row>
    <row r="921" spans="6:9" x14ac:dyDescent="0.35">
      <c r="F921" s="33"/>
      <c r="G921" s="70"/>
      <c r="H921" s="400"/>
      <c r="I921" s="239"/>
    </row>
    <row r="922" spans="6:9" x14ac:dyDescent="0.35">
      <c r="F922" s="33"/>
      <c r="G922" s="70"/>
      <c r="H922" s="400"/>
      <c r="I922" s="239"/>
    </row>
    <row r="923" spans="6:9" x14ac:dyDescent="0.35">
      <c r="F923" s="33"/>
      <c r="G923" s="70"/>
      <c r="H923" s="400"/>
      <c r="I923" s="239"/>
    </row>
    <row r="924" spans="6:9" x14ac:dyDescent="0.35">
      <c r="F924" s="33"/>
      <c r="G924" s="70"/>
      <c r="H924" s="400"/>
      <c r="I924" s="239"/>
    </row>
    <row r="925" spans="6:9" x14ac:dyDescent="0.35">
      <c r="F925" s="33"/>
      <c r="G925" s="70"/>
      <c r="H925" s="400"/>
      <c r="I925" s="239"/>
    </row>
    <row r="926" spans="6:9" x14ac:dyDescent="0.35">
      <c r="F926" s="33"/>
      <c r="G926" s="70"/>
      <c r="H926" s="400"/>
      <c r="I926" s="239"/>
    </row>
    <row r="927" spans="6:9" x14ac:dyDescent="0.35">
      <c r="F927" s="33"/>
      <c r="G927" s="70"/>
      <c r="H927" s="400"/>
      <c r="I927" s="239"/>
    </row>
    <row r="928" spans="6:9" x14ac:dyDescent="0.35">
      <c r="F928" s="33"/>
      <c r="G928" s="70"/>
      <c r="H928" s="400"/>
      <c r="I928" s="239"/>
    </row>
    <row r="929" spans="6:9" x14ac:dyDescent="0.35">
      <c r="F929" s="33"/>
      <c r="G929" s="70"/>
      <c r="H929" s="400"/>
      <c r="I929" s="239"/>
    </row>
    <row r="930" spans="6:9" x14ac:dyDescent="0.35">
      <c r="F930" s="33"/>
      <c r="G930" s="70"/>
      <c r="H930" s="400"/>
      <c r="I930" s="239"/>
    </row>
    <row r="931" spans="6:9" x14ac:dyDescent="0.35">
      <c r="F931" s="33"/>
      <c r="G931" s="70"/>
      <c r="H931" s="400"/>
      <c r="I931" s="239"/>
    </row>
    <row r="932" spans="6:9" x14ac:dyDescent="0.35">
      <c r="F932" s="33"/>
      <c r="G932" s="70"/>
      <c r="H932" s="400"/>
      <c r="I932" s="239"/>
    </row>
    <row r="933" spans="6:9" x14ac:dyDescent="0.35">
      <c r="F933" s="33"/>
      <c r="G933" s="70"/>
      <c r="H933" s="400"/>
      <c r="I933" s="239"/>
    </row>
    <row r="934" spans="6:9" x14ac:dyDescent="0.35">
      <c r="F934" s="33"/>
      <c r="G934" s="70"/>
      <c r="H934" s="400"/>
      <c r="I934" s="239"/>
    </row>
    <row r="935" spans="6:9" x14ac:dyDescent="0.35">
      <c r="F935" s="33"/>
      <c r="G935" s="70"/>
      <c r="H935" s="400"/>
      <c r="I935" s="239"/>
    </row>
    <row r="936" spans="6:9" x14ac:dyDescent="0.35">
      <c r="F936" s="33"/>
      <c r="G936" s="70"/>
      <c r="H936" s="400"/>
      <c r="I936" s="239"/>
    </row>
    <row r="937" spans="6:9" x14ac:dyDescent="0.35">
      <c r="F937" s="33"/>
      <c r="G937" s="70"/>
      <c r="H937" s="400"/>
      <c r="I937" s="239"/>
    </row>
    <row r="938" spans="6:9" x14ac:dyDescent="0.35">
      <c r="F938" s="33"/>
      <c r="G938" s="70"/>
      <c r="H938" s="400"/>
      <c r="I938" s="239"/>
    </row>
    <row r="939" spans="6:9" x14ac:dyDescent="0.35">
      <c r="F939" s="33"/>
      <c r="G939" s="70"/>
      <c r="H939" s="400"/>
      <c r="I939" s="239"/>
    </row>
    <row r="940" spans="6:9" x14ac:dyDescent="0.35">
      <c r="F940" s="33"/>
      <c r="G940" s="70"/>
      <c r="H940" s="400"/>
      <c r="I940" s="239"/>
    </row>
    <row r="941" spans="6:9" x14ac:dyDescent="0.35">
      <c r="F941" s="33"/>
      <c r="G941" s="70"/>
      <c r="H941" s="400"/>
      <c r="I941" s="239"/>
    </row>
    <row r="942" spans="6:9" x14ac:dyDescent="0.35">
      <c r="F942" s="33"/>
      <c r="G942" s="70"/>
      <c r="H942" s="400"/>
      <c r="I942" s="239"/>
    </row>
    <row r="943" spans="6:9" x14ac:dyDescent="0.35">
      <c r="F943" s="33"/>
      <c r="G943" s="70"/>
      <c r="H943" s="400"/>
      <c r="I943" s="239"/>
    </row>
    <row r="944" spans="6:9" x14ac:dyDescent="0.35">
      <c r="F944" s="33"/>
      <c r="G944" s="70"/>
      <c r="H944" s="400"/>
      <c r="I944" s="239"/>
    </row>
    <row r="945" spans="6:9" x14ac:dyDescent="0.35">
      <c r="F945" s="33"/>
      <c r="G945" s="70"/>
      <c r="H945" s="400"/>
      <c r="I945" s="239"/>
    </row>
    <row r="946" spans="6:9" x14ac:dyDescent="0.35">
      <c r="F946" s="33"/>
      <c r="G946" s="70"/>
      <c r="H946" s="400"/>
      <c r="I946" s="239"/>
    </row>
    <row r="947" spans="6:9" x14ac:dyDescent="0.35">
      <c r="F947" s="33"/>
      <c r="G947" s="70"/>
      <c r="H947" s="400"/>
      <c r="I947" s="239"/>
    </row>
    <row r="948" spans="6:9" x14ac:dyDescent="0.35">
      <c r="F948" s="33"/>
      <c r="G948" s="70"/>
      <c r="H948" s="400"/>
      <c r="I948" s="239"/>
    </row>
    <row r="949" spans="6:9" x14ac:dyDescent="0.35">
      <c r="F949" s="33"/>
      <c r="G949" s="70"/>
      <c r="H949" s="400"/>
      <c r="I949" s="239"/>
    </row>
    <row r="950" spans="6:9" x14ac:dyDescent="0.35">
      <c r="F950" s="33"/>
      <c r="G950" s="70"/>
      <c r="H950" s="400"/>
      <c r="I950" s="239"/>
    </row>
    <row r="951" spans="6:9" x14ac:dyDescent="0.35">
      <c r="F951" s="33"/>
      <c r="G951" s="70"/>
      <c r="H951" s="400"/>
      <c r="I951" s="239"/>
    </row>
    <row r="952" spans="6:9" x14ac:dyDescent="0.35">
      <c r="F952" s="33"/>
      <c r="G952" s="70"/>
      <c r="H952" s="400"/>
      <c r="I952" s="239"/>
    </row>
    <row r="953" spans="6:9" x14ac:dyDescent="0.35">
      <c r="F953" s="33"/>
      <c r="G953" s="70"/>
      <c r="H953" s="400"/>
      <c r="I953" s="239"/>
    </row>
    <row r="954" spans="6:9" x14ac:dyDescent="0.35">
      <c r="F954" s="33"/>
      <c r="G954" s="70"/>
      <c r="H954" s="400"/>
      <c r="I954" s="239"/>
    </row>
    <row r="955" spans="6:9" x14ac:dyDescent="0.35">
      <c r="F955" s="33"/>
      <c r="G955" s="70"/>
      <c r="H955" s="400"/>
      <c r="I955" s="239"/>
    </row>
    <row r="956" spans="6:9" x14ac:dyDescent="0.35">
      <c r="F956" s="33"/>
      <c r="G956" s="70"/>
      <c r="H956" s="400"/>
      <c r="I956" s="239"/>
    </row>
    <row r="957" spans="6:9" x14ac:dyDescent="0.35">
      <c r="F957" s="33"/>
      <c r="G957" s="70"/>
      <c r="H957" s="400"/>
      <c r="I957" s="239"/>
    </row>
    <row r="958" spans="6:9" x14ac:dyDescent="0.35">
      <c r="F958" s="33"/>
      <c r="G958" s="70"/>
      <c r="H958" s="400"/>
      <c r="I958" s="239"/>
    </row>
    <row r="959" spans="6:9" x14ac:dyDescent="0.35">
      <c r="F959" s="33"/>
      <c r="G959" s="70"/>
      <c r="H959" s="400"/>
      <c r="I959" s="239"/>
    </row>
    <row r="960" spans="6:9" x14ac:dyDescent="0.35">
      <c r="F960" s="33"/>
      <c r="G960" s="70"/>
      <c r="H960" s="400"/>
      <c r="I960" s="239"/>
    </row>
    <row r="961" spans="6:9" x14ac:dyDescent="0.35">
      <c r="F961" s="33"/>
      <c r="G961" s="70"/>
      <c r="H961" s="400"/>
      <c r="I961" s="239"/>
    </row>
    <row r="962" spans="6:9" x14ac:dyDescent="0.35">
      <c r="F962" s="33"/>
      <c r="G962" s="70"/>
      <c r="H962" s="400"/>
      <c r="I962" s="239"/>
    </row>
    <row r="963" spans="6:9" x14ac:dyDescent="0.35">
      <c r="F963" s="33"/>
      <c r="G963" s="70"/>
      <c r="H963" s="400"/>
      <c r="I963" s="239"/>
    </row>
    <row r="964" spans="6:9" x14ac:dyDescent="0.35">
      <c r="F964" s="33"/>
      <c r="G964" s="70"/>
      <c r="H964" s="400"/>
      <c r="I964" s="239"/>
    </row>
    <row r="965" spans="6:9" x14ac:dyDescent="0.35">
      <c r="F965" s="33"/>
      <c r="G965" s="70"/>
      <c r="H965" s="400"/>
      <c r="I965" s="239"/>
    </row>
    <row r="966" spans="6:9" x14ac:dyDescent="0.35">
      <c r="F966" s="33"/>
      <c r="G966" s="70"/>
      <c r="H966" s="400"/>
      <c r="I966" s="239"/>
    </row>
    <row r="967" spans="6:9" x14ac:dyDescent="0.35">
      <c r="F967" s="33"/>
      <c r="G967" s="70"/>
      <c r="H967" s="400"/>
      <c r="I967" s="239"/>
    </row>
    <row r="968" spans="6:9" x14ac:dyDescent="0.35">
      <c r="F968" s="33"/>
      <c r="G968" s="70"/>
      <c r="H968" s="400"/>
      <c r="I968" s="239"/>
    </row>
    <row r="969" spans="6:9" x14ac:dyDescent="0.35">
      <c r="F969" s="33"/>
      <c r="G969" s="70"/>
      <c r="H969" s="400"/>
      <c r="I969" s="239"/>
    </row>
    <row r="970" spans="6:9" x14ac:dyDescent="0.35">
      <c r="F970" s="33"/>
      <c r="G970" s="70"/>
      <c r="H970" s="400"/>
      <c r="I970" s="239"/>
    </row>
    <row r="971" spans="6:9" x14ac:dyDescent="0.35">
      <c r="F971" s="33"/>
      <c r="G971" s="70"/>
      <c r="H971" s="400"/>
      <c r="I971" s="239"/>
    </row>
    <row r="972" spans="6:9" x14ac:dyDescent="0.35">
      <c r="F972" s="33"/>
      <c r="G972" s="70"/>
      <c r="H972" s="400"/>
      <c r="I972" s="239"/>
    </row>
    <row r="973" spans="6:9" x14ac:dyDescent="0.35">
      <c r="F973" s="33"/>
      <c r="G973" s="70"/>
      <c r="H973" s="400"/>
      <c r="I973" s="239"/>
    </row>
    <row r="974" spans="6:9" x14ac:dyDescent="0.35">
      <c r="F974" s="33"/>
      <c r="G974" s="70"/>
      <c r="H974" s="400"/>
      <c r="I974" s="239"/>
    </row>
    <row r="975" spans="6:9" x14ac:dyDescent="0.35">
      <c r="F975" s="33"/>
      <c r="G975" s="70"/>
      <c r="H975" s="400"/>
      <c r="I975" s="239"/>
    </row>
    <row r="976" spans="6:9" x14ac:dyDescent="0.35">
      <c r="F976" s="33"/>
      <c r="G976" s="70"/>
      <c r="H976" s="400"/>
      <c r="I976" s="239"/>
    </row>
    <row r="977" spans="6:9" x14ac:dyDescent="0.35">
      <c r="F977" s="33"/>
      <c r="G977" s="70"/>
      <c r="H977" s="400"/>
      <c r="I977" s="239"/>
    </row>
    <row r="978" spans="6:9" x14ac:dyDescent="0.35">
      <c r="F978" s="33"/>
      <c r="G978" s="70"/>
      <c r="H978" s="400"/>
      <c r="I978" s="239"/>
    </row>
    <row r="979" spans="6:9" x14ac:dyDescent="0.35">
      <c r="F979" s="33"/>
      <c r="G979" s="70"/>
      <c r="H979" s="400"/>
      <c r="I979" s="239"/>
    </row>
    <row r="980" spans="6:9" x14ac:dyDescent="0.35">
      <c r="F980" s="33"/>
      <c r="G980" s="70"/>
      <c r="H980" s="400"/>
      <c r="I980" s="239"/>
    </row>
    <row r="981" spans="6:9" x14ac:dyDescent="0.35">
      <c r="F981" s="33"/>
      <c r="G981" s="70"/>
      <c r="H981" s="400"/>
      <c r="I981" s="239"/>
    </row>
    <row r="982" spans="6:9" x14ac:dyDescent="0.35">
      <c r="F982" s="33"/>
      <c r="G982" s="70"/>
      <c r="H982" s="400"/>
      <c r="I982" s="239"/>
    </row>
    <row r="983" spans="6:9" x14ac:dyDescent="0.35">
      <c r="F983" s="33"/>
      <c r="G983" s="70"/>
      <c r="H983" s="400"/>
      <c r="I983" s="239"/>
    </row>
    <row r="984" spans="6:9" x14ac:dyDescent="0.35">
      <c r="F984" s="33"/>
      <c r="G984" s="70"/>
      <c r="H984" s="400"/>
      <c r="I984" s="239"/>
    </row>
    <row r="985" spans="6:9" x14ac:dyDescent="0.35">
      <c r="F985" s="33"/>
      <c r="G985" s="70"/>
      <c r="H985" s="400"/>
      <c r="I985" s="239"/>
    </row>
    <row r="986" spans="6:9" x14ac:dyDescent="0.35">
      <c r="F986" s="33"/>
      <c r="G986" s="70"/>
      <c r="H986" s="400"/>
      <c r="I986" s="239"/>
    </row>
    <row r="987" spans="6:9" x14ac:dyDescent="0.35">
      <c r="F987" s="33"/>
      <c r="G987" s="70"/>
      <c r="H987" s="400"/>
      <c r="I987" s="239"/>
    </row>
    <row r="988" spans="6:9" x14ac:dyDescent="0.35">
      <c r="F988" s="33"/>
      <c r="G988" s="70"/>
      <c r="H988" s="400"/>
      <c r="I988" s="239"/>
    </row>
    <row r="989" spans="6:9" x14ac:dyDescent="0.35">
      <c r="F989" s="33"/>
      <c r="G989" s="70"/>
      <c r="H989" s="400"/>
      <c r="I989" s="239"/>
    </row>
    <row r="990" spans="6:9" x14ac:dyDescent="0.35">
      <c r="F990" s="33"/>
      <c r="G990" s="70"/>
      <c r="H990" s="400"/>
      <c r="I990" s="239"/>
    </row>
    <row r="991" spans="6:9" x14ac:dyDescent="0.35">
      <c r="F991" s="33"/>
      <c r="G991" s="70"/>
      <c r="H991" s="400"/>
      <c r="I991" s="239"/>
    </row>
    <row r="992" spans="6:9" x14ac:dyDescent="0.35">
      <c r="F992" s="33"/>
      <c r="G992" s="70"/>
      <c r="H992" s="400"/>
      <c r="I992" s="239"/>
    </row>
    <row r="993" spans="6:9" x14ac:dyDescent="0.35">
      <c r="F993" s="33"/>
      <c r="G993" s="70"/>
      <c r="H993" s="400"/>
      <c r="I993" s="239"/>
    </row>
    <row r="994" spans="6:9" x14ac:dyDescent="0.35">
      <c r="F994" s="33"/>
      <c r="G994" s="70"/>
      <c r="H994" s="400"/>
      <c r="I994" s="239"/>
    </row>
    <row r="995" spans="6:9" x14ac:dyDescent="0.35">
      <c r="F995" s="33"/>
      <c r="G995" s="70"/>
      <c r="H995" s="400"/>
      <c r="I995" s="239"/>
    </row>
    <row r="996" spans="6:9" x14ac:dyDescent="0.35">
      <c r="F996" s="33"/>
      <c r="G996" s="70"/>
      <c r="H996" s="400"/>
      <c r="I996" s="239"/>
    </row>
    <row r="997" spans="6:9" x14ac:dyDescent="0.35">
      <c r="F997" s="33"/>
      <c r="G997" s="70"/>
      <c r="H997" s="400"/>
      <c r="I997" s="239"/>
    </row>
    <row r="998" spans="6:9" x14ac:dyDescent="0.35">
      <c r="F998" s="33"/>
      <c r="G998" s="70"/>
      <c r="H998" s="400"/>
      <c r="I998" s="239"/>
    </row>
    <row r="999" spans="6:9" x14ac:dyDescent="0.35">
      <c r="F999" s="33"/>
      <c r="G999" s="70"/>
      <c r="H999" s="400"/>
      <c r="I999" s="239"/>
    </row>
    <row r="1000" spans="6:9" x14ac:dyDescent="0.35">
      <c r="F1000" s="33"/>
      <c r="G1000" s="70"/>
      <c r="H1000" s="400"/>
      <c r="I1000" s="239"/>
    </row>
    <row r="1001" spans="6:9" x14ac:dyDescent="0.35">
      <c r="F1001" s="33"/>
      <c r="G1001" s="70"/>
      <c r="H1001" s="400"/>
      <c r="I1001" s="239"/>
    </row>
    <row r="1002" spans="6:9" x14ac:dyDescent="0.35">
      <c r="F1002" s="33"/>
      <c r="G1002" s="70"/>
      <c r="H1002" s="400"/>
      <c r="I1002" s="239"/>
    </row>
    <row r="1003" spans="6:9" x14ac:dyDescent="0.35">
      <c r="F1003" s="33"/>
      <c r="G1003" s="70"/>
      <c r="H1003" s="400"/>
      <c r="I1003" s="239"/>
    </row>
    <row r="1004" spans="6:9" x14ac:dyDescent="0.35">
      <c r="F1004" s="33"/>
      <c r="G1004" s="70"/>
      <c r="H1004" s="400"/>
      <c r="I1004" s="239"/>
    </row>
    <row r="1005" spans="6:9" x14ac:dyDescent="0.35">
      <c r="F1005" s="33"/>
      <c r="G1005" s="70"/>
      <c r="H1005" s="400"/>
      <c r="I1005" s="239"/>
    </row>
    <row r="1006" spans="6:9" x14ac:dyDescent="0.35">
      <c r="F1006" s="33"/>
      <c r="G1006" s="70"/>
      <c r="H1006" s="400"/>
      <c r="I1006" s="239"/>
    </row>
    <row r="1007" spans="6:9" x14ac:dyDescent="0.35">
      <c r="F1007" s="33"/>
      <c r="G1007" s="70"/>
      <c r="H1007" s="400"/>
      <c r="I1007" s="239"/>
    </row>
    <row r="1008" spans="6:9" x14ac:dyDescent="0.35">
      <c r="F1008" s="33"/>
      <c r="G1008" s="70"/>
      <c r="H1008" s="400"/>
      <c r="I1008" s="239"/>
    </row>
    <row r="1009" spans="6:9" x14ac:dyDescent="0.35">
      <c r="F1009" s="33"/>
      <c r="G1009" s="70"/>
      <c r="H1009" s="400"/>
      <c r="I1009" s="239"/>
    </row>
    <row r="1010" spans="6:9" x14ac:dyDescent="0.35">
      <c r="F1010" s="33"/>
      <c r="G1010" s="70"/>
      <c r="H1010" s="400"/>
      <c r="I1010" s="239"/>
    </row>
    <row r="1011" spans="6:9" x14ac:dyDescent="0.35">
      <c r="F1011" s="33"/>
      <c r="G1011" s="70"/>
      <c r="H1011" s="400"/>
      <c r="I1011" s="239"/>
    </row>
    <row r="1012" spans="6:9" x14ac:dyDescent="0.35">
      <c r="F1012" s="33"/>
      <c r="G1012" s="70"/>
      <c r="H1012" s="400"/>
      <c r="I1012" s="239"/>
    </row>
    <row r="1013" spans="6:9" x14ac:dyDescent="0.35">
      <c r="F1013" s="33"/>
      <c r="G1013" s="70"/>
      <c r="H1013" s="400"/>
      <c r="I1013" s="239"/>
    </row>
    <row r="1014" spans="6:9" x14ac:dyDescent="0.35">
      <c r="F1014" s="33"/>
      <c r="G1014" s="70"/>
      <c r="H1014" s="400"/>
      <c r="I1014" s="239"/>
    </row>
    <row r="1015" spans="6:9" x14ac:dyDescent="0.35">
      <c r="F1015" s="33"/>
      <c r="G1015" s="70"/>
      <c r="H1015" s="400"/>
      <c r="I1015" s="239"/>
    </row>
    <row r="1016" spans="6:9" x14ac:dyDescent="0.35">
      <c r="F1016" s="33"/>
      <c r="G1016" s="70"/>
      <c r="H1016" s="400"/>
      <c r="I1016" s="239"/>
    </row>
    <row r="1017" spans="6:9" x14ac:dyDescent="0.35">
      <c r="F1017" s="33"/>
      <c r="G1017" s="70"/>
      <c r="H1017" s="400"/>
      <c r="I1017" s="239"/>
    </row>
    <row r="1018" spans="6:9" x14ac:dyDescent="0.35">
      <c r="F1018" s="33"/>
      <c r="G1018" s="70"/>
      <c r="H1018" s="400"/>
      <c r="I1018" s="239"/>
    </row>
    <row r="1019" spans="6:9" x14ac:dyDescent="0.35">
      <c r="F1019" s="33"/>
      <c r="G1019" s="70"/>
      <c r="H1019" s="400"/>
      <c r="I1019" s="239"/>
    </row>
    <row r="1020" spans="6:9" x14ac:dyDescent="0.35">
      <c r="F1020" s="33"/>
      <c r="G1020" s="70"/>
      <c r="H1020" s="400"/>
      <c r="I1020" s="239"/>
    </row>
    <row r="1021" spans="6:9" x14ac:dyDescent="0.35">
      <c r="F1021" s="33"/>
      <c r="G1021" s="70"/>
      <c r="H1021" s="400"/>
      <c r="I1021" s="239"/>
    </row>
    <row r="1022" spans="6:9" x14ac:dyDescent="0.35">
      <c r="F1022" s="33"/>
      <c r="G1022" s="70"/>
      <c r="H1022" s="400"/>
      <c r="I1022" s="239"/>
    </row>
    <row r="1023" spans="6:9" x14ac:dyDescent="0.35">
      <c r="F1023" s="33"/>
      <c r="G1023" s="70"/>
      <c r="H1023" s="400"/>
      <c r="I1023" s="239"/>
    </row>
    <row r="1024" spans="6:9" x14ac:dyDescent="0.35">
      <c r="F1024" s="33"/>
      <c r="G1024" s="70"/>
      <c r="H1024" s="400"/>
      <c r="I1024" s="239"/>
    </row>
    <row r="1025" spans="6:9" x14ac:dyDescent="0.35">
      <c r="F1025" s="33"/>
      <c r="G1025" s="70"/>
      <c r="H1025" s="400"/>
      <c r="I1025" s="239"/>
    </row>
    <row r="1026" spans="6:9" x14ac:dyDescent="0.35">
      <c r="F1026" s="33"/>
      <c r="G1026" s="70"/>
      <c r="H1026" s="400"/>
      <c r="I1026" s="239"/>
    </row>
    <row r="1027" spans="6:9" x14ac:dyDescent="0.35">
      <c r="F1027" s="33"/>
      <c r="G1027" s="70"/>
      <c r="H1027" s="400"/>
      <c r="I1027" s="239"/>
    </row>
    <row r="1028" spans="6:9" x14ac:dyDescent="0.35">
      <c r="F1028" s="33"/>
      <c r="G1028" s="70"/>
      <c r="H1028" s="400"/>
      <c r="I1028" s="239"/>
    </row>
    <row r="1029" spans="6:9" x14ac:dyDescent="0.35">
      <c r="F1029" s="33"/>
      <c r="G1029" s="70"/>
      <c r="H1029" s="400"/>
      <c r="I1029" s="239"/>
    </row>
    <row r="1030" spans="6:9" x14ac:dyDescent="0.35">
      <c r="F1030" s="33"/>
      <c r="G1030" s="70"/>
      <c r="H1030" s="400"/>
      <c r="I1030" s="239"/>
    </row>
    <row r="1031" spans="6:9" x14ac:dyDescent="0.35">
      <c r="F1031" s="33"/>
      <c r="G1031" s="70"/>
      <c r="H1031" s="400"/>
      <c r="I1031" s="239"/>
    </row>
    <row r="1032" spans="6:9" x14ac:dyDescent="0.35">
      <c r="F1032" s="33"/>
      <c r="G1032" s="70"/>
      <c r="H1032" s="400"/>
      <c r="I1032" s="239"/>
    </row>
    <row r="1033" spans="6:9" x14ac:dyDescent="0.35">
      <c r="F1033" s="33"/>
      <c r="G1033" s="70"/>
      <c r="H1033" s="400"/>
      <c r="I1033" s="239"/>
    </row>
    <row r="1034" spans="6:9" x14ac:dyDescent="0.35">
      <c r="F1034" s="33"/>
      <c r="G1034" s="70"/>
      <c r="H1034" s="400"/>
      <c r="I1034" s="239"/>
    </row>
    <row r="1035" spans="6:9" x14ac:dyDescent="0.35">
      <c r="F1035" s="33"/>
      <c r="G1035" s="70"/>
      <c r="H1035" s="400"/>
      <c r="I1035" s="239"/>
    </row>
    <row r="1036" spans="6:9" x14ac:dyDescent="0.35">
      <c r="F1036" s="33"/>
      <c r="G1036" s="70"/>
      <c r="H1036" s="400"/>
      <c r="I1036" s="239"/>
    </row>
    <row r="1037" spans="6:9" x14ac:dyDescent="0.35">
      <c r="F1037" s="33"/>
      <c r="G1037" s="70"/>
      <c r="H1037" s="400"/>
      <c r="I1037" s="239"/>
    </row>
    <row r="1038" spans="6:9" x14ac:dyDescent="0.35">
      <c r="F1038" s="33"/>
      <c r="G1038" s="70"/>
      <c r="H1038" s="400"/>
      <c r="I1038" s="239"/>
    </row>
    <row r="1039" spans="6:9" x14ac:dyDescent="0.35">
      <c r="F1039" s="33"/>
      <c r="G1039" s="70"/>
      <c r="H1039" s="400"/>
      <c r="I1039" s="239"/>
    </row>
    <row r="1040" spans="6:9" x14ac:dyDescent="0.35">
      <c r="F1040" s="33"/>
      <c r="G1040" s="70"/>
      <c r="H1040" s="400"/>
      <c r="I1040" s="239"/>
    </row>
    <row r="1041" spans="6:9" x14ac:dyDescent="0.35">
      <c r="F1041" s="33"/>
      <c r="G1041" s="70"/>
      <c r="H1041" s="400"/>
      <c r="I1041" s="239"/>
    </row>
    <row r="1042" spans="6:9" x14ac:dyDescent="0.35">
      <c r="F1042" s="33"/>
      <c r="G1042" s="70"/>
      <c r="H1042" s="400"/>
      <c r="I1042" s="239"/>
    </row>
    <row r="1043" spans="6:9" x14ac:dyDescent="0.35">
      <c r="F1043" s="33"/>
      <c r="G1043" s="70"/>
      <c r="H1043" s="400"/>
      <c r="I1043" s="239"/>
    </row>
    <row r="1044" spans="6:9" x14ac:dyDescent="0.35">
      <c r="F1044" s="33"/>
      <c r="G1044" s="70"/>
      <c r="H1044" s="400"/>
      <c r="I1044" s="239"/>
    </row>
    <row r="1045" spans="6:9" x14ac:dyDescent="0.35">
      <c r="F1045" s="33"/>
      <c r="G1045" s="70"/>
      <c r="H1045" s="400"/>
      <c r="I1045" s="239"/>
    </row>
    <row r="1046" spans="6:9" x14ac:dyDescent="0.35">
      <c r="F1046" s="33"/>
      <c r="G1046" s="70"/>
      <c r="H1046" s="400"/>
      <c r="I1046" s="239"/>
    </row>
    <row r="1047" spans="6:9" x14ac:dyDescent="0.35">
      <c r="F1047" s="33"/>
      <c r="G1047" s="70"/>
      <c r="H1047" s="400"/>
      <c r="I1047" s="239"/>
    </row>
    <row r="1048" spans="6:9" x14ac:dyDescent="0.35">
      <c r="F1048" s="33"/>
      <c r="G1048" s="70"/>
      <c r="H1048" s="400"/>
      <c r="I1048" s="239"/>
    </row>
    <row r="1049" spans="6:9" x14ac:dyDescent="0.35">
      <c r="F1049" s="33"/>
      <c r="G1049" s="70"/>
      <c r="H1049" s="400"/>
      <c r="I1049" s="239"/>
    </row>
    <row r="1050" spans="6:9" x14ac:dyDescent="0.35">
      <c r="F1050" s="33"/>
      <c r="G1050" s="70"/>
      <c r="H1050" s="400"/>
      <c r="I1050" s="239"/>
    </row>
    <row r="1051" spans="6:9" x14ac:dyDescent="0.35">
      <c r="F1051" s="33"/>
      <c r="G1051" s="70"/>
      <c r="H1051" s="400"/>
      <c r="I1051" s="239"/>
    </row>
    <row r="1052" spans="6:9" x14ac:dyDescent="0.35">
      <c r="F1052" s="33"/>
      <c r="G1052" s="70"/>
      <c r="H1052" s="400"/>
      <c r="I1052" s="239"/>
    </row>
    <row r="1053" spans="6:9" x14ac:dyDescent="0.35">
      <c r="F1053" s="33"/>
      <c r="G1053" s="70"/>
      <c r="H1053" s="400"/>
      <c r="I1053" s="239"/>
    </row>
    <row r="1054" spans="6:9" x14ac:dyDescent="0.35">
      <c r="F1054" s="33"/>
      <c r="G1054" s="70"/>
      <c r="H1054" s="400"/>
      <c r="I1054" s="239"/>
    </row>
    <row r="1055" spans="6:9" x14ac:dyDescent="0.35">
      <c r="F1055" s="33"/>
      <c r="G1055" s="70"/>
      <c r="H1055" s="400"/>
      <c r="I1055" s="239"/>
    </row>
    <row r="1056" spans="6:9" x14ac:dyDescent="0.35">
      <c r="F1056" s="33"/>
      <c r="G1056" s="70"/>
      <c r="H1056" s="400"/>
      <c r="I1056" s="239"/>
    </row>
    <row r="1057" spans="6:9" x14ac:dyDescent="0.35">
      <c r="F1057" s="33"/>
      <c r="G1057" s="70"/>
      <c r="H1057" s="400"/>
      <c r="I1057" s="239"/>
    </row>
    <row r="1058" spans="6:9" x14ac:dyDescent="0.35">
      <c r="F1058" s="33"/>
      <c r="G1058" s="70"/>
      <c r="H1058" s="400"/>
      <c r="I1058" s="239"/>
    </row>
    <row r="1059" spans="6:9" x14ac:dyDescent="0.35">
      <c r="F1059" s="33"/>
      <c r="G1059" s="70"/>
      <c r="H1059" s="400"/>
      <c r="I1059" s="239"/>
    </row>
    <row r="1060" spans="6:9" x14ac:dyDescent="0.35">
      <c r="F1060" s="33"/>
      <c r="G1060" s="70"/>
      <c r="H1060" s="400"/>
      <c r="I1060" s="239"/>
    </row>
    <row r="1061" spans="6:9" x14ac:dyDescent="0.35">
      <c r="F1061" s="33"/>
      <c r="G1061" s="70"/>
      <c r="H1061" s="400"/>
      <c r="I1061" s="239"/>
    </row>
    <row r="1062" spans="6:9" x14ac:dyDescent="0.35">
      <c r="F1062" s="33"/>
      <c r="G1062" s="70"/>
      <c r="H1062" s="400"/>
      <c r="I1062" s="239"/>
    </row>
    <row r="1063" spans="6:9" x14ac:dyDescent="0.35">
      <c r="F1063" s="33"/>
      <c r="G1063" s="70"/>
      <c r="H1063" s="400"/>
      <c r="I1063" s="239"/>
    </row>
    <row r="1064" spans="6:9" x14ac:dyDescent="0.35">
      <c r="F1064" s="33"/>
      <c r="G1064" s="70"/>
      <c r="H1064" s="400"/>
      <c r="I1064" s="239"/>
    </row>
    <row r="1065" spans="6:9" x14ac:dyDescent="0.35">
      <c r="F1065" s="33"/>
      <c r="G1065" s="70"/>
      <c r="H1065" s="400"/>
      <c r="I1065" s="239"/>
    </row>
    <row r="1066" spans="6:9" x14ac:dyDescent="0.35">
      <c r="F1066" s="33"/>
      <c r="G1066" s="70"/>
      <c r="H1066" s="400"/>
      <c r="I1066" s="239"/>
    </row>
    <row r="1067" spans="6:9" x14ac:dyDescent="0.35">
      <c r="F1067" s="33"/>
      <c r="G1067" s="70"/>
      <c r="H1067" s="400"/>
      <c r="I1067" s="239"/>
    </row>
    <row r="1068" spans="6:9" x14ac:dyDescent="0.35">
      <c r="F1068" s="33"/>
      <c r="G1068" s="70"/>
      <c r="H1068" s="400"/>
      <c r="I1068" s="239"/>
    </row>
    <row r="1069" spans="6:9" x14ac:dyDescent="0.35">
      <c r="F1069" s="33"/>
      <c r="G1069" s="70"/>
      <c r="H1069" s="400"/>
      <c r="I1069" s="239"/>
    </row>
    <row r="1070" spans="6:9" x14ac:dyDescent="0.35">
      <c r="F1070" s="33"/>
      <c r="G1070" s="70"/>
      <c r="H1070" s="400"/>
      <c r="I1070" s="239"/>
    </row>
    <row r="1071" spans="6:9" x14ac:dyDescent="0.35">
      <c r="F1071" s="33"/>
      <c r="G1071" s="70"/>
      <c r="H1071" s="400"/>
      <c r="I1071" s="239"/>
    </row>
    <row r="1072" spans="6:9" x14ac:dyDescent="0.35">
      <c r="F1072" s="33"/>
      <c r="G1072" s="70"/>
      <c r="H1072" s="400"/>
      <c r="I1072" s="239"/>
    </row>
    <row r="1073" spans="6:9" x14ac:dyDescent="0.35">
      <c r="F1073" s="33"/>
      <c r="G1073" s="70"/>
      <c r="H1073" s="400"/>
      <c r="I1073" s="239"/>
    </row>
    <row r="1074" spans="6:9" x14ac:dyDescent="0.35">
      <c r="F1074" s="33"/>
      <c r="G1074" s="70"/>
      <c r="H1074" s="400"/>
      <c r="I1074" s="239"/>
    </row>
    <row r="1075" spans="6:9" x14ac:dyDescent="0.35">
      <c r="F1075" s="33"/>
      <c r="G1075" s="70"/>
      <c r="H1075" s="400"/>
      <c r="I1075" s="239"/>
    </row>
    <row r="1076" spans="6:9" x14ac:dyDescent="0.35">
      <c r="F1076" s="33"/>
      <c r="G1076" s="70"/>
      <c r="H1076" s="400"/>
      <c r="I1076" s="239"/>
    </row>
    <row r="1077" spans="6:9" x14ac:dyDescent="0.35">
      <c r="F1077" s="33"/>
      <c r="G1077" s="70"/>
      <c r="H1077" s="400"/>
      <c r="I1077" s="239"/>
    </row>
    <row r="1078" spans="6:9" x14ac:dyDescent="0.35">
      <c r="F1078" s="33"/>
      <c r="G1078" s="70"/>
      <c r="H1078" s="400"/>
      <c r="I1078" s="239"/>
    </row>
    <row r="1079" spans="6:9" x14ac:dyDescent="0.35">
      <c r="F1079" s="33"/>
      <c r="G1079" s="70"/>
      <c r="H1079" s="400"/>
      <c r="I1079" s="239"/>
    </row>
    <row r="1080" spans="6:9" x14ac:dyDescent="0.35">
      <c r="F1080" s="33"/>
      <c r="G1080" s="70"/>
      <c r="H1080" s="400"/>
      <c r="I1080" s="239"/>
    </row>
    <row r="1081" spans="6:9" x14ac:dyDescent="0.35">
      <c r="F1081" s="33"/>
      <c r="G1081" s="70"/>
      <c r="H1081" s="400"/>
      <c r="I1081" s="239"/>
    </row>
    <row r="1082" spans="6:9" x14ac:dyDescent="0.35">
      <c r="F1082" s="33"/>
      <c r="G1082" s="70"/>
      <c r="H1082" s="400"/>
      <c r="I1082" s="239"/>
    </row>
    <row r="1083" spans="6:9" x14ac:dyDescent="0.35">
      <c r="F1083" s="33"/>
      <c r="G1083" s="70"/>
      <c r="H1083" s="400"/>
      <c r="I1083" s="239"/>
    </row>
    <row r="1084" spans="6:9" x14ac:dyDescent="0.35">
      <c r="F1084" s="33"/>
      <c r="G1084" s="70"/>
      <c r="H1084" s="400"/>
      <c r="I1084" s="239"/>
    </row>
    <row r="1085" spans="6:9" x14ac:dyDescent="0.35">
      <c r="F1085" s="33"/>
      <c r="G1085" s="70"/>
      <c r="H1085" s="400"/>
      <c r="I1085" s="239"/>
    </row>
    <row r="1086" spans="6:9" x14ac:dyDescent="0.35">
      <c r="F1086" s="33"/>
      <c r="G1086" s="70"/>
      <c r="H1086" s="400"/>
      <c r="I1086" s="239"/>
    </row>
    <row r="1087" spans="6:9" x14ac:dyDescent="0.35">
      <c r="F1087" s="33"/>
      <c r="G1087" s="70"/>
      <c r="H1087" s="400"/>
      <c r="I1087" s="239"/>
    </row>
    <row r="1088" spans="6:9" x14ac:dyDescent="0.35">
      <c r="F1088" s="33"/>
      <c r="G1088" s="70"/>
      <c r="H1088" s="400"/>
      <c r="I1088" s="239"/>
    </row>
    <row r="1089" spans="6:9" x14ac:dyDescent="0.35">
      <c r="F1089" s="33"/>
      <c r="G1089" s="70"/>
      <c r="H1089" s="400"/>
      <c r="I1089" s="239"/>
    </row>
    <row r="1090" spans="6:9" x14ac:dyDescent="0.35">
      <c r="F1090" s="33"/>
      <c r="G1090" s="70"/>
      <c r="H1090" s="400"/>
      <c r="I1090" s="239"/>
    </row>
    <row r="1091" spans="6:9" x14ac:dyDescent="0.35">
      <c r="F1091" s="33"/>
      <c r="G1091" s="70"/>
      <c r="H1091" s="400"/>
      <c r="I1091" s="239"/>
    </row>
    <row r="1092" spans="6:9" x14ac:dyDescent="0.35">
      <c r="F1092" s="33"/>
      <c r="G1092" s="70"/>
      <c r="H1092" s="400"/>
      <c r="I1092" s="239"/>
    </row>
    <row r="1093" spans="6:9" x14ac:dyDescent="0.35">
      <c r="F1093" s="33"/>
      <c r="G1093" s="70"/>
      <c r="H1093" s="400"/>
      <c r="I1093" s="239"/>
    </row>
    <row r="1094" spans="6:9" x14ac:dyDescent="0.35">
      <c r="F1094" s="33"/>
      <c r="G1094" s="70"/>
      <c r="H1094" s="400"/>
      <c r="I1094" s="239"/>
    </row>
    <row r="1095" spans="6:9" x14ac:dyDescent="0.35">
      <c r="F1095" s="33"/>
      <c r="G1095" s="70"/>
      <c r="H1095" s="400"/>
      <c r="I1095" s="239"/>
    </row>
    <row r="1096" spans="6:9" x14ac:dyDescent="0.35">
      <c r="F1096" s="33"/>
      <c r="G1096" s="70"/>
      <c r="H1096" s="400"/>
      <c r="I1096" s="239"/>
    </row>
    <row r="1097" spans="6:9" x14ac:dyDescent="0.35">
      <c r="F1097" s="33"/>
      <c r="G1097" s="70"/>
      <c r="H1097" s="400"/>
      <c r="I1097" s="239"/>
    </row>
    <row r="1098" spans="6:9" x14ac:dyDescent="0.35">
      <c r="F1098" s="33"/>
      <c r="G1098" s="70"/>
      <c r="H1098" s="400"/>
      <c r="I1098" s="239"/>
    </row>
    <row r="1099" spans="6:9" x14ac:dyDescent="0.35">
      <c r="F1099" s="33"/>
      <c r="G1099" s="70"/>
      <c r="H1099" s="400"/>
      <c r="I1099" s="239"/>
    </row>
    <row r="1100" spans="6:9" x14ac:dyDescent="0.35">
      <c r="F1100" s="33"/>
      <c r="G1100" s="70"/>
      <c r="H1100" s="400"/>
      <c r="I1100" s="239"/>
    </row>
    <row r="1101" spans="6:9" x14ac:dyDescent="0.35">
      <c r="F1101" s="33"/>
      <c r="G1101" s="70"/>
      <c r="H1101" s="400"/>
      <c r="I1101" s="239"/>
    </row>
    <row r="1102" spans="6:9" x14ac:dyDescent="0.35">
      <c r="F1102" s="33"/>
      <c r="G1102" s="70"/>
      <c r="H1102" s="400"/>
      <c r="I1102" s="239"/>
    </row>
    <row r="1103" spans="6:9" x14ac:dyDescent="0.35">
      <c r="F1103" s="33"/>
      <c r="G1103" s="70"/>
      <c r="H1103" s="400"/>
      <c r="I1103" s="239"/>
    </row>
    <row r="1104" spans="6:9" x14ac:dyDescent="0.35">
      <c r="F1104" s="33"/>
      <c r="G1104" s="70"/>
      <c r="H1104" s="400"/>
      <c r="I1104" s="239"/>
    </row>
    <row r="1105" spans="6:9" x14ac:dyDescent="0.35">
      <c r="F1105" s="33"/>
      <c r="G1105" s="70"/>
      <c r="H1105" s="400"/>
      <c r="I1105" s="239"/>
    </row>
    <row r="1106" spans="6:9" x14ac:dyDescent="0.35">
      <c r="F1106" s="33"/>
      <c r="G1106" s="70"/>
      <c r="H1106" s="400"/>
      <c r="I1106" s="239"/>
    </row>
    <row r="1107" spans="6:9" x14ac:dyDescent="0.35">
      <c r="F1107" s="33"/>
      <c r="G1107" s="70"/>
      <c r="H1107" s="400"/>
      <c r="I1107" s="239"/>
    </row>
    <row r="1108" spans="6:9" x14ac:dyDescent="0.35">
      <c r="F1108" s="33"/>
      <c r="G1108" s="70"/>
      <c r="H1108" s="400"/>
      <c r="I1108" s="239"/>
    </row>
    <row r="1109" spans="6:9" x14ac:dyDescent="0.35">
      <c r="F1109" s="33"/>
      <c r="G1109" s="70"/>
      <c r="H1109" s="400"/>
      <c r="I1109" s="239"/>
    </row>
    <row r="1110" spans="6:9" x14ac:dyDescent="0.35">
      <c r="F1110" s="33"/>
      <c r="G1110" s="70"/>
      <c r="H1110" s="400"/>
      <c r="I1110" s="239"/>
    </row>
    <row r="1111" spans="6:9" x14ac:dyDescent="0.35">
      <c r="F1111" s="33"/>
      <c r="G1111" s="70"/>
      <c r="H1111" s="400"/>
      <c r="I1111" s="239"/>
    </row>
    <row r="1112" spans="6:9" x14ac:dyDescent="0.35">
      <c r="F1112" s="33"/>
      <c r="G1112" s="70"/>
      <c r="H1112" s="400"/>
      <c r="I1112" s="239"/>
    </row>
    <row r="1113" spans="6:9" x14ac:dyDescent="0.35">
      <c r="F1113" s="33"/>
      <c r="G1113" s="70"/>
      <c r="H1113" s="400"/>
      <c r="I1113" s="239"/>
    </row>
    <row r="1114" spans="6:9" x14ac:dyDescent="0.35">
      <c r="F1114" s="33"/>
      <c r="G1114" s="70"/>
      <c r="H1114" s="400"/>
      <c r="I1114" s="239"/>
    </row>
    <row r="1115" spans="6:9" x14ac:dyDescent="0.35">
      <c r="F1115" s="33"/>
      <c r="G1115" s="70"/>
      <c r="H1115" s="400"/>
      <c r="I1115" s="239"/>
    </row>
    <row r="1116" spans="6:9" x14ac:dyDescent="0.35">
      <c r="F1116" s="33"/>
      <c r="G1116" s="70"/>
      <c r="H1116" s="400"/>
      <c r="I1116" s="239"/>
    </row>
    <row r="1117" spans="6:9" x14ac:dyDescent="0.35">
      <c r="F1117" s="33"/>
      <c r="G1117" s="70"/>
      <c r="H1117" s="400"/>
      <c r="I1117" s="239"/>
    </row>
    <row r="1118" spans="6:9" x14ac:dyDescent="0.35">
      <c r="F1118" s="33"/>
      <c r="G1118" s="70"/>
      <c r="H1118" s="400"/>
      <c r="I1118" s="239"/>
    </row>
    <row r="1119" spans="6:9" x14ac:dyDescent="0.35">
      <c r="F1119" s="33"/>
      <c r="G1119" s="70"/>
      <c r="H1119" s="400"/>
      <c r="I1119" s="239"/>
    </row>
    <row r="1120" spans="6:9" x14ac:dyDescent="0.35">
      <c r="F1120" s="33"/>
      <c r="G1120" s="70"/>
      <c r="H1120" s="400"/>
      <c r="I1120" s="239"/>
    </row>
    <row r="1121" spans="6:9" x14ac:dyDescent="0.35">
      <c r="F1121" s="33"/>
      <c r="G1121" s="70"/>
      <c r="H1121" s="400"/>
      <c r="I1121" s="239"/>
    </row>
    <row r="1122" spans="6:9" x14ac:dyDescent="0.35">
      <c r="F1122" s="33"/>
      <c r="G1122" s="70"/>
      <c r="H1122" s="400"/>
      <c r="I1122" s="239"/>
    </row>
    <row r="1123" spans="6:9" x14ac:dyDescent="0.35">
      <c r="F1123" s="33"/>
      <c r="G1123" s="70"/>
      <c r="H1123" s="400"/>
      <c r="I1123" s="239"/>
    </row>
    <row r="1124" spans="6:9" x14ac:dyDescent="0.35">
      <c r="F1124" s="33"/>
      <c r="G1124" s="70"/>
      <c r="H1124" s="400"/>
      <c r="I1124" s="239"/>
    </row>
    <row r="1125" spans="6:9" x14ac:dyDescent="0.35">
      <c r="F1125" s="33"/>
      <c r="G1125" s="70"/>
      <c r="H1125" s="400"/>
      <c r="I1125" s="239"/>
    </row>
    <row r="1126" spans="6:9" x14ac:dyDescent="0.35">
      <c r="F1126" s="33"/>
      <c r="G1126" s="70"/>
      <c r="H1126" s="400"/>
      <c r="I1126" s="239"/>
    </row>
    <row r="1127" spans="6:9" x14ac:dyDescent="0.35">
      <c r="F1127" s="33"/>
      <c r="G1127" s="70"/>
      <c r="H1127" s="400"/>
      <c r="I1127" s="239"/>
    </row>
    <row r="1128" spans="6:9" x14ac:dyDescent="0.35">
      <c r="F1128" s="33"/>
      <c r="G1128" s="70"/>
      <c r="H1128" s="400"/>
      <c r="I1128" s="239"/>
    </row>
    <row r="1129" spans="6:9" x14ac:dyDescent="0.35">
      <c r="F1129" s="33"/>
      <c r="G1129" s="70"/>
      <c r="H1129" s="400"/>
      <c r="I1129" s="239"/>
    </row>
    <row r="1130" spans="6:9" x14ac:dyDescent="0.35">
      <c r="F1130" s="33"/>
      <c r="G1130" s="70"/>
      <c r="H1130" s="400"/>
      <c r="I1130" s="239"/>
    </row>
    <row r="1131" spans="6:9" x14ac:dyDescent="0.35">
      <c r="F1131" s="33"/>
      <c r="G1131" s="70"/>
      <c r="H1131" s="400"/>
      <c r="I1131" s="239"/>
    </row>
    <row r="1132" spans="6:9" x14ac:dyDescent="0.35">
      <c r="F1132" s="33"/>
      <c r="G1132" s="70"/>
      <c r="H1132" s="400"/>
      <c r="I1132" s="239"/>
    </row>
    <row r="1133" spans="6:9" x14ac:dyDescent="0.35">
      <c r="F1133" s="33"/>
      <c r="G1133" s="70"/>
      <c r="H1133" s="400"/>
      <c r="I1133" s="239"/>
    </row>
    <row r="1134" spans="6:9" x14ac:dyDescent="0.35">
      <c r="F1134" s="33"/>
      <c r="G1134" s="70"/>
      <c r="H1134" s="400"/>
      <c r="I1134" s="239"/>
    </row>
    <row r="1135" spans="6:9" x14ac:dyDescent="0.35">
      <c r="F1135" s="33"/>
      <c r="G1135" s="70"/>
      <c r="H1135" s="400"/>
      <c r="I1135" s="239"/>
    </row>
    <row r="1136" spans="6:9" x14ac:dyDescent="0.35">
      <c r="F1136" s="33"/>
      <c r="G1136" s="70"/>
      <c r="H1136" s="400"/>
      <c r="I1136" s="239"/>
    </row>
    <row r="1137" spans="6:9" x14ac:dyDescent="0.35">
      <c r="F1137" s="33"/>
      <c r="G1137" s="70"/>
      <c r="H1137" s="400"/>
      <c r="I1137" s="239"/>
    </row>
    <row r="1138" spans="6:9" x14ac:dyDescent="0.35">
      <c r="F1138" s="33"/>
      <c r="G1138" s="70"/>
      <c r="H1138" s="400"/>
      <c r="I1138" s="239"/>
    </row>
    <row r="1139" spans="6:9" x14ac:dyDescent="0.35">
      <c r="F1139" s="33"/>
      <c r="G1139" s="70"/>
      <c r="H1139" s="400"/>
      <c r="I1139" s="239"/>
    </row>
    <row r="1140" spans="6:9" x14ac:dyDescent="0.35">
      <c r="F1140" s="33"/>
      <c r="G1140" s="70"/>
      <c r="H1140" s="400"/>
      <c r="I1140" s="239"/>
    </row>
    <row r="1141" spans="6:9" x14ac:dyDescent="0.35">
      <c r="F1141" s="33"/>
      <c r="G1141" s="70"/>
      <c r="H1141" s="400"/>
      <c r="I1141" s="239"/>
    </row>
    <row r="1142" spans="6:9" x14ac:dyDescent="0.35">
      <c r="F1142" s="33"/>
      <c r="G1142" s="70"/>
      <c r="H1142" s="400"/>
      <c r="I1142" s="239"/>
    </row>
    <row r="1143" spans="6:9" x14ac:dyDescent="0.35">
      <c r="F1143" s="33"/>
      <c r="G1143" s="70"/>
      <c r="H1143" s="400"/>
      <c r="I1143" s="239"/>
    </row>
    <row r="1144" spans="6:9" x14ac:dyDescent="0.35">
      <c r="F1144" s="33"/>
      <c r="G1144" s="70"/>
      <c r="H1144" s="400"/>
      <c r="I1144" s="239"/>
    </row>
    <row r="1145" spans="6:9" x14ac:dyDescent="0.35">
      <c r="F1145" s="33"/>
      <c r="G1145" s="70"/>
      <c r="H1145" s="400"/>
      <c r="I1145" s="239"/>
    </row>
    <row r="1146" spans="6:9" x14ac:dyDescent="0.35">
      <c r="F1146" s="33"/>
      <c r="G1146" s="70"/>
      <c r="H1146" s="400"/>
      <c r="I1146" s="239"/>
    </row>
    <row r="1147" spans="6:9" x14ac:dyDescent="0.35">
      <c r="F1147" s="33"/>
      <c r="G1147" s="70"/>
      <c r="H1147" s="400"/>
      <c r="I1147" s="239"/>
    </row>
    <row r="1148" spans="6:9" x14ac:dyDescent="0.35">
      <c r="F1148" s="33"/>
      <c r="G1148" s="70"/>
      <c r="H1148" s="400"/>
      <c r="I1148" s="239"/>
    </row>
    <row r="1149" spans="6:9" x14ac:dyDescent="0.35">
      <c r="F1149" s="33"/>
      <c r="G1149" s="70"/>
      <c r="H1149" s="400"/>
      <c r="I1149" s="239"/>
    </row>
    <row r="1150" spans="6:9" x14ac:dyDescent="0.35">
      <c r="F1150" s="33"/>
      <c r="G1150" s="70"/>
      <c r="H1150" s="400"/>
      <c r="I1150" s="239"/>
    </row>
    <row r="1151" spans="6:9" x14ac:dyDescent="0.35">
      <c r="F1151" s="33"/>
      <c r="G1151" s="70"/>
      <c r="H1151" s="400"/>
      <c r="I1151" s="239"/>
    </row>
    <row r="1152" spans="6:9" x14ac:dyDescent="0.35">
      <c r="F1152" s="33"/>
      <c r="G1152" s="70"/>
      <c r="H1152" s="400"/>
      <c r="I1152" s="239"/>
    </row>
    <row r="1153" spans="6:9" x14ac:dyDescent="0.35">
      <c r="F1153" s="33"/>
      <c r="G1153" s="70"/>
      <c r="H1153" s="400"/>
      <c r="I1153" s="239"/>
    </row>
    <row r="1154" spans="6:9" x14ac:dyDescent="0.35">
      <c r="F1154" s="33"/>
      <c r="G1154" s="70"/>
      <c r="H1154" s="400"/>
      <c r="I1154" s="239"/>
    </row>
    <row r="1155" spans="6:9" x14ac:dyDescent="0.35">
      <c r="F1155" s="33"/>
      <c r="G1155" s="70"/>
      <c r="H1155" s="400"/>
      <c r="I1155" s="239"/>
    </row>
    <row r="1156" spans="6:9" x14ac:dyDescent="0.35">
      <c r="F1156" s="33"/>
      <c r="G1156" s="70"/>
      <c r="H1156" s="400"/>
      <c r="I1156" s="239"/>
    </row>
    <row r="1157" spans="6:9" x14ac:dyDescent="0.35">
      <c r="F1157" s="33"/>
      <c r="G1157" s="70"/>
      <c r="H1157" s="400"/>
      <c r="I1157" s="239"/>
    </row>
    <row r="1158" spans="6:9" x14ac:dyDescent="0.35">
      <c r="F1158" s="33"/>
      <c r="G1158" s="70"/>
      <c r="H1158" s="400"/>
      <c r="I1158" s="239"/>
    </row>
    <row r="1159" spans="6:9" x14ac:dyDescent="0.35">
      <c r="F1159" s="33"/>
      <c r="G1159" s="70"/>
      <c r="H1159" s="400"/>
      <c r="I1159" s="239"/>
    </row>
    <row r="1160" spans="6:9" x14ac:dyDescent="0.35">
      <c r="F1160" s="33"/>
      <c r="G1160" s="70"/>
      <c r="H1160" s="400"/>
      <c r="I1160" s="239"/>
    </row>
    <row r="1161" spans="6:9" x14ac:dyDescent="0.35">
      <c r="F1161" s="33"/>
      <c r="G1161" s="70"/>
      <c r="H1161" s="400"/>
      <c r="I1161" s="239"/>
    </row>
    <row r="1162" spans="6:9" x14ac:dyDescent="0.35">
      <c r="F1162" s="33"/>
      <c r="G1162" s="70"/>
      <c r="H1162" s="400"/>
      <c r="I1162" s="239"/>
    </row>
    <row r="1163" spans="6:9" x14ac:dyDescent="0.35">
      <c r="F1163" s="33"/>
      <c r="G1163" s="70"/>
      <c r="H1163" s="400"/>
      <c r="I1163" s="239"/>
    </row>
    <row r="1164" spans="6:9" x14ac:dyDescent="0.35">
      <c r="F1164" s="33"/>
      <c r="G1164" s="70"/>
      <c r="H1164" s="400"/>
      <c r="I1164" s="239"/>
    </row>
    <row r="1165" spans="6:9" x14ac:dyDescent="0.35">
      <c r="F1165" s="33"/>
      <c r="G1165" s="70"/>
      <c r="H1165" s="400"/>
      <c r="I1165" s="239"/>
    </row>
    <row r="1166" spans="6:9" x14ac:dyDescent="0.35">
      <c r="F1166" s="33"/>
      <c r="G1166" s="70"/>
      <c r="H1166" s="400"/>
      <c r="I1166" s="239"/>
    </row>
    <row r="1167" spans="6:9" x14ac:dyDescent="0.35">
      <c r="F1167" s="33"/>
      <c r="G1167" s="70"/>
      <c r="H1167" s="400"/>
      <c r="I1167" s="239"/>
    </row>
    <row r="1168" spans="6:9" x14ac:dyDescent="0.35">
      <c r="F1168" s="33"/>
      <c r="G1168" s="70"/>
      <c r="H1168" s="400"/>
      <c r="I1168" s="239"/>
    </row>
    <row r="1169" spans="6:9" x14ac:dyDescent="0.35">
      <c r="F1169" s="33"/>
      <c r="G1169" s="70"/>
      <c r="H1169" s="400"/>
      <c r="I1169" s="239"/>
    </row>
    <row r="1170" spans="6:9" x14ac:dyDescent="0.35">
      <c r="F1170" s="33"/>
      <c r="G1170" s="70"/>
      <c r="H1170" s="400"/>
      <c r="I1170" s="239"/>
    </row>
    <row r="1171" spans="6:9" x14ac:dyDescent="0.35">
      <c r="F1171" s="33"/>
      <c r="G1171" s="70"/>
      <c r="H1171" s="400"/>
      <c r="I1171" s="239"/>
    </row>
    <row r="1172" spans="6:9" x14ac:dyDescent="0.35">
      <c r="F1172" s="33"/>
      <c r="G1172" s="70"/>
      <c r="H1172" s="400"/>
      <c r="I1172" s="239"/>
    </row>
    <row r="1173" spans="6:9" x14ac:dyDescent="0.35">
      <c r="F1173" s="33"/>
      <c r="G1173" s="70"/>
      <c r="H1173" s="400"/>
      <c r="I1173" s="239"/>
    </row>
    <row r="1174" spans="6:9" x14ac:dyDescent="0.35">
      <c r="F1174" s="33"/>
      <c r="G1174" s="70"/>
      <c r="H1174" s="400"/>
      <c r="I1174" s="239"/>
    </row>
    <row r="1175" spans="6:9" x14ac:dyDescent="0.35">
      <c r="F1175" s="33"/>
      <c r="G1175" s="70"/>
      <c r="H1175" s="400"/>
      <c r="I1175" s="239"/>
    </row>
    <row r="1176" spans="6:9" x14ac:dyDescent="0.35">
      <c r="F1176" s="33"/>
      <c r="G1176" s="70"/>
      <c r="H1176" s="400"/>
      <c r="I1176" s="239"/>
    </row>
    <row r="1177" spans="6:9" x14ac:dyDescent="0.35">
      <c r="F1177" s="33"/>
      <c r="G1177" s="70"/>
      <c r="H1177" s="400"/>
      <c r="I1177" s="239"/>
    </row>
    <row r="1178" spans="6:9" x14ac:dyDescent="0.35">
      <c r="F1178" s="33"/>
      <c r="G1178" s="70"/>
      <c r="H1178" s="400"/>
      <c r="I1178" s="239"/>
    </row>
    <row r="1179" spans="6:9" x14ac:dyDescent="0.35">
      <c r="F1179" s="33"/>
      <c r="G1179" s="70"/>
      <c r="H1179" s="400"/>
      <c r="I1179" s="239"/>
    </row>
    <row r="1180" spans="6:9" x14ac:dyDescent="0.35">
      <c r="F1180" s="33"/>
      <c r="G1180" s="70"/>
      <c r="H1180" s="400"/>
      <c r="I1180" s="239"/>
    </row>
    <row r="1181" spans="6:9" x14ac:dyDescent="0.35">
      <c r="F1181" s="33"/>
      <c r="G1181" s="70"/>
      <c r="H1181" s="400"/>
      <c r="I1181" s="239"/>
    </row>
    <row r="1182" spans="6:9" x14ac:dyDescent="0.35">
      <c r="F1182" s="33"/>
      <c r="G1182" s="70"/>
      <c r="H1182" s="400"/>
      <c r="I1182" s="239"/>
    </row>
    <row r="1183" spans="6:9" x14ac:dyDescent="0.35">
      <c r="F1183" s="33"/>
      <c r="G1183" s="70"/>
      <c r="H1183" s="400"/>
      <c r="I1183" s="239"/>
    </row>
    <row r="1184" spans="6:9" x14ac:dyDescent="0.35">
      <c r="F1184" s="33"/>
      <c r="G1184" s="70"/>
      <c r="H1184" s="400"/>
      <c r="I1184" s="239"/>
    </row>
    <row r="1185" spans="6:9" x14ac:dyDescent="0.35">
      <c r="F1185" s="33"/>
      <c r="G1185" s="70"/>
      <c r="H1185" s="400"/>
      <c r="I1185" s="239"/>
    </row>
    <row r="1186" spans="6:9" x14ac:dyDescent="0.35">
      <c r="F1186" s="33"/>
      <c r="G1186" s="70"/>
      <c r="H1186" s="400"/>
      <c r="I1186" s="239"/>
    </row>
    <row r="1187" spans="6:9" x14ac:dyDescent="0.35">
      <c r="F1187" s="33"/>
      <c r="G1187" s="70"/>
      <c r="H1187" s="400"/>
      <c r="I1187" s="239"/>
    </row>
    <row r="1188" spans="6:9" x14ac:dyDescent="0.35">
      <c r="F1188" s="33"/>
      <c r="G1188" s="70"/>
      <c r="H1188" s="400"/>
      <c r="I1188" s="239"/>
    </row>
    <row r="1189" spans="6:9" x14ac:dyDescent="0.35">
      <c r="F1189" s="33"/>
      <c r="G1189" s="70"/>
      <c r="H1189" s="400"/>
      <c r="I1189" s="239"/>
    </row>
    <row r="1190" spans="6:9" x14ac:dyDescent="0.35">
      <c r="F1190" s="33"/>
      <c r="G1190" s="70"/>
      <c r="H1190" s="400"/>
      <c r="I1190" s="239"/>
    </row>
    <row r="1191" spans="6:9" x14ac:dyDescent="0.35">
      <c r="F1191" s="33"/>
      <c r="G1191" s="70"/>
      <c r="H1191" s="400"/>
      <c r="I1191" s="239"/>
    </row>
    <row r="1192" spans="6:9" x14ac:dyDescent="0.35">
      <c r="F1192" s="33"/>
      <c r="G1192" s="70"/>
      <c r="H1192" s="400"/>
      <c r="I1192" s="239"/>
    </row>
    <row r="1193" spans="6:9" x14ac:dyDescent="0.35">
      <c r="F1193" s="33"/>
      <c r="G1193" s="70"/>
      <c r="H1193" s="400"/>
      <c r="I1193" s="239"/>
    </row>
    <row r="1194" spans="6:9" x14ac:dyDescent="0.35">
      <c r="F1194" s="33"/>
      <c r="G1194" s="70"/>
      <c r="H1194" s="400"/>
      <c r="I1194" s="239"/>
    </row>
    <row r="1195" spans="6:9" x14ac:dyDescent="0.35">
      <c r="F1195" s="33"/>
      <c r="G1195" s="70"/>
      <c r="H1195" s="400"/>
      <c r="I1195" s="239"/>
    </row>
    <row r="1196" spans="6:9" x14ac:dyDescent="0.35">
      <c r="F1196" s="33"/>
      <c r="G1196" s="70"/>
      <c r="H1196" s="400"/>
      <c r="I1196" s="239"/>
    </row>
    <row r="1197" spans="6:9" x14ac:dyDescent="0.35">
      <c r="F1197" s="33"/>
      <c r="G1197" s="70"/>
      <c r="H1197" s="400"/>
      <c r="I1197" s="239"/>
    </row>
    <row r="1198" spans="6:9" x14ac:dyDescent="0.35">
      <c r="F1198" s="33"/>
      <c r="G1198" s="70"/>
      <c r="H1198" s="400"/>
      <c r="I1198" s="239"/>
    </row>
    <row r="1199" spans="6:9" x14ac:dyDescent="0.35">
      <c r="F1199" s="33"/>
      <c r="G1199" s="70"/>
      <c r="H1199" s="400"/>
      <c r="I1199" s="239"/>
    </row>
    <row r="1200" spans="6:9" x14ac:dyDescent="0.35">
      <c r="F1200" s="33"/>
      <c r="G1200" s="70"/>
      <c r="H1200" s="400"/>
      <c r="I1200" s="239"/>
    </row>
    <row r="1201" spans="6:9" x14ac:dyDescent="0.35">
      <c r="F1201" s="33"/>
      <c r="G1201" s="70"/>
      <c r="H1201" s="400"/>
      <c r="I1201" s="239"/>
    </row>
    <row r="1202" spans="6:9" x14ac:dyDescent="0.35">
      <c r="F1202" s="33"/>
      <c r="G1202" s="70"/>
      <c r="H1202" s="400"/>
      <c r="I1202" s="239"/>
    </row>
    <row r="1203" spans="6:9" x14ac:dyDescent="0.35">
      <c r="F1203" s="33"/>
      <c r="G1203" s="70"/>
      <c r="H1203" s="400"/>
      <c r="I1203" s="239"/>
    </row>
    <row r="1204" spans="6:9" x14ac:dyDescent="0.35">
      <c r="F1204" s="33"/>
      <c r="G1204" s="70"/>
      <c r="H1204" s="400"/>
      <c r="I1204" s="239"/>
    </row>
    <row r="1205" spans="6:9" x14ac:dyDescent="0.35">
      <c r="F1205" s="33"/>
      <c r="G1205" s="70"/>
      <c r="H1205" s="400"/>
      <c r="I1205" s="239"/>
    </row>
    <row r="1206" spans="6:9" x14ac:dyDescent="0.35">
      <c r="F1206" s="33"/>
      <c r="G1206" s="70"/>
      <c r="H1206" s="400"/>
      <c r="I1206" s="239"/>
    </row>
    <row r="1207" spans="6:9" x14ac:dyDescent="0.35">
      <c r="F1207" s="33"/>
      <c r="G1207" s="70"/>
      <c r="H1207" s="400"/>
      <c r="I1207" s="239"/>
    </row>
    <row r="1208" spans="6:9" x14ac:dyDescent="0.35">
      <c r="F1208" s="33"/>
      <c r="G1208" s="70"/>
      <c r="H1208" s="400"/>
      <c r="I1208" s="239"/>
    </row>
    <row r="1209" spans="6:9" x14ac:dyDescent="0.35">
      <c r="F1209" s="33"/>
      <c r="G1209" s="70"/>
      <c r="H1209" s="400"/>
      <c r="I1209" s="239"/>
    </row>
    <row r="1210" spans="6:9" x14ac:dyDescent="0.35">
      <c r="F1210" s="33"/>
      <c r="G1210" s="70"/>
      <c r="H1210" s="400"/>
      <c r="I1210" s="239"/>
    </row>
    <row r="1211" spans="6:9" x14ac:dyDescent="0.35">
      <c r="F1211" s="33"/>
      <c r="G1211" s="70"/>
      <c r="H1211" s="400"/>
      <c r="I1211" s="239"/>
    </row>
    <row r="1212" spans="6:9" x14ac:dyDescent="0.35">
      <c r="F1212" s="33"/>
      <c r="G1212" s="70"/>
      <c r="H1212" s="400"/>
      <c r="I1212" s="239"/>
    </row>
    <row r="1213" spans="6:9" x14ac:dyDescent="0.35">
      <c r="F1213" s="33"/>
      <c r="G1213" s="70"/>
      <c r="H1213" s="400"/>
      <c r="I1213" s="239"/>
    </row>
    <row r="1214" spans="6:9" x14ac:dyDescent="0.35">
      <c r="F1214" s="33"/>
      <c r="G1214" s="70"/>
      <c r="H1214" s="400"/>
      <c r="I1214" s="239"/>
    </row>
    <row r="1215" spans="6:9" x14ac:dyDescent="0.35">
      <c r="F1215" s="33"/>
      <c r="G1215" s="70"/>
      <c r="H1215" s="400"/>
      <c r="I1215" s="239"/>
    </row>
    <row r="1216" spans="6:9" x14ac:dyDescent="0.35">
      <c r="F1216" s="33"/>
      <c r="G1216" s="70"/>
      <c r="H1216" s="400"/>
      <c r="I1216" s="239"/>
    </row>
    <row r="1217" spans="6:9" x14ac:dyDescent="0.35">
      <c r="F1217" s="33"/>
      <c r="G1217" s="70"/>
      <c r="H1217" s="400"/>
      <c r="I1217" s="239"/>
    </row>
    <row r="1218" spans="6:9" x14ac:dyDescent="0.35">
      <c r="F1218" s="33"/>
      <c r="G1218" s="70"/>
      <c r="H1218" s="400"/>
      <c r="I1218" s="239"/>
    </row>
    <row r="1219" spans="6:9" x14ac:dyDescent="0.35">
      <c r="F1219" s="33"/>
      <c r="G1219" s="70"/>
      <c r="H1219" s="400"/>
      <c r="I1219" s="239"/>
    </row>
    <row r="1220" spans="6:9" x14ac:dyDescent="0.35">
      <c r="F1220" s="33"/>
      <c r="G1220" s="70"/>
      <c r="H1220" s="400"/>
      <c r="I1220" s="239"/>
    </row>
    <row r="1221" spans="6:9" x14ac:dyDescent="0.35">
      <c r="F1221" s="33"/>
      <c r="G1221" s="70"/>
      <c r="H1221" s="400"/>
      <c r="I1221" s="239"/>
    </row>
    <row r="1222" spans="6:9" x14ac:dyDescent="0.35">
      <c r="F1222" s="33"/>
      <c r="G1222" s="70"/>
      <c r="H1222" s="400"/>
      <c r="I1222" s="239"/>
    </row>
    <row r="1223" spans="6:9" x14ac:dyDescent="0.35">
      <c r="F1223" s="33"/>
      <c r="G1223" s="70"/>
      <c r="H1223" s="400"/>
      <c r="I1223" s="239"/>
    </row>
    <row r="1224" spans="6:9" x14ac:dyDescent="0.35">
      <c r="F1224" s="33"/>
      <c r="G1224" s="70"/>
      <c r="H1224" s="400"/>
      <c r="I1224" s="239"/>
    </row>
    <row r="1225" spans="6:9" x14ac:dyDescent="0.35">
      <c r="F1225" s="33"/>
      <c r="G1225" s="70"/>
      <c r="H1225" s="400"/>
      <c r="I1225" s="239"/>
    </row>
    <row r="1226" spans="6:9" x14ac:dyDescent="0.35">
      <c r="F1226" s="33"/>
      <c r="G1226" s="70"/>
      <c r="H1226" s="400"/>
      <c r="I1226" s="239"/>
    </row>
    <row r="1227" spans="6:9" x14ac:dyDescent="0.35">
      <c r="F1227" s="33"/>
      <c r="G1227" s="70"/>
      <c r="H1227" s="400"/>
      <c r="I1227" s="239"/>
    </row>
    <row r="1228" spans="6:9" x14ac:dyDescent="0.35">
      <c r="F1228" s="33"/>
      <c r="G1228" s="70"/>
      <c r="H1228" s="400"/>
      <c r="I1228" s="239"/>
    </row>
    <row r="1229" spans="6:9" x14ac:dyDescent="0.35">
      <c r="F1229" s="33"/>
      <c r="G1229" s="70"/>
      <c r="H1229" s="400"/>
      <c r="I1229" s="239"/>
    </row>
    <row r="1230" spans="6:9" x14ac:dyDescent="0.35">
      <c r="F1230" s="33"/>
      <c r="G1230" s="70"/>
      <c r="H1230" s="400"/>
      <c r="I1230" s="239"/>
    </row>
    <row r="1231" spans="6:9" x14ac:dyDescent="0.35">
      <c r="F1231" s="33"/>
      <c r="G1231" s="70"/>
      <c r="H1231" s="400"/>
      <c r="I1231" s="239"/>
    </row>
    <row r="1232" spans="6:9" x14ac:dyDescent="0.35">
      <c r="F1232" s="33"/>
      <c r="G1232" s="70"/>
      <c r="H1232" s="400"/>
      <c r="I1232" s="239"/>
    </row>
    <row r="1233" spans="6:9" x14ac:dyDescent="0.35">
      <c r="F1233" s="33"/>
      <c r="G1233" s="70"/>
      <c r="H1233" s="400"/>
      <c r="I1233" s="239"/>
    </row>
    <row r="1234" spans="6:9" x14ac:dyDescent="0.35">
      <c r="F1234" s="33"/>
      <c r="G1234" s="70"/>
      <c r="H1234" s="400"/>
      <c r="I1234" s="239"/>
    </row>
    <row r="1235" spans="6:9" x14ac:dyDescent="0.35">
      <c r="F1235" s="33"/>
      <c r="G1235" s="70"/>
      <c r="H1235" s="400"/>
      <c r="I1235" s="239"/>
    </row>
    <row r="1236" spans="6:9" x14ac:dyDescent="0.35">
      <c r="F1236" s="33"/>
      <c r="G1236" s="70"/>
      <c r="H1236" s="400"/>
      <c r="I1236" s="239"/>
    </row>
    <row r="1237" spans="6:9" x14ac:dyDescent="0.35">
      <c r="F1237" s="33"/>
      <c r="G1237" s="70"/>
      <c r="H1237" s="400"/>
      <c r="I1237" s="239"/>
    </row>
    <row r="1238" spans="6:9" x14ac:dyDescent="0.35">
      <c r="F1238" s="33"/>
      <c r="G1238" s="70"/>
      <c r="H1238" s="400"/>
      <c r="I1238" s="239"/>
    </row>
    <row r="1239" spans="6:9" x14ac:dyDescent="0.35">
      <c r="F1239" s="33"/>
      <c r="G1239" s="70"/>
      <c r="H1239" s="400"/>
      <c r="I1239" s="239"/>
    </row>
    <row r="1240" spans="6:9" x14ac:dyDescent="0.35">
      <c r="F1240" s="33"/>
      <c r="G1240" s="70"/>
      <c r="H1240" s="400"/>
      <c r="I1240" s="239"/>
    </row>
    <row r="1241" spans="6:9" x14ac:dyDescent="0.35">
      <c r="F1241" s="33"/>
      <c r="G1241" s="70"/>
      <c r="H1241" s="400"/>
      <c r="I1241" s="239"/>
    </row>
    <row r="1242" spans="6:9" x14ac:dyDescent="0.35">
      <c r="F1242" s="33"/>
      <c r="G1242" s="70"/>
      <c r="H1242" s="400"/>
      <c r="I1242" s="239"/>
    </row>
    <row r="1243" spans="6:9" x14ac:dyDescent="0.35">
      <c r="F1243" s="33"/>
      <c r="G1243" s="70"/>
      <c r="H1243" s="400"/>
      <c r="I1243" s="239"/>
    </row>
    <row r="1244" spans="6:9" x14ac:dyDescent="0.35">
      <c r="F1244" s="33"/>
      <c r="G1244" s="70"/>
      <c r="H1244" s="400"/>
      <c r="I1244" s="239"/>
    </row>
    <row r="1245" spans="6:9" x14ac:dyDescent="0.35">
      <c r="F1245" s="33"/>
      <c r="G1245" s="70"/>
      <c r="H1245" s="400"/>
      <c r="I1245" s="239"/>
    </row>
    <row r="1246" spans="6:9" x14ac:dyDescent="0.35">
      <c r="F1246" s="33"/>
      <c r="G1246" s="70"/>
      <c r="H1246" s="400"/>
      <c r="I1246" s="239"/>
    </row>
    <row r="1247" spans="6:9" x14ac:dyDescent="0.35">
      <c r="F1247" s="33"/>
      <c r="G1247" s="70"/>
      <c r="H1247" s="400"/>
      <c r="I1247" s="239"/>
    </row>
    <row r="1248" spans="6:9" x14ac:dyDescent="0.35">
      <c r="F1248" s="33"/>
      <c r="G1248" s="70"/>
      <c r="H1248" s="400"/>
      <c r="I1248" s="239"/>
    </row>
    <row r="1249" spans="6:9" x14ac:dyDescent="0.35">
      <c r="F1249" s="33"/>
      <c r="G1249" s="70"/>
      <c r="H1249" s="400"/>
      <c r="I1249" s="239"/>
    </row>
    <row r="1250" spans="6:9" x14ac:dyDescent="0.35">
      <c r="F1250" s="33"/>
      <c r="G1250" s="70"/>
      <c r="H1250" s="400"/>
      <c r="I1250" s="239"/>
    </row>
    <row r="1251" spans="6:9" x14ac:dyDescent="0.35">
      <c r="F1251" s="33"/>
      <c r="G1251" s="70"/>
      <c r="H1251" s="400"/>
      <c r="I1251" s="239"/>
    </row>
    <row r="1252" spans="6:9" x14ac:dyDescent="0.35">
      <c r="F1252" s="33"/>
      <c r="G1252" s="70"/>
      <c r="H1252" s="400"/>
      <c r="I1252" s="239"/>
    </row>
    <row r="1253" spans="6:9" x14ac:dyDescent="0.35">
      <c r="F1253" s="33"/>
      <c r="G1253" s="70"/>
      <c r="H1253" s="400"/>
      <c r="I1253" s="239"/>
    </row>
    <row r="1254" spans="6:9" x14ac:dyDescent="0.35">
      <c r="F1254" s="33"/>
      <c r="G1254" s="70"/>
      <c r="H1254" s="400"/>
      <c r="I1254" s="239"/>
    </row>
    <row r="1255" spans="6:9" x14ac:dyDescent="0.35">
      <c r="F1255" s="33"/>
      <c r="G1255" s="70"/>
      <c r="H1255" s="400"/>
      <c r="I1255" s="239"/>
    </row>
    <row r="1256" spans="6:9" x14ac:dyDescent="0.35">
      <c r="F1256" s="33"/>
      <c r="G1256" s="70"/>
      <c r="H1256" s="400"/>
      <c r="I1256" s="239"/>
    </row>
    <row r="1257" spans="6:9" x14ac:dyDescent="0.35">
      <c r="F1257" s="33"/>
      <c r="G1257" s="70"/>
      <c r="H1257" s="400"/>
      <c r="I1257" s="239"/>
    </row>
    <row r="1258" spans="6:9" x14ac:dyDescent="0.35">
      <c r="F1258" s="33"/>
      <c r="G1258" s="70"/>
      <c r="H1258" s="400"/>
      <c r="I1258" s="239"/>
    </row>
    <row r="1259" spans="6:9" x14ac:dyDescent="0.35">
      <c r="F1259" s="33"/>
      <c r="G1259" s="70"/>
      <c r="H1259" s="400"/>
      <c r="I1259" s="239"/>
    </row>
    <row r="1260" spans="6:9" x14ac:dyDescent="0.35">
      <c r="F1260" s="33"/>
      <c r="G1260" s="70"/>
      <c r="H1260" s="400"/>
      <c r="I1260" s="239"/>
    </row>
    <row r="1261" spans="6:9" x14ac:dyDescent="0.35">
      <c r="F1261" s="33"/>
      <c r="G1261" s="70"/>
      <c r="H1261" s="400"/>
      <c r="I1261" s="239"/>
    </row>
    <row r="1262" spans="6:9" x14ac:dyDescent="0.35">
      <c r="F1262" s="33"/>
      <c r="G1262" s="70"/>
      <c r="H1262" s="400"/>
      <c r="I1262" s="239"/>
    </row>
    <row r="1263" spans="6:9" x14ac:dyDescent="0.35">
      <c r="F1263" s="33"/>
      <c r="G1263" s="70"/>
      <c r="H1263" s="400"/>
      <c r="I1263" s="239"/>
    </row>
    <row r="1264" spans="6:9" x14ac:dyDescent="0.35">
      <c r="F1264" s="33"/>
      <c r="G1264" s="70"/>
      <c r="H1264" s="400"/>
      <c r="I1264" s="239"/>
    </row>
    <row r="1265" spans="6:9" x14ac:dyDescent="0.35">
      <c r="F1265" s="33"/>
      <c r="G1265" s="70"/>
      <c r="H1265" s="400"/>
      <c r="I1265" s="239"/>
    </row>
    <row r="1266" spans="6:9" x14ac:dyDescent="0.35">
      <c r="F1266" s="33"/>
      <c r="G1266" s="70"/>
      <c r="H1266" s="400"/>
      <c r="I1266" s="239"/>
    </row>
    <row r="1267" spans="6:9" x14ac:dyDescent="0.35">
      <c r="F1267" s="33"/>
      <c r="G1267" s="70"/>
      <c r="H1267" s="400"/>
      <c r="I1267" s="239"/>
    </row>
    <row r="1268" spans="6:9" x14ac:dyDescent="0.35">
      <c r="F1268" s="33"/>
      <c r="G1268" s="70"/>
      <c r="H1268" s="400"/>
      <c r="I1268" s="239"/>
    </row>
    <row r="1269" spans="6:9" x14ac:dyDescent="0.35">
      <c r="F1269" s="33"/>
      <c r="G1269" s="70"/>
      <c r="H1269" s="400"/>
      <c r="I1269" s="239"/>
    </row>
    <row r="1270" spans="6:9" x14ac:dyDescent="0.35">
      <c r="F1270" s="33"/>
      <c r="G1270" s="70"/>
      <c r="H1270" s="400"/>
      <c r="I1270" s="239"/>
    </row>
    <row r="1271" spans="6:9" x14ac:dyDescent="0.35">
      <c r="F1271" s="33"/>
      <c r="G1271" s="70"/>
      <c r="H1271" s="400"/>
      <c r="I1271" s="239"/>
    </row>
    <row r="1272" spans="6:9" x14ac:dyDescent="0.35">
      <c r="F1272" s="33"/>
      <c r="G1272" s="70"/>
      <c r="H1272" s="400"/>
      <c r="I1272" s="239"/>
    </row>
    <row r="1273" spans="6:9" x14ac:dyDescent="0.35">
      <c r="F1273" s="33"/>
      <c r="G1273" s="70"/>
      <c r="H1273" s="400"/>
      <c r="I1273" s="239"/>
    </row>
    <row r="1274" spans="6:9" x14ac:dyDescent="0.35">
      <c r="F1274" s="33"/>
      <c r="G1274" s="70"/>
      <c r="H1274" s="400"/>
      <c r="I1274" s="239"/>
    </row>
    <row r="1275" spans="6:9" x14ac:dyDescent="0.35">
      <c r="F1275" s="33"/>
      <c r="G1275" s="70"/>
      <c r="H1275" s="400"/>
      <c r="I1275" s="239"/>
    </row>
    <row r="1276" spans="6:9" x14ac:dyDescent="0.35">
      <c r="F1276" s="33"/>
      <c r="G1276" s="70"/>
      <c r="H1276" s="400"/>
      <c r="I1276" s="239"/>
    </row>
    <row r="1277" spans="6:9" x14ac:dyDescent="0.35">
      <c r="F1277" s="33"/>
      <c r="G1277" s="70"/>
      <c r="H1277" s="400"/>
      <c r="I1277" s="239"/>
    </row>
    <row r="1278" spans="6:9" x14ac:dyDescent="0.35">
      <c r="F1278" s="33"/>
      <c r="G1278" s="70"/>
      <c r="H1278" s="400"/>
      <c r="I1278" s="239"/>
    </row>
    <row r="1279" spans="6:9" x14ac:dyDescent="0.35">
      <c r="F1279" s="33"/>
      <c r="G1279" s="70"/>
      <c r="H1279" s="400"/>
      <c r="I1279" s="239"/>
    </row>
    <row r="1280" spans="6:9" x14ac:dyDescent="0.35">
      <c r="F1280" s="33"/>
      <c r="G1280" s="70"/>
      <c r="H1280" s="400"/>
      <c r="I1280" s="239"/>
    </row>
    <row r="1281" spans="6:9" x14ac:dyDescent="0.35">
      <c r="F1281" s="33"/>
      <c r="G1281" s="70"/>
      <c r="H1281" s="400"/>
      <c r="I1281" s="239"/>
    </row>
    <row r="1282" spans="6:9" x14ac:dyDescent="0.35">
      <c r="F1282" s="33"/>
      <c r="G1282" s="70"/>
      <c r="H1282" s="400"/>
      <c r="I1282" s="239"/>
    </row>
    <row r="1283" spans="6:9" x14ac:dyDescent="0.35">
      <c r="F1283" s="33"/>
      <c r="G1283" s="70"/>
      <c r="H1283" s="400"/>
      <c r="I1283" s="239"/>
    </row>
    <row r="1284" spans="6:9" x14ac:dyDescent="0.35">
      <c r="F1284" s="33"/>
      <c r="G1284" s="70"/>
      <c r="H1284" s="400"/>
      <c r="I1284" s="239"/>
    </row>
    <row r="1285" spans="6:9" x14ac:dyDescent="0.35">
      <c r="F1285" s="33"/>
      <c r="G1285" s="70"/>
      <c r="H1285" s="400"/>
      <c r="I1285" s="239"/>
    </row>
    <row r="1286" spans="6:9" x14ac:dyDescent="0.35">
      <c r="F1286" s="33"/>
      <c r="G1286" s="70"/>
      <c r="H1286" s="400"/>
      <c r="I1286" s="239"/>
    </row>
    <row r="1287" spans="6:9" x14ac:dyDescent="0.35">
      <c r="F1287" s="33"/>
      <c r="G1287" s="70"/>
      <c r="H1287" s="400"/>
      <c r="I1287" s="239"/>
    </row>
    <row r="1288" spans="6:9" x14ac:dyDescent="0.35">
      <c r="F1288" s="33"/>
      <c r="G1288" s="70"/>
      <c r="H1288" s="400"/>
      <c r="I1288" s="239"/>
    </row>
    <row r="1289" spans="6:9" x14ac:dyDescent="0.35">
      <c r="F1289" s="33"/>
      <c r="G1289" s="70"/>
      <c r="H1289" s="400"/>
      <c r="I1289" s="239"/>
    </row>
    <row r="1290" spans="6:9" x14ac:dyDescent="0.35">
      <c r="F1290" s="33"/>
      <c r="G1290" s="70"/>
      <c r="H1290" s="400"/>
      <c r="I1290" s="239"/>
    </row>
    <row r="1291" spans="6:9" x14ac:dyDescent="0.35">
      <c r="F1291" s="33"/>
      <c r="G1291" s="70"/>
      <c r="H1291" s="400"/>
      <c r="I1291" s="239"/>
    </row>
    <row r="1292" spans="6:9" x14ac:dyDescent="0.35">
      <c r="F1292" s="33"/>
      <c r="G1292" s="70"/>
      <c r="H1292" s="400"/>
      <c r="I1292" s="239"/>
    </row>
    <row r="1293" spans="6:9" x14ac:dyDescent="0.35">
      <c r="F1293" s="33"/>
      <c r="G1293" s="70"/>
      <c r="H1293" s="400"/>
      <c r="I1293" s="239"/>
    </row>
    <row r="1294" spans="6:9" x14ac:dyDescent="0.35">
      <c r="F1294" s="33"/>
      <c r="G1294" s="70"/>
      <c r="H1294" s="400"/>
      <c r="I1294" s="239"/>
    </row>
    <row r="1295" spans="6:9" x14ac:dyDescent="0.35">
      <c r="F1295" s="33"/>
      <c r="G1295" s="70"/>
      <c r="H1295" s="400"/>
      <c r="I1295" s="239"/>
    </row>
    <row r="1296" spans="6:9" x14ac:dyDescent="0.35">
      <c r="F1296" s="33"/>
      <c r="G1296" s="70"/>
      <c r="H1296" s="400"/>
      <c r="I1296" s="239"/>
    </row>
    <row r="1297" spans="6:9" x14ac:dyDescent="0.35">
      <c r="F1297" s="33"/>
      <c r="G1297" s="70"/>
      <c r="H1297" s="400"/>
      <c r="I1297" s="239"/>
    </row>
    <row r="1298" spans="6:9" x14ac:dyDescent="0.35">
      <c r="F1298" s="33"/>
      <c r="G1298" s="70"/>
      <c r="H1298" s="400"/>
      <c r="I1298" s="239"/>
    </row>
    <row r="1299" spans="6:9" x14ac:dyDescent="0.35">
      <c r="F1299" s="33"/>
      <c r="G1299" s="70"/>
      <c r="H1299" s="400"/>
      <c r="I1299" s="239"/>
    </row>
    <row r="1300" spans="6:9" x14ac:dyDescent="0.35">
      <c r="F1300" s="33"/>
      <c r="G1300" s="70"/>
      <c r="H1300" s="400"/>
      <c r="I1300" s="239"/>
    </row>
    <row r="1301" spans="6:9" x14ac:dyDescent="0.35">
      <c r="F1301" s="33"/>
      <c r="G1301" s="70"/>
      <c r="H1301" s="400"/>
      <c r="I1301" s="239"/>
    </row>
    <row r="1302" spans="6:9" x14ac:dyDescent="0.35">
      <c r="F1302" s="33"/>
      <c r="G1302" s="70"/>
      <c r="H1302" s="400"/>
      <c r="I1302" s="239"/>
    </row>
    <row r="1303" spans="6:9" x14ac:dyDescent="0.35">
      <c r="F1303" s="33"/>
      <c r="G1303" s="70"/>
      <c r="H1303" s="400"/>
      <c r="I1303" s="239"/>
    </row>
    <row r="1304" spans="6:9" x14ac:dyDescent="0.35">
      <c r="F1304" s="33"/>
      <c r="G1304" s="70"/>
      <c r="H1304" s="400"/>
      <c r="I1304" s="239"/>
    </row>
    <row r="1305" spans="6:9" x14ac:dyDescent="0.35">
      <c r="F1305" s="33"/>
      <c r="G1305" s="70"/>
      <c r="H1305" s="400"/>
      <c r="I1305" s="239"/>
    </row>
    <row r="1306" spans="6:9" x14ac:dyDescent="0.35">
      <c r="F1306" s="33"/>
      <c r="G1306" s="70"/>
      <c r="H1306" s="400"/>
      <c r="I1306" s="239"/>
    </row>
    <row r="1307" spans="6:9" x14ac:dyDescent="0.35">
      <c r="F1307" s="33"/>
      <c r="G1307" s="70"/>
      <c r="H1307" s="400"/>
      <c r="I1307" s="239"/>
    </row>
    <row r="1308" spans="6:9" x14ac:dyDescent="0.35">
      <c r="F1308" s="33"/>
      <c r="G1308" s="70"/>
      <c r="H1308" s="400"/>
      <c r="I1308" s="239"/>
    </row>
    <row r="1309" spans="6:9" x14ac:dyDescent="0.35">
      <c r="F1309" s="33"/>
      <c r="G1309" s="70"/>
      <c r="H1309" s="400"/>
      <c r="I1309" s="239"/>
    </row>
    <row r="1310" spans="6:9" x14ac:dyDescent="0.35">
      <c r="F1310" s="33"/>
      <c r="G1310" s="70"/>
      <c r="H1310" s="400"/>
      <c r="I1310" s="239"/>
    </row>
    <row r="1311" spans="6:9" x14ac:dyDescent="0.35">
      <c r="F1311" s="33"/>
      <c r="G1311" s="70"/>
      <c r="H1311" s="400"/>
      <c r="I1311" s="239"/>
    </row>
    <row r="1312" spans="6:9" x14ac:dyDescent="0.35">
      <c r="F1312" s="33"/>
      <c r="G1312" s="70"/>
      <c r="H1312" s="400"/>
      <c r="I1312" s="239"/>
    </row>
    <row r="1313" spans="6:9" x14ac:dyDescent="0.35">
      <c r="F1313" s="33"/>
      <c r="G1313" s="70"/>
      <c r="H1313" s="400"/>
      <c r="I1313" s="239"/>
    </row>
    <row r="1314" spans="6:9" x14ac:dyDescent="0.35">
      <c r="F1314" s="33"/>
      <c r="G1314" s="70"/>
      <c r="H1314" s="400"/>
      <c r="I1314" s="239"/>
    </row>
    <row r="1315" spans="6:9" x14ac:dyDescent="0.35">
      <c r="F1315" s="33"/>
      <c r="G1315" s="70"/>
      <c r="H1315" s="400"/>
      <c r="I1315" s="239"/>
    </row>
    <row r="1316" spans="6:9" x14ac:dyDescent="0.35">
      <c r="F1316" s="33"/>
      <c r="G1316" s="70"/>
      <c r="H1316" s="400"/>
      <c r="I1316" s="239"/>
    </row>
    <row r="1317" spans="6:9" x14ac:dyDescent="0.35">
      <c r="F1317" s="33"/>
      <c r="G1317" s="70"/>
      <c r="H1317" s="400"/>
      <c r="I1317" s="239"/>
    </row>
    <row r="1318" spans="6:9" x14ac:dyDescent="0.35">
      <c r="F1318" s="33"/>
      <c r="G1318" s="70"/>
      <c r="H1318" s="400"/>
      <c r="I1318" s="239"/>
    </row>
    <row r="1319" spans="6:9" x14ac:dyDescent="0.35">
      <c r="F1319" s="33"/>
      <c r="G1319" s="70"/>
      <c r="H1319" s="400"/>
      <c r="I1319" s="239"/>
    </row>
    <row r="1320" spans="6:9" x14ac:dyDescent="0.35">
      <c r="F1320" s="33"/>
      <c r="G1320" s="70"/>
      <c r="H1320" s="400"/>
      <c r="I1320" s="239"/>
    </row>
    <row r="1321" spans="6:9" x14ac:dyDescent="0.35">
      <c r="F1321" s="33"/>
      <c r="G1321" s="70"/>
      <c r="H1321" s="400"/>
      <c r="I1321" s="239"/>
    </row>
    <row r="1322" spans="6:9" x14ac:dyDescent="0.35">
      <c r="F1322" s="33"/>
      <c r="G1322" s="70"/>
      <c r="H1322" s="400"/>
      <c r="I1322" s="239"/>
    </row>
    <row r="1323" spans="6:9" x14ac:dyDescent="0.35">
      <c r="F1323" s="33"/>
      <c r="G1323" s="70"/>
      <c r="H1323" s="400"/>
      <c r="I1323" s="239"/>
    </row>
    <row r="1324" spans="6:9" x14ac:dyDescent="0.35">
      <c r="F1324" s="33"/>
      <c r="G1324" s="70"/>
      <c r="H1324" s="400"/>
      <c r="I1324" s="239"/>
    </row>
    <row r="1325" spans="6:9" x14ac:dyDescent="0.35">
      <c r="F1325" s="33"/>
      <c r="G1325" s="70"/>
      <c r="H1325" s="400"/>
      <c r="I1325" s="239"/>
    </row>
    <row r="1326" spans="6:9" x14ac:dyDescent="0.35">
      <c r="F1326" s="33"/>
      <c r="G1326" s="70"/>
      <c r="H1326" s="400"/>
      <c r="I1326" s="239"/>
    </row>
    <row r="1327" spans="6:9" x14ac:dyDescent="0.35">
      <c r="F1327" s="33"/>
      <c r="G1327" s="70"/>
      <c r="H1327" s="400"/>
      <c r="I1327" s="239"/>
    </row>
    <row r="1328" spans="6:9" x14ac:dyDescent="0.35">
      <c r="F1328" s="33"/>
      <c r="G1328" s="70"/>
      <c r="H1328" s="400"/>
      <c r="I1328" s="239"/>
    </row>
    <row r="1329" spans="6:9" x14ac:dyDescent="0.35">
      <c r="F1329" s="33"/>
      <c r="G1329" s="70"/>
      <c r="H1329" s="400"/>
      <c r="I1329" s="239"/>
    </row>
    <row r="1330" spans="6:9" x14ac:dyDescent="0.35">
      <c r="F1330" s="33"/>
      <c r="G1330" s="70"/>
      <c r="H1330" s="400"/>
      <c r="I1330" s="239"/>
    </row>
    <row r="1331" spans="6:9" x14ac:dyDescent="0.35">
      <c r="F1331" s="33"/>
      <c r="G1331" s="70"/>
      <c r="H1331" s="400"/>
      <c r="I1331" s="239"/>
    </row>
    <row r="1332" spans="6:9" x14ac:dyDescent="0.35">
      <c r="F1332" s="33"/>
      <c r="G1332" s="70"/>
      <c r="H1332" s="400"/>
      <c r="I1332" s="239"/>
    </row>
    <row r="1333" spans="6:9" x14ac:dyDescent="0.35">
      <c r="F1333" s="33"/>
      <c r="G1333" s="70"/>
      <c r="H1333" s="400"/>
      <c r="I1333" s="239"/>
    </row>
    <row r="1334" spans="6:9" x14ac:dyDescent="0.35">
      <c r="F1334" s="33"/>
      <c r="G1334" s="70"/>
      <c r="H1334" s="400"/>
      <c r="I1334" s="239"/>
    </row>
    <row r="1335" spans="6:9" x14ac:dyDescent="0.35">
      <c r="F1335" s="33"/>
      <c r="G1335" s="70"/>
      <c r="H1335" s="400"/>
      <c r="I1335" s="239"/>
    </row>
    <row r="1336" spans="6:9" x14ac:dyDescent="0.35">
      <c r="F1336" s="33"/>
      <c r="G1336" s="70"/>
      <c r="H1336" s="400"/>
      <c r="I1336" s="239"/>
    </row>
    <row r="1337" spans="6:9" x14ac:dyDescent="0.35">
      <c r="F1337" s="33"/>
      <c r="G1337" s="70"/>
      <c r="H1337" s="400"/>
      <c r="I1337" s="239"/>
    </row>
    <row r="1338" spans="6:9" x14ac:dyDescent="0.35">
      <c r="F1338" s="33"/>
      <c r="G1338" s="70"/>
      <c r="H1338" s="400"/>
      <c r="I1338" s="239"/>
    </row>
    <row r="1339" spans="6:9" x14ac:dyDescent="0.35">
      <c r="F1339" s="33"/>
      <c r="G1339" s="70"/>
      <c r="H1339" s="400"/>
      <c r="I1339" s="239"/>
    </row>
    <row r="1340" spans="6:9" x14ac:dyDescent="0.35">
      <c r="F1340" s="33"/>
      <c r="G1340" s="70"/>
      <c r="H1340" s="400"/>
      <c r="I1340" s="239"/>
    </row>
    <row r="1341" spans="6:9" x14ac:dyDescent="0.35">
      <c r="F1341" s="33"/>
      <c r="G1341" s="70"/>
      <c r="H1341" s="400"/>
      <c r="I1341" s="239"/>
    </row>
    <row r="1342" spans="6:9" x14ac:dyDescent="0.35">
      <c r="F1342" s="33"/>
      <c r="G1342" s="70"/>
      <c r="H1342" s="400"/>
      <c r="I1342" s="239"/>
    </row>
    <row r="1343" spans="6:9" x14ac:dyDescent="0.35">
      <c r="F1343" s="33"/>
      <c r="G1343" s="70"/>
      <c r="H1343" s="400"/>
      <c r="I1343" s="239"/>
    </row>
    <row r="1344" spans="6:9" x14ac:dyDescent="0.35">
      <c r="F1344" s="33"/>
      <c r="G1344" s="70"/>
      <c r="H1344" s="400"/>
      <c r="I1344" s="239"/>
    </row>
    <row r="1345" spans="6:9" x14ac:dyDescent="0.35">
      <c r="F1345" s="33"/>
      <c r="G1345" s="70"/>
      <c r="H1345" s="400"/>
      <c r="I1345" s="239"/>
    </row>
    <row r="1346" spans="6:9" x14ac:dyDescent="0.35">
      <c r="F1346" s="33"/>
      <c r="G1346" s="70"/>
      <c r="H1346" s="400"/>
      <c r="I1346" s="239"/>
    </row>
    <row r="1347" spans="6:9" x14ac:dyDescent="0.35">
      <c r="F1347" s="33"/>
      <c r="G1347" s="70"/>
      <c r="H1347" s="400"/>
      <c r="I1347" s="239"/>
    </row>
    <row r="1348" spans="6:9" x14ac:dyDescent="0.35">
      <c r="F1348" s="33"/>
      <c r="G1348" s="70"/>
      <c r="H1348" s="400"/>
      <c r="I1348" s="239"/>
    </row>
    <row r="1349" spans="6:9" x14ac:dyDescent="0.35">
      <c r="F1349" s="33"/>
      <c r="G1349" s="70"/>
      <c r="H1349" s="400"/>
      <c r="I1349" s="239"/>
    </row>
    <row r="1350" spans="6:9" x14ac:dyDescent="0.35">
      <c r="F1350" s="33"/>
      <c r="G1350" s="70"/>
      <c r="H1350" s="400"/>
      <c r="I1350" s="239"/>
    </row>
    <row r="1351" spans="6:9" x14ac:dyDescent="0.35">
      <c r="F1351" s="33"/>
      <c r="G1351" s="70"/>
      <c r="H1351" s="400"/>
      <c r="I1351" s="239"/>
    </row>
    <row r="1352" spans="6:9" x14ac:dyDescent="0.35">
      <c r="F1352" s="33"/>
      <c r="G1352" s="70"/>
      <c r="H1352" s="400"/>
      <c r="I1352" s="239"/>
    </row>
    <row r="1353" spans="6:9" x14ac:dyDescent="0.35">
      <c r="F1353" s="33"/>
      <c r="G1353" s="70"/>
      <c r="H1353" s="400"/>
      <c r="I1353" s="239"/>
    </row>
    <row r="1354" spans="6:9" x14ac:dyDescent="0.35">
      <c r="F1354" s="33"/>
      <c r="G1354" s="70"/>
      <c r="H1354" s="400"/>
      <c r="I1354" s="239"/>
    </row>
    <row r="1355" spans="6:9" x14ac:dyDescent="0.35">
      <c r="F1355" s="33"/>
      <c r="G1355" s="70"/>
      <c r="H1355" s="400"/>
      <c r="I1355" s="239"/>
    </row>
    <row r="1356" spans="6:9" x14ac:dyDescent="0.35">
      <c r="F1356" s="33"/>
      <c r="G1356" s="70"/>
      <c r="H1356" s="400"/>
      <c r="I1356" s="239"/>
    </row>
    <row r="1357" spans="6:9" x14ac:dyDescent="0.35">
      <c r="F1357" s="33"/>
      <c r="G1357" s="70"/>
      <c r="H1357" s="400"/>
      <c r="I1357" s="239"/>
    </row>
    <row r="1358" spans="6:9" x14ac:dyDescent="0.35">
      <c r="F1358" s="33"/>
      <c r="G1358" s="70"/>
      <c r="H1358" s="400"/>
      <c r="I1358" s="239"/>
    </row>
    <row r="1359" spans="6:9" x14ac:dyDescent="0.35">
      <c r="F1359" s="33"/>
      <c r="G1359" s="70"/>
      <c r="H1359" s="400"/>
      <c r="I1359" s="239"/>
    </row>
    <row r="1360" spans="6:9" x14ac:dyDescent="0.35">
      <c r="F1360" s="33"/>
      <c r="G1360" s="70"/>
      <c r="H1360" s="400"/>
      <c r="I1360" s="239"/>
    </row>
    <row r="1361" spans="6:9" x14ac:dyDescent="0.35">
      <c r="F1361" s="33"/>
      <c r="G1361" s="70"/>
      <c r="H1361" s="400"/>
      <c r="I1361" s="239"/>
    </row>
    <row r="1362" spans="6:9" x14ac:dyDescent="0.35">
      <c r="F1362" s="33"/>
      <c r="G1362" s="70"/>
      <c r="H1362" s="400"/>
      <c r="I1362" s="239"/>
    </row>
    <row r="1363" spans="6:9" x14ac:dyDescent="0.35">
      <c r="F1363" s="33"/>
      <c r="G1363" s="70"/>
      <c r="H1363" s="400"/>
      <c r="I1363" s="239"/>
    </row>
    <row r="1364" spans="6:9" x14ac:dyDescent="0.35">
      <c r="F1364" s="33"/>
      <c r="G1364" s="70"/>
      <c r="H1364" s="400"/>
      <c r="I1364" s="239"/>
    </row>
    <row r="1365" spans="6:9" x14ac:dyDescent="0.35">
      <c r="F1365" s="33"/>
      <c r="G1365" s="70"/>
      <c r="H1365" s="400"/>
      <c r="I1365" s="239"/>
    </row>
    <row r="1366" spans="6:9" x14ac:dyDescent="0.35">
      <c r="F1366" s="33"/>
      <c r="G1366" s="70"/>
      <c r="H1366" s="400"/>
      <c r="I1366" s="239"/>
    </row>
    <row r="1367" spans="6:9" x14ac:dyDescent="0.35">
      <c r="F1367" s="33"/>
      <c r="G1367" s="70"/>
      <c r="H1367" s="400"/>
      <c r="I1367" s="239"/>
    </row>
    <row r="1368" spans="6:9" x14ac:dyDescent="0.35">
      <c r="F1368" s="33"/>
      <c r="G1368" s="70"/>
      <c r="H1368" s="400"/>
      <c r="I1368" s="239"/>
    </row>
    <row r="1369" spans="6:9" x14ac:dyDescent="0.35">
      <c r="F1369" s="33"/>
      <c r="G1369" s="70"/>
      <c r="H1369" s="400"/>
      <c r="I1369" s="239"/>
    </row>
    <row r="1370" spans="6:9" x14ac:dyDescent="0.35">
      <c r="F1370" s="33"/>
      <c r="G1370" s="70"/>
      <c r="H1370" s="400"/>
      <c r="I1370" s="239"/>
    </row>
    <row r="1371" spans="6:9" x14ac:dyDescent="0.35">
      <c r="F1371" s="33"/>
      <c r="G1371" s="70"/>
      <c r="H1371" s="400"/>
      <c r="I1371" s="239"/>
    </row>
    <row r="1372" spans="6:9" x14ac:dyDescent="0.35">
      <c r="F1372" s="33"/>
      <c r="G1372" s="70"/>
      <c r="H1372" s="400"/>
      <c r="I1372" s="239"/>
    </row>
    <row r="1373" spans="6:9" x14ac:dyDescent="0.35">
      <c r="F1373" s="33"/>
      <c r="G1373" s="70"/>
      <c r="H1373" s="400"/>
      <c r="I1373" s="239"/>
    </row>
    <row r="1374" spans="6:9" x14ac:dyDescent="0.35">
      <c r="F1374" s="33"/>
      <c r="G1374" s="70"/>
      <c r="H1374" s="400"/>
      <c r="I1374" s="239"/>
    </row>
    <row r="1375" spans="6:9" x14ac:dyDescent="0.35">
      <c r="F1375" s="33"/>
      <c r="G1375" s="70"/>
      <c r="H1375" s="400"/>
      <c r="I1375" s="239"/>
    </row>
    <row r="1376" spans="6:9" x14ac:dyDescent="0.35">
      <c r="F1376" s="33"/>
      <c r="G1376" s="70"/>
      <c r="H1376" s="400"/>
      <c r="I1376" s="239"/>
    </row>
    <row r="1377" spans="6:9" x14ac:dyDescent="0.35">
      <c r="F1377" s="33"/>
      <c r="G1377" s="70"/>
      <c r="H1377" s="400"/>
      <c r="I1377" s="239"/>
    </row>
    <row r="1378" spans="6:9" x14ac:dyDescent="0.35">
      <c r="F1378" s="33"/>
      <c r="G1378" s="70"/>
      <c r="H1378" s="400"/>
      <c r="I1378" s="239"/>
    </row>
    <row r="1379" spans="6:9" x14ac:dyDescent="0.35">
      <c r="F1379" s="33"/>
      <c r="G1379" s="70"/>
      <c r="H1379" s="400"/>
      <c r="I1379" s="239"/>
    </row>
    <row r="1380" spans="6:9" x14ac:dyDescent="0.35">
      <c r="F1380" s="33"/>
      <c r="G1380" s="70"/>
      <c r="H1380" s="400"/>
      <c r="I1380" s="239"/>
    </row>
    <row r="1381" spans="6:9" x14ac:dyDescent="0.35">
      <c r="F1381" s="33"/>
      <c r="G1381" s="70"/>
      <c r="H1381" s="400"/>
      <c r="I1381" s="239"/>
    </row>
    <row r="1382" spans="6:9" x14ac:dyDescent="0.35">
      <c r="F1382" s="33"/>
      <c r="G1382" s="70"/>
      <c r="H1382" s="400"/>
      <c r="I1382" s="239"/>
    </row>
    <row r="1383" spans="6:9" x14ac:dyDescent="0.35">
      <c r="F1383" s="33"/>
      <c r="G1383" s="70"/>
      <c r="H1383" s="400"/>
      <c r="I1383" s="239"/>
    </row>
    <row r="1384" spans="6:9" x14ac:dyDescent="0.35">
      <c r="F1384" s="33"/>
      <c r="G1384" s="70"/>
      <c r="H1384" s="400"/>
      <c r="I1384" s="239"/>
    </row>
    <row r="1385" spans="6:9" x14ac:dyDescent="0.35">
      <c r="F1385" s="33"/>
      <c r="G1385" s="70"/>
      <c r="H1385" s="400"/>
      <c r="I1385" s="239"/>
    </row>
    <row r="1386" spans="6:9" x14ac:dyDescent="0.35">
      <c r="F1386" s="33"/>
      <c r="G1386" s="70"/>
      <c r="H1386" s="400"/>
      <c r="I1386" s="239"/>
    </row>
    <row r="1387" spans="6:9" x14ac:dyDescent="0.35">
      <c r="F1387" s="33"/>
      <c r="G1387" s="70"/>
      <c r="H1387" s="400"/>
      <c r="I1387" s="239"/>
    </row>
    <row r="1388" spans="6:9" x14ac:dyDescent="0.35">
      <c r="F1388" s="33"/>
      <c r="G1388" s="70"/>
      <c r="H1388" s="400"/>
      <c r="I1388" s="239"/>
    </row>
    <row r="1389" spans="6:9" x14ac:dyDescent="0.35">
      <c r="F1389" s="33"/>
      <c r="G1389" s="70"/>
      <c r="H1389" s="400"/>
      <c r="I1389" s="239"/>
    </row>
    <row r="1390" spans="6:9" x14ac:dyDescent="0.35">
      <c r="F1390" s="33"/>
      <c r="G1390" s="70"/>
      <c r="H1390" s="400"/>
      <c r="I1390" s="239"/>
    </row>
    <row r="1391" spans="6:9" x14ac:dyDescent="0.35">
      <c r="F1391" s="33"/>
      <c r="G1391" s="70"/>
      <c r="H1391" s="400"/>
      <c r="I1391" s="239"/>
    </row>
    <row r="1392" spans="6:9" x14ac:dyDescent="0.35">
      <c r="F1392" s="33"/>
      <c r="G1392" s="70"/>
      <c r="H1392" s="400"/>
      <c r="I1392" s="239"/>
    </row>
    <row r="1393" spans="6:9" x14ac:dyDescent="0.35">
      <c r="F1393" s="33"/>
      <c r="G1393" s="70"/>
      <c r="H1393" s="400"/>
      <c r="I1393" s="239"/>
    </row>
    <row r="1394" spans="6:9" x14ac:dyDescent="0.35">
      <c r="F1394" s="33"/>
      <c r="G1394" s="70"/>
      <c r="H1394" s="400"/>
      <c r="I1394" s="239"/>
    </row>
    <row r="1395" spans="6:9" x14ac:dyDescent="0.35">
      <c r="F1395" s="33"/>
      <c r="G1395" s="70"/>
      <c r="H1395" s="400"/>
      <c r="I1395" s="239"/>
    </row>
    <row r="1396" spans="6:9" x14ac:dyDescent="0.35">
      <c r="F1396" s="33"/>
      <c r="G1396" s="70"/>
      <c r="H1396" s="400"/>
      <c r="I1396" s="239"/>
    </row>
    <row r="1397" spans="6:9" x14ac:dyDescent="0.35">
      <c r="F1397" s="33"/>
      <c r="G1397" s="70"/>
      <c r="H1397" s="400"/>
      <c r="I1397" s="239"/>
    </row>
    <row r="1398" spans="6:9" x14ac:dyDescent="0.35">
      <c r="F1398" s="33"/>
      <c r="G1398" s="70"/>
      <c r="H1398" s="400"/>
      <c r="I1398" s="239"/>
    </row>
    <row r="1399" spans="6:9" x14ac:dyDescent="0.35">
      <c r="F1399" s="33"/>
      <c r="G1399" s="70"/>
      <c r="H1399" s="400"/>
      <c r="I1399" s="239"/>
    </row>
    <row r="1400" spans="6:9" x14ac:dyDescent="0.35">
      <c r="F1400" s="33"/>
      <c r="G1400" s="70"/>
      <c r="H1400" s="400"/>
      <c r="I1400" s="239"/>
    </row>
    <row r="1401" spans="6:9" x14ac:dyDescent="0.35">
      <c r="F1401" s="33"/>
      <c r="G1401" s="70"/>
      <c r="H1401" s="400"/>
      <c r="I1401" s="239"/>
    </row>
    <row r="1402" spans="6:9" x14ac:dyDescent="0.35">
      <c r="F1402" s="33"/>
      <c r="G1402" s="70"/>
      <c r="H1402" s="400"/>
      <c r="I1402" s="239"/>
    </row>
    <row r="1403" spans="6:9" x14ac:dyDescent="0.35">
      <c r="F1403" s="33"/>
      <c r="G1403" s="70"/>
      <c r="H1403" s="400"/>
      <c r="I1403" s="239"/>
    </row>
    <row r="1404" spans="6:9" x14ac:dyDescent="0.35">
      <c r="F1404" s="33"/>
      <c r="G1404" s="70"/>
      <c r="H1404" s="400"/>
      <c r="I1404" s="239"/>
    </row>
    <row r="1405" spans="6:9" x14ac:dyDescent="0.35">
      <c r="F1405" s="33"/>
      <c r="G1405" s="70"/>
      <c r="H1405" s="400"/>
      <c r="I1405" s="239"/>
    </row>
    <row r="1406" spans="6:9" x14ac:dyDescent="0.35">
      <c r="F1406" s="33"/>
      <c r="G1406" s="70"/>
      <c r="H1406" s="400"/>
      <c r="I1406" s="239"/>
    </row>
    <row r="1407" spans="6:9" x14ac:dyDescent="0.35">
      <c r="F1407" s="33"/>
      <c r="G1407" s="70"/>
      <c r="H1407" s="400"/>
      <c r="I1407" s="239"/>
    </row>
    <row r="1408" spans="6:9" x14ac:dyDescent="0.35">
      <c r="F1408" s="33"/>
      <c r="G1408" s="70"/>
      <c r="H1408" s="400"/>
      <c r="I1408" s="239"/>
    </row>
    <row r="1409" spans="6:9" x14ac:dyDescent="0.35">
      <c r="F1409" s="33"/>
      <c r="G1409" s="70"/>
      <c r="H1409" s="400"/>
      <c r="I1409" s="239"/>
    </row>
    <row r="1410" spans="6:9" x14ac:dyDescent="0.35">
      <c r="F1410" s="33"/>
      <c r="G1410" s="70"/>
      <c r="H1410" s="400"/>
      <c r="I1410" s="239"/>
    </row>
    <row r="1411" spans="6:9" x14ac:dyDescent="0.35">
      <c r="F1411" s="33"/>
      <c r="G1411" s="70"/>
      <c r="H1411" s="400"/>
      <c r="I1411" s="239"/>
    </row>
    <row r="1412" spans="6:9" x14ac:dyDescent="0.35">
      <c r="F1412" s="33"/>
      <c r="G1412" s="70"/>
      <c r="H1412" s="400"/>
      <c r="I1412" s="239"/>
    </row>
    <row r="1413" spans="6:9" x14ac:dyDescent="0.35">
      <c r="F1413" s="33"/>
      <c r="G1413" s="70"/>
      <c r="H1413" s="400"/>
      <c r="I1413" s="239"/>
    </row>
    <row r="1414" spans="6:9" x14ac:dyDescent="0.35">
      <c r="F1414" s="33"/>
      <c r="G1414" s="70"/>
      <c r="H1414" s="400"/>
      <c r="I1414" s="239"/>
    </row>
    <row r="1415" spans="6:9" x14ac:dyDescent="0.35">
      <c r="F1415" s="33"/>
      <c r="G1415" s="70"/>
      <c r="H1415" s="400"/>
      <c r="I1415" s="239"/>
    </row>
    <row r="1416" spans="6:9" x14ac:dyDescent="0.35">
      <c r="F1416" s="33"/>
      <c r="G1416" s="70"/>
      <c r="H1416" s="400"/>
      <c r="I1416" s="239"/>
    </row>
    <row r="1417" spans="6:9" x14ac:dyDescent="0.35">
      <c r="F1417" s="33"/>
      <c r="G1417" s="70"/>
      <c r="H1417" s="400"/>
      <c r="I1417" s="239"/>
    </row>
    <row r="1418" spans="6:9" x14ac:dyDescent="0.35">
      <c r="F1418" s="33"/>
      <c r="G1418" s="70"/>
      <c r="H1418" s="400"/>
      <c r="I1418" s="239"/>
    </row>
    <row r="1419" spans="6:9" x14ac:dyDescent="0.35">
      <c r="F1419" s="33"/>
      <c r="G1419" s="70"/>
      <c r="H1419" s="400"/>
      <c r="I1419" s="239"/>
    </row>
    <row r="1420" spans="6:9" x14ac:dyDescent="0.35">
      <c r="F1420" s="33"/>
      <c r="G1420" s="70"/>
      <c r="H1420" s="400"/>
      <c r="I1420" s="239"/>
    </row>
    <row r="1421" spans="6:9" x14ac:dyDescent="0.35">
      <c r="F1421" s="33"/>
      <c r="G1421" s="70"/>
      <c r="H1421" s="400"/>
      <c r="I1421" s="239"/>
    </row>
    <row r="1422" spans="6:9" x14ac:dyDescent="0.35">
      <c r="F1422" s="33"/>
      <c r="G1422" s="70"/>
      <c r="H1422" s="400"/>
      <c r="I1422" s="239"/>
    </row>
    <row r="1423" spans="6:9" x14ac:dyDescent="0.35">
      <c r="F1423" s="33"/>
      <c r="G1423" s="70"/>
      <c r="H1423" s="400"/>
      <c r="I1423" s="239"/>
    </row>
    <row r="1424" spans="6:9" x14ac:dyDescent="0.35">
      <c r="F1424" s="33"/>
      <c r="G1424" s="70"/>
      <c r="H1424" s="400"/>
      <c r="I1424" s="239"/>
    </row>
    <row r="1425" spans="6:9" x14ac:dyDescent="0.35">
      <c r="F1425" s="33"/>
      <c r="G1425" s="70"/>
      <c r="H1425" s="400"/>
      <c r="I1425" s="239"/>
    </row>
    <row r="1426" spans="6:9" x14ac:dyDescent="0.35">
      <c r="F1426" s="33"/>
      <c r="G1426" s="70"/>
      <c r="H1426" s="400"/>
      <c r="I1426" s="239"/>
    </row>
    <row r="1427" spans="6:9" x14ac:dyDescent="0.35">
      <c r="F1427" s="33"/>
      <c r="G1427" s="70"/>
      <c r="H1427" s="400"/>
      <c r="I1427" s="239"/>
    </row>
    <row r="1428" spans="6:9" x14ac:dyDescent="0.35">
      <c r="F1428" s="33"/>
      <c r="G1428" s="70"/>
      <c r="H1428" s="400"/>
      <c r="I1428" s="239"/>
    </row>
    <row r="1429" spans="6:9" x14ac:dyDescent="0.35">
      <c r="F1429" s="33"/>
      <c r="G1429" s="70"/>
      <c r="H1429" s="400"/>
      <c r="I1429" s="239"/>
    </row>
    <row r="1430" spans="6:9" x14ac:dyDescent="0.35">
      <c r="F1430" s="33"/>
      <c r="G1430" s="70"/>
      <c r="H1430" s="400"/>
      <c r="I1430" s="239"/>
    </row>
    <row r="1431" spans="6:9" x14ac:dyDescent="0.35">
      <c r="F1431" s="33"/>
      <c r="G1431" s="70"/>
      <c r="H1431" s="400"/>
      <c r="I1431" s="239"/>
    </row>
    <row r="1432" spans="6:9" x14ac:dyDescent="0.35">
      <c r="F1432" s="33"/>
      <c r="G1432" s="70"/>
      <c r="H1432" s="400"/>
      <c r="I1432" s="239"/>
    </row>
    <row r="1433" spans="6:9" x14ac:dyDescent="0.35">
      <c r="F1433" s="33"/>
      <c r="G1433" s="70"/>
      <c r="H1433" s="400"/>
      <c r="I1433" s="239"/>
    </row>
    <row r="1434" spans="6:9" x14ac:dyDescent="0.35">
      <c r="F1434" s="33"/>
      <c r="G1434" s="70"/>
      <c r="H1434" s="400"/>
      <c r="I1434" s="239"/>
    </row>
    <row r="1435" spans="6:9" x14ac:dyDescent="0.35">
      <c r="F1435" s="33"/>
      <c r="G1435" s="70"/>
      <c r="H1435" s="400"/>
      <c r="I1435" s="239"/>
    </row>
    <row r="1436" spans="6:9" x14ac:dyDescent="0.35">
      <c r="F1436" s="33"/>
      <c r="G1436" s="70"/>
      <c r="H1436" s="400"/>
      <c r="I1436" s="239"/>
    </row>
    <row r="1437" spans="6:9" x14ac:dyDescent="0.35">
      <c r="F1437" s="33"/>
      <c r="G1437" s="70"/>
      <c r="H1437" s="400"/>
      <c r="I1437" s="239"/>
    </row>
    <row r="1438" spans="6:9" x14ac:dyDescent="0.35">
      <c r="F1438" s="33"/>
      <c r="G1438" s="70"/>
      <c r="H1438" s="400"/>
      <c r="I1438" s="239"/>
    </row>
    <row r="1439" spans="6:9" x14ac:dyDescent="0.35">
      <c r="F1439" s="33"/>
      <c r="G1439" s="70"/>
      <c r="H1439" s="400"/>
      <c r="I1439" s="239"/>
    </row>
    <row r="1440" spans="6:9" x14ac:dyDescent="0.35">
      <c r="F1440" s="33"/>
      <c r="G1440" s="70"/>
      <c r="H1440" s="400"/>
      <c r="I1440" s="239"/>
    </row>
    <row r="1441" spans="6:9" x14ac:dyDescent="0.35">
      <c r="F1441" s="33"/>
      <c r="G1441" s="70"/>
      <c r="H1441" s="400"/>
      <c r="I1441" s="239"/>
    </row>
    <row r="1442" spans="6:9" x14ac:dyDescent="0.35">
      <c r="F1442" s="33"/>
      <c r="G1442" s="70"/>
      <c r="H1442" s="400"/>
      <c r="I1442" s="239"/>
    </row>
    <row r="1443" spans="6:9" x14ac:dyDescent="0.35">
      <c r="F1443" s="33"/>
      <c r="G1443" s="70"/>
      <c r="H1443" s="400"/>
      <c r="I1443" s="239"/>
    </row>
    <row r="1444" spans="6:9" x14ac:dyDescent="0.35">
      <c r="F1444" s="33"/>
      <c r="G1444" s="70"/>
      <c r="H1444" s="400"/>
      <c r="I1444" s="239"/>
    </row>
    <row r="1445" spans="6:9" x14ac:dyDescent="0.35">
      <c r="F1445" s="33"/>
      <c r="G1445" s="70"/>
      <c r="H1445" s="400"/>
      <c r="I1445" s="239"/>
    </row>
    <row r="1446" spans="6:9" x14ac:dyDescent="0.35">
      <c r="F1446" s="33"/>
      <c r="G1446" s="70"/>
      <c r="H1446" s="400"/>
      <c r="I1446" s="239"/>
    </row>
    <row r="1447" spans="6:9" x14ac:dyDescent="0.35">
      <c r="F1447" s="33"/>
      <c r="G1447" s="70"/>
      <c r="H1447" s="400"/>
      <c r="I1447" s="239"/>
    </row>
    <row r="1448" spans="6:9" x14ac:dyDescent="0.35">
      <c r="F1448" s="33"/>
      <c r="G1448" s="70"/>
      <c r="H1448" s="400"/>
      <c r="I1448" s="239"/>
    </row>
    <row r="1449" spans="6:9" x14ac:dyDescent="0.35">
      <c r="F1449" s="33"/>
      <c r="G1449" s="70"/>
      <c r="H1449" s="400"/>
      <c r="I1449" s="239"/>
    </row>
    <row r="1450" spans="6:9" x14ac:dyDescent="0.35">
      <c r="F1450" s="33"/>
      <c r="G1450" s="70"/>
      <c r="H1450" s="400"/>
      <c r="I1450" s="239"/>
    </row>
    <row r="1451" spans="6:9" x14ac:dyDescent="0.35">
      <c r="F1451" s="33"/>
      <c r="G1451" s="70"/>
      <c r="H1451" s="400"/>
      <c r="I1451" s="239"/>
    </row>
    <row r="1452" spans="6:9" x14ac:dyDescent="0.35">
      <c r="F1452" s="33"/>
      <c r="G1452" s="70"/>
      <c r="H1452" s="400"/>
      <c r="I1452" s="239"/>
    </row>
    <row r="1453" spans="6:9" x14ac:dyDescent="0.35">
      <c r="F1453" s="33"/>
      <c r="G1453" s="70"/>
      <c r="H1453" s="400"/>
      <c r="I1453" s="239"/>
    </row>
    <row r="1454" spans="6:9" x14ac:dyDescent="0.35">
      <c r="F1454" s="33"/>
      <c r="G1454" s="70"/>
      <c r="H1454" s="400"/>
      <c r="I1454" s="239"/>
    </row>
    <row r="1455" spans="6:9" x14ac:dyDescent="0.35">
      <c r="F1455" s="33"/>
      <c r="G1455" s="70"/>
      <c r="H1455" s="400"/>
      <c r="I1455" s="239"/>
    </row>
    <row r="1456" spans="6:9" x14ac:dyDescent="0.35">
      <c r="F1456" s="33"/>
      <c r="G1456" s="70"/>
      <c r="H1456" s="400"/>
      <c r="I1456" s="239"/>
    </row>
    <row r="1457" spans="6:9" x14ac:dyDescent="0.35">
      <c r="F1457" s="33"/>
      <c r="G1457" s="70"/>
      <c r="H1457" s="400"/>
      <c r="I1457" s="239"/>
    </row>
    <row r="1458" spans="6:9" x14ac:dyDescent="0.35">
      <c r="F1458" s="33"/>
      <c r="G1458" s="70"/>
      <c r="H1458" s="400"/>
      <c r="I1458" s="239"/>
    </row>
    <row r="1459" spans="6:9" x14ac:dyDescent="0.35">
      <c r="F1459" s="33"/>
      <c r="G1459" s="70"/>
      <c r="H1459" s="400"/>
      <c r="I1459" s="239"/>
    </row>
    <row r="1460" spans="6:9" x14ac:dyDescent="0.35">
      <c r="F1460" s="33"/>
      <c r="G1460" s="70"/>
      <c r="H1460" s="400"/>
      <c r="I1460" s="239"/>
    </row>
    <row r="1461" spans="6:9" x14ac:dyDescent="0.35">
      <c r="F1461" s="33"/>
      <c r="G1461" s="70"/>
      <c r="H1461" s="400"/>
      <c r="I1461" s="239"/>
    </row>
    <row r="1462" spans="6:9" x14ac:dyDescent="0.35">
      <c r="F1462" s="33"/>
      <c r="G1462" s="70"/>
      <c r="H1462" s="400"/>
      <c r="I1462" s="239"/>
    </row>
    <row r="1463" spans="6:9" x14ac:dyDescent="0.35">
      <c r="F1463" s="33"/>
      <c r="G1463" s="70"/>
      <c r="H1463" s="400"/>
      <c r="I1463" s="239"/>
    </row>
    <row r="1464" spans="6:9" x14ac:dyDescent="0.35">
      <c r="F1464" s="33"/>
      <c r="G1464" s="70"/>
      <c r="H1464" s="400"/>
      <c r="I1464" s="239"/>
    </row>
    <row r="1465" spans="6:9" x14ac:dyDescent="0.35">
      <c r="F1465" s="33"/>
      <c r="G1465" s="70"/>
      <c r="H1465" s="400"/>
      <c r="I1465" s="239"/>
    </row>
    <row r="1466" spans="6:9" x14ac:dyDescent="0.35">
      <c r="F1466" s="33"/>
      <c r="G1466" s="70"/>
      <c r="H1466" s="400"/>
      <c r="I1466" s="239"/>
    </row>
    <row r="1467" spans="6:9" x14ac:dyDescent="0.35">
      <c r="F1467" s="33"/>
      <c r="G1467" s="70"/>
      <c r="H1467" s="400"/>
      <c r="I1467" s="239"/>
    </row>
    <row r="1468" spans="6:9" x14ac:dyDescent="0.35">
      <c r="F1468" s="33"/>
      <c r="G1468" s="70"/>
      <c r="H1468" s="400"/>
      <c r="I1468" s="239"/>
    </row>
    <row r="1469" spans="6:9" x14ac:dyDescent="0.35">
      <c r="F1469" s="33"/>
      <c r="G1469" s="70"/>
      <c r="H1469" s="400"/>
      <c r="I1469" s="239"/>
    </row>
    <row r="1470" spans="6:9" x14ac:dyDescent="0.35">
      <c r="F1470" s="33"/>
      <c r="G1470" s="70"/>
      <c r="H1470" s="400"/>
      <c r="I1470" s="239"/>
    </row>
    <row r="1471" spans="6:9" x14ac:dyDescent="0.35">
      <c r="F1471" s="33"/>
      <c r="G1471" s="70"/>
      <c r="H1471" s="400"/>
      <c r="I1471" s="239"/>
    </row>
    <row r="1472" spans="6:9" x14ac:dyDescent="0.35">
      <c r="F1472" s="33"/>
      <c r="G1472" s="70"/>
      <c r="H1472" s="400"/>
      <c r="I1472" s="239"/>
    </row>
    <row r="1473" spans="6:9" x14ac:dyDescent="0.35">
      <c r="F1473" s="33"/>
      <c r="G1473" s="70"/>
      <c r="H1473" s="400"/>
      <c r="I1473" s="239"/>
    </row>
    <row r="1474" spans="6:9" x14ac:dyDescent="0.35">
      <c r="F1474" s="33"/>
      <c r="G1474" s="70"/>
      <c r="H1474" s="400"/>
      <c r="I1474" s="239"/>
    </row>
    <row r="1475" spans="6:9" x14ac:dyDescent="0.35">
      <c r="F1475" s="33"/>
      <c r="G1475" s="70"/>
      <c r="H1475" s="400"/>
      <c r="I1475" s="239"/>
    </row>
    <row r="1476" spans="6:9" x14ac:dyDescent="0.35">
      <c r="F1476" s="33"/>
      <c r="G1476" s="70"/>
      <c r="H1476" s="400"/>
      <c r="I1476" s="239"/>
    </row>
    <row r="1477" spans="6:9" x14ac:dyDescent="0.35">
      <c r="F1477" s="33"/>
      <c r="G1477" s="70"/>
      <c r="H1477" s="400"/>
      <c r="I1477" s="239"/>
    </row>
    <row r="1478" spans="6:9" x14ac:dyDescent="0.35">
      <c r="F1478" s="33"/>
      <c r="G1478" s="70"/>
      <c r="H1478" s="400"/>
      <c r="I1478" s="239"/>
    </row>
    <row r="1479" spans="6:9" x14ac:dyDescent="0.35">
      <c r="F1479" s="33"/>
      <c r="G1479" s="70"/>
      <c r="H1479" s="400"/>
      <c r="I1479" s="239"/>
    </row>
    <row r="1480" spans="6:9" x14ac:dyDescent="0.35">
      <c r="F1480" s="33"/>
      <c r="G1480" s="70"/>
      <c r="H1480" s="400"/>
      <c r="I1480" s="239"/>
    </row>
    <row r="1481" spans="6:9" x14ac:dyDescent="0.35">
      <c r="F1481" s="33"/>
      <c r="G1481" s="70"/>
      <c r="H1481" s="400"/>
      <c r="I1481" s="239"/>
    </row>
    <row r="1482" spans="6:9" x14ac:dyDescent="0.35">
      <c r="F1482" s="33"/>
      <c r="G1482" s="70"/>
      <c r="H1482" s="400"/>
      <c r="I1482" s="239"/>
    </row>
    <row r="1483" spans="6:9" x14ac:dyDescent="0.35">
      <c r="F1483" s="33"/>
      <c r="G1483" s="70"/>
      <c r="H1483" s="400"/>
      <c r="I1483" s="239"/>
    </row>
    <row r="1484" spans="6:9" x14ac:dyDescent="0.35">
      <c r="F1484" s="33"/>
      <c r="G1484" s="70"/>
      <c r="H1484" s="400"/>
      <c r="I1484" s="239"/>
    </row>
    <row r="1485" spans="6:9" x14ac:dyDescent="0.35">
      <c r="F1485" s="33"/>
      <c r="G1485" s="70"/>
      <c r="H1485" s="400"/>
      <c r="I1485" s="239"/>
    </row>
    <row r="1486" spans="6:9" x14ac:dyDescent="0.35">
      <c r="F1486" s="33"/>
      <c r="G1486" s="70"/>
      <c r="H1486" s="400"/>
      <c r="I1486" s="239"/>
    </row>
    <row r="1487" spans="6:9" x14ac:dyDescent="0.35">
      <c r="F1487" s="33"/>
      <c r="G1487" s="70"/>
      <c r="H1487" s="400"/>
      <c r="I1487" s="239"/>
    </row>
    <row r="1488" spans="6:9" x14ac:dyDescent="0.35">
      <c r="F1488" s="33"/>
      <c r="G1488" s="70"/>
      <c r="H1488" s="400"/>
      <c r="I1488" s="239"/>
    </row>
    <row r="1489" spans="6:9" x14ac:dyDescent="0.35">
      <c r="F1489" s="33"/>
      <c r="G1489" s="70"/>
      <c r="H1489" s="400"/>
      <c r="I1489" s="239"/>
    </row>
    <row r="1490" spans="6:9" x14ac:dyDescent="0.35">
      <c r="F1490" s="33"/>
      <c r="G1490" s="70"/>
      <c r="H1490" s="400"/>
      <c r="I1490" s="239"/>
    </row>
    <row r="1491" spans="6:9" x14ac:dyDescent="0.35">
      <c r="F1491" s="33"/>
      <c r="G1491" s="70"/>
      <c r="H1491" s="400"/>
      <c r="I1491" s="239"/>
    </row>
    <row r="1492" spans="6:9" x14ac:dyDescent="0.35">
      <c r="F1492" s="33"/>
      <c r="G1492" s="70"/>
      <c r="H1492" s="400"/>
      <c r="I1492" s="239"/>
    </row>
    <row r="1493" spans="6:9" x14ac:dyDescent="0.35">
      <c r="F1493" s="33"/>
      <c r="G1493" s="70"/>
      <c r="H1493" s="400"/>
      <c r="I1493" s="239"/>
    </row>
    <row r="1494" spans="6:9" x14ac:dyDescent="0.35">
      <c r="F1494" s="33"/>
      <c r="G1494" s="70"/>
      <c r="H1494" s="400"/>
      <c r="I1494" s="239"/>
    </row>
    <row r="1495" spans="6:9" x14ac:dyDescent="0.35">
      <c r="F1495" s="33"/>
      <c r="G1495" s="70"/>
      <c r="H1495" s="400"/>
      <c r="I1495" s="239"/>
    </row>
    <row r="1496" spans="6:9" x14ac:dyDescent="0.35">
      <c r="F1496" s="33"/>
      <c r="G1496" s="70"/>
      <c r="H1496" s="400"/>
      <c r="I1496" s="239"/>
    </row>
    <row r="1497" spans="6:9" x14ac:dyDescent="0.35">
      <c r="F1497" s="33"/>
      <c r="G1497" s="70"/>
      <c r="H1497" s="400"/>
      <c r="I1497" s="239"/>
    </row>
    <row r="1498" spans="6:9" x14ac:dyDescent="0.35">
      <c r="F1498" s="33"/>
      <c r="G1498" s="70"/>
      <c r="H1498" s="400"/>
      <c r="I1498" s="239"/>
    </row>
    <row r="1499" spans="6:9" x14ac:dyDescent="0.35">
      <c r="F1499" s="33"/>
      <c r="G1499" s="70"/>
      <c r="H1499" s="400"/>
      <c r="I1499" s="239"/>
    </row>
    <row r="1500" spans="6:9" x14ac:dyDescent="0.35">
      <c r="F1500" s="33"/>
      <c r="G1500" s="70"/>
      <c r="H1500" s="400"/>
      <c r="I1500" s="239"/>
    </row>
    <row r="1501" spans="6:9" x14ac:dyDescent="0.35">
      <c r="F1501" s="33"/>
      <c r="G1501" s="70"/>
      <c r="H1501" s="400"/>
      <c r="I1501" s="239"/>
    </row>
    <row r="1502" spans="6:9" x14ac:dyDescent="0.35">
      <c r="F1502" s="33"/>
      <c r="G1502" s="70"/>
      <c r="H1502" s="400"/>
      <c r="I1502" s="239"/>
    </row>
    <row r="1503" spans="6:9" x14ac:dyDescent="0.35">
      <c r="F1503" s="33"/>
      <c r="G1503" s="70"/>
      <c r="H1503" s="400"/>
      <c r="I1503" s="239"/>
    </row>
    <row r="1504" spans="6:9" x14ac:dyDescent="0.35">
      <c r="F1504" s="33"/>
      <c r="G1504" s="70"/>
      <c r="H1504" s="400"/>
      <c r="I1504" s="239"/>
    </row>
    <row r="1505" spans="6:9" x14ac:dyDescent="0.35">
      <c r="F1505" s="33"/>
      <c r="G1505" s="70"/>
      <c r="H1505" s="400"/>
      <c r="I1505" s="239"/>
    </row>
    <row r="1506" spans="6:9" x14ac:dyDescent="0.35">
      <c r="F1506" s="33"/>
      <c r="G1506" s="70"/>
      <c r="H1506" s="400"/>
      <c r="I1506" s="239"/>
    </row>
    <row r="1507" spans="6:9" x14ac:dyDescent="0.35">
      <c r="F1507" s="33"/>
      <c r="G1507" s="70"/>
      <c r="H1507" s="400"/>
      <c r="I1507" s="239"/>
    </row>
    <row r="1508" spans="6:9" x14ac:dyDescent="0.35">
      <c r="F1508" s="33"/>
      <c r="G1508" s="70"/>
      <c r="H1508" s="400"/>
      <c r="I1508" s="239"/>
    </row>
    <row r="1509" spans="6:9" x14ac:dyDescent="0.35">
      <c r="F1509" s="33"/>
      <c r="G1509" s="70"/>
      <c r="H1509" s="400"/>
      <c r="I1509" s="239"/>
    </row>
    <row r="1510" spans="6:9" x14ac:dyDescent="0.35">
      <c r="F1510" s="33"/>
      <c r="G1510" s="70"/>
      <c r="H1510" s="400"/>
      <c r="I1510" s="239"/>
    </row>
    <row r="1511" spans="6:9" x14ac:dyDescent="0.35">
      <c r="F1511" s="33"/>
      <c r="G1511" s="70"/>
      <c r="H1511" s="400"/>
      <c r="I1511" s="239"/>
    </row>
    <row r="1512" spans="6:9" x14ac:dyDescent="0.35">
      <c r="F1512" s="33"/>
      <c r="G1512" s="70"/>
      <c r="H1512" s="400"/>
      <c r="I1512" s="239"/>
    </row>
    <row r="1513" spans="6:9" x14ac:dyDescent="0.35">
      <c r="F1513" s="33"/>
      <c r="G1513" s="70"/>
      <c r="H1513" s="400"/>
      <c r="I1513" s="239"/>
    </row>
    <row r="1514" spans="6:9" x14ac:dyDescent="0.35">
      <c r="F1514" s="33"/>
      <c r="G1514" s="70"/>
      <c r="H1514" s="400"/>
      <c r="I1514" s="239"/>
    </row>
    <row r="1515" spans="6:9" x14ac:dyDescent="0.35">
      <c r="F1515" s="33"/>
      <c r="G1515" s="70"/>
      <c r="H1515" s="400"/>
      <c r="I1515" s="239"/>
    </row>
    <row r="1516" spans="6:9" x14ac:dyDescent="0.35">
      <c r="F1516" s="33"/>
      <c r="G1516" s="70"/>
      <c r="H1516" s="400"/>
      <c r="I1516" s="239"/>
    </row>
    <row r="1517" spans="6:9" x14ac:dyDescent="0.35">
      <c r="F1517" s="33"/>
      <c r="G1517" s="70"/>
      <c r="H1517" s="400"/>
      <c r="I1517" s="239"/>
    </row>
    <row r="1518" spans="6:9" x14ac:dyDescent="0.35">
      <c r="F1518" s="33"/>
      <c r="G1518" s="70"/>
      <c r="H1518" s="400"/>
      <c r="I1518" s="239"/>
    </row>
    <row r="1519" spans="6:9" x14ac:dyDescent="0.35">
      <c r="F1519" s="33"/>
      <c r="G1519" s="70"/>
      <c r="H1519" s="400"/>
      <c r="I1519" s="239"/>
    </row>
    <row r="1520" spans="6:9" x14ac:dyDescent="0.35">
      <c r="F1520" s="33"/>
      <c r="G1520" s="70"/>
      <c r="H1520" s="400"/>
      <c r="I1520" s="239"/>
    </row>
    <row r="1521" spans="6:9" x14ac:dyDescent="0.35">
      <c r="F1521" s="33"/>
      <c r="G1521" s="70"/>
      <c r="H1521" s="400"/>
      <c r="I1521" s="239"/>
    </row>
    <row r="1522" spans="6:9" x14ac:dyDescent="0.35">
      <c r="F1522" s="33"/>
      <c r="G1522" s="70"/>
      <c r="H1522" s="400"/>
      <c r="I1522" s="239"/>
    </row>
    <row r="1523" spans="6:9" x14ac:dyDescent="0.35">
      <c r="F1523" s="33"/>
      <c r="G1523" s="70"/>
      <c r="H1523" s="400"/>
      <c r="I1523" s="239"/>
    </row>
    <row r="1524" spans="6:9" x14ac:dyDescent="0.35">
      <c r="F1524" s="33"/>
      <c r="G1524" s="70"/>
      <c r="H1524" s="400"/>
      <c r="I1524" s="239"/>
    </row>
    <row r="1525" spans="6:9" x14ac:dyDescent="0.35">
      <c r="F1525" s="33"/>
      <c r="G1525" s="70"/>
      <c r="H1525" s="400"/>
      <c r="I1525" s="239"/>
    </row>
    <row r="1526" spans="6:9" x14ac:dyDescent="0.35">
      <c r="F1526" s="33"/>
      <c r="G1526" s="70"/>
      <c r="H1526" s="400"/>
      <c r="I1526" s="239"/>
    </row>
    <row r="1527" spans="6:9" x14ac:dyDescent="0.35">
      <c r="F1527" s="33"/>
      <c r="G1527" s="70"/>
      <c r="H1527" s="400"/>
      <c r="I1527" s="239"/>
    </row>
    <row r="1528" spans="6:9" x14ac:dyDescent="0.35">
      <c r="F1528" s="33"/>
      <c r="G1528" s="70"/>
      <c r="H1528" s="400"/>
      <c r="I1528" s="239"/>
    </row>
    <row r="1529" spans="6:9" x14ac:dyDescent="0.35">
      <c r="F1529" s="33"/>
      <c r="G1529" s="70"/>
      <c r="H1529" s="400"/>
      <c r="I1529" s="239"/>
    </row>
    <row r="1530" spans="6:9" x14ac:dyDescent="0.35">
      <c r="F1530" s="33"/>
      <c r="G1530" s="70"/>
      <c r="H1530" s="400"/>
      <c r="I1530" s="239"/>
    </row>
    <row r="1531" spans="6:9" x14ac:dyDescent="0.35">
      <c r="F1531" s="33"/>
      <c r="G1531" s="70"/>
      <c r="H1531" s="400"/>
      <c r="I1531" s="239"/>
    </row>
    <row r="1532" spans="6:9" x14ac:dyDescent="0.35">
      <c r="F1532" s="33"/>
      <c r="G1532" s="70"/>
      <c r="H1532" s="400"/>
      <c r="I1532" s="239"/>
    </row>
    <row r="1533" spans="6:9" x14ac:dyDescent="0.35">
      <c r="F1533" s="33"/>
      <c r="G1533" s="70"/>
      <c r="H1533" s="400"/>
      <c r="I1533" s="239"/>
    </row>
    <row r="1534" spans="6:9" x14ac:dyDescent="0.35">
      <c r="F1534" s="33"/>
      <c r="G1534" s="70"/>
      <c r="H1534" s="400"/>
      <c r="I1534" s="239"/>
    </row>
    <row r="1535" spans="6:9" x14ac:dyDescent="0.35">
      <c r="F1535" s="33"/>
      <c r="G1535" s="70"/>
      <c r="H1535" s="400"/>
      <c r="I1535" s="239"/>
    </row>
    <row r="1536" spans="6:9" x14ac:dyDescent="0.35">
      <c r="F1536" s="33"/>
      <c r="G1536" s="70"/>
      <c r="H1536" s="400"/>
      <c r="I1536" s="239"/>
    </row>
    <row r="1537" spans="6:9" x14ac:dyDescent="0.35">
      <c r="F1537" s="33"/>
      <c r="G1537" s="70"/>
      <c r="H1537" s="400"/>
      <c r="I1537" s="239"/>
    </row>
    <row r="1538" spans="6:9" x14ac:dyDescent="0.35">
      <c r="F1538" s="33"/>
      <c r="G1538" s="70"/>
      <c r="H1538" s="400"/>
      <c r="I1538" s="239"/>
    </row>
    <row r="1539" spans="6:9" x14ac:dyDescent="0.35">
      <c r="F1539" s="33"/>
      <c r="G1539" s="70"/>
      <c r="H1539" s="400"/>
      <c r="I1539" s="239"/>
    </row>
    <row r="1540" spans="6:9" x14ac:dyDescent="0.35">
      <c r="F1540" s="33"/>
      <c r="G1540" s="70"/>
      <c r="H1540" s="400"/>
      <c r="I1540" s="239"/>
    </row>
    <row r="1541" spans="6:9" x14ac:dyDescent="0.35">
      <c r="F1541" s="33"/>
      <c r="G1541" s="70"/>
      <c r="H1541" s="400"/>
      <c r="I1541" s="239"/>
    </row>
    <row r="1542" spans="6:9" x14ac:dyDescent="0.35">
      <c r="F1542" s="33"/>
      <c r="G1542" s="70"/>
      <c r="H1542" s="400"/>
      <c r="I1542" s="239"/>
    </row>
    <row r="1543" spans="6:9" x14ac:dyDescent="0.35">
      <c r="F1543" s="33"/>
      <c r="G1543" s="70"/>
      <c r="H1543" s="400"/>
      <c r="I1543" s="239"/>
    </row>
    <row r="1544" spans="6:9" x14ac:dyDescent="0.35">
      <c r="F1544" s="33"/>
      <c r="G1544" s="70"/>
      <c r="H1544" s="400"/>
      <c r="I1544" s="239"/>
    </row>
    <row r="1545" spans="6:9" x14ac:dyDescent="0.35">
      <c r="F1545" s="33"/>
      <c r="G1545" s="70"/>
      <c r="H1545" s="400"/>
      <c r="I1545" s="239"/>
    </row>
    <row r="1546" spans="6:9" x14ac:dyDescent="0.35">
      <c r="F1546" s="33"/>
      <c r="G1546" s="70"/>
      <c r="H1546" s="400"/>
      <c r="I1546" s="239"/>
    </row>
    <row r="1547" spans="6:9" x14ac:dyDescent="0.35">
      <c r="F1547" s="33"/>
      <c r="G1547" s="70"/>
      <c r="H1547" s="400"/>
      <c r="I1547" s="239"/>
    </row>
    <row r="1548" spans="6:9" x14ac:dyDescent="0.35">
      <c r="F1548" s="33"/>
      <c r="G1548" s="70"/>
      <c r="H1548" s="400"/>
      <c r="I1548" s="239"/>
    </row>
    <row r="1549" spans="6:9" x14ac:dyDescent="0.35">
      <c r="F1549" s="33"/>
      <c r="G1549" s="70"/>
      <c r="H1549" s="400"/>
      <c r="I1549" s="239"/>
    </row>
    <row r="1550" spans="6:9" x14ac:dyDescent="0.35">
      <c r="F1550" s="33"/>
      <c r="G1550" s="70"/>
      <c r="H1550" s="400"/>
      <c r="I1550" s="239"/>
    </row>
    <row r="1551" spans="6:9" x14ac:dyDescent="0.35">
      <c r="F1551" s="33"/>
      <c r="G1551" s="70"/>
      <c r="H1551" s="400"/>
      <c r="I1551" s="239"/>
    </row>
    <row r="1552" spans="6:9" x14ac:dyDescent="0.35">
      <c r="F1552" s="33"/>
      <c r="G1552" s="70"/>
      <c r="H1552" s="400"/>
      <c r="I1552" s="239"/>
    </row>
    <row r="1553" spans="6:9" x14ac:dyDescent="0.35">
      <c r="F1553" s="33"/>
      <c r="G1553" s="70"/>
      <c r="H1553" s="400"/>
      <c r="I1553" s="239"/>
    </row>
    <row r="1554" spans="6:9" x14ac:dyDescent="0.35">
      <c r="F1554" s="33"/>
      <c r="G1554" s="70"/>
      <c r="H1554" s="400"/>
      <c r="I1554" s="239"/>
    </row>
    <row r="1555" spans="6:9" x14ac:dyDescent="0.35">
      <c r="F1555" s="33"/>
      <c r="G1555" s="70"/>
      <c r="H1555" s="400"/>
      <c r="I1555" s="239"/>
    </row>
    <row r="1556" spans="6:9" x14ac:dyDescent="0.35">
      <c r="F1556" s="33"/>
      <c r="G1556" s="70"/>
      <c r="H1556" s="400"/>
      <c r="I1556" s="239"/>
    </row>
    <row r="1557" spans="6:9" x14ac:dyDescent="0.35">
      <c r="F1557" s="33"/>
      <c r="G1557" s="70"/>
      <c r="H1557" s="400"/>
      <c r="I1557" s="239"/>
    </row>
    <row r="1558" spans="6:9" x14ac:dyDescent="0.35">
      <c r="F1558" s="33"/>
      <c r="G1558" s="70"/>
      <c r="H1558" s="400"/>
      <c r="I1558" s="239"/>
    </row>
    <row r="1559" spans="6:9" x14ac:dyDescent="0.35">
      <c r="F1559" s="33"/>
      <c r="G1559" s="70"/>
      <c r="H1559" s="400"/>
      <c r="I1559" s="239"/>
    </row>
    <row r="1560" spans="6:9" x14ac:dyDescent="0.35">
      <c r="F1560" s="33"/>
      <c r="G1560" s="70"/>
      <c r="H1560" s="400"/>
      <c r="I1560" s="239"/>
    </row>
    <row r="1561" spans="6:9" x14ac:dyDescent="0.35">
      <c r="F1561" s="33"/>
      <c r="G1561" s="70"/>
      <c r="H1561" s="400"/>
      <c r="I1561" s="239"/>
    </row>
    <row r="1562" spans="6:9" x14ac:dyDescent="0.35">
      <c r="F1562" s="33"/>
      <c r="G1562" s="70"/>
      <c r="H1562" s="400"/>
      <c r="I1562" s="239"/>
    </row>
    <row r="1563" spans="6:9" x14ac:dyDescent="0.35">
      <c r="F1563" s="33"/>
      <c r="G1563" s="70"/>
      <c r="H1563" s="400"/>
      <c r="I1563" s="239"/>
    </row>
    <row r="1564" spans="6:9" x14ac:dyDescent="0.35">
      <c r="F1564" s="33"/>
      <c r="G1564" s="70"/>
      <c r="H1564" s="400"/>
      <c r="I1564" s="239"/>
    </row>
    <row r="1565" spans="6:9" x14ac:dyDescent="0.35">
      <c r="F1565" s="33"/>
      <c r="G1565" s="70"/>
      <c r="H1565" s="400"/>
      <c r="I1565" s="239"/>
    </row>
    <row r="1566" spans="6:9" x14ac:dyDescent="0.35">
      <c r="F1566" s="33"/>
      <c r="G1566" s="70"/>
      <c r="H1566" s="400"/>
      <c r="I1566" s="239"/>
    </row>
    <row r="1567" spans="6:9" x14ac:dyDescent="0.35">
      <c r="F1567" s="33"/>
      <c r="G1567" s="70"/>
      <c r="H1567" s="400"/>
      <c r="I1567" s="239"/>
    </row>
    <row r="1568" spans="6:9" x14ac:dyDescent="0.35">
      <c r="F1568" s="33"/>
      <c r="G1568" s="70"/>
      <c r="H1568" s="400"/>
      <c r="I1568" s="239"/>
    </row>
    <row r="1569" spans="6:9" x14ac:dyDescent="0.35">
      <c r="F1569" s="33"/>
      <c r="G1569" s="70"/>
      <c r="H1569" s="400"/>
      <c r="I1569" s="239"/>
    </row>
    <row r="1570" spans="6:9" x14ac:dyDescent="0.35">
      <c r="F1570" s="33"/>
      <c r="G1570" s="70"/>
      <c r="H1570" s="400"/>
      <c r="I1570" s="239"/>
    </row>
    <row r="1571" spans="6:9" x14ac:dyDescent="0.35">
      <c r="F1571" s="33"/>
      <c r="G1571" s="70"/>
      <c r="H1571" s="400"/>
      <c r="I1571" s="239"/>
    </row>
    <row r="1572" spans="6:9" x14ac:dyDescent="0.35">
      <c r="F1572" s="33"/>
      <c r="G1572" s="70"/>
      <c r="H1572" s="400"/>
      <c r="I1572" s="239"/>
    </row>
    <row r="1573" spans="6:9" x14ac:dyDescent="0.35">
      <c r="F1573" s="33"/>
      <c r="G1573" s="70"/>
      <c r="H1573" s="400"/>
      <c r="I1573" s="239"/>
    </row>
    <row r="1574" spans="6:9" x14ac:dyDescent="0.35">
      <c r="F1574" s="33"/>
      <c r="G1574" s="70"/>
      <c r="H1574" s="400"/>
      <c r="I1574" s="239"/>
    </row>
    <row r="1575" spans="6:9" x14ac:dyDescent="0.35">
      <c r="F1575" s="33"/>
      <c r="G1575" s="70"/>
      <c r="H1575" s="400"/>
      <c r="I1575" s="239"/>
    </row>
    <row r="1576" spans="6:9" x14ac:dyDescent="0.35">
      <c r="F1576" s="33"/>
      <c r="G1576" s="70"/>
      <c r="H1576" s="400"/>
      <c r="I1576" s="239"/>
    </row>
    <row r="1577" spans="6:9" x14ac:dyDescent="0.35">
      <c r="F1577" s="33"/>
      <c r="G1577" s="70"/>
      <c r="H1577" s="400"/>
      <c r="I1577" s="239"/>
    </row>
    <row r="1578" spans="6:9" x14ac:dyDescent="0.35">
      <c r="F1578" s="33"/>
      <c r="G1578" s="70"/>
      <c r="H1578" s="400"/>
      <c r="I1578" s="239"/>
    </row>
    <row r="1579" spans="6:9" x14ac:dyDescent="0.35">
      <c r="F1579" s="33"/>
      <c r="G1579" s="70"/>
      <c r="H1579" s="400"/>
      <c r="I1579" s="239"/>
    </row>
    <row r="1580" spans="6:9" x14ac:dyDescent="0.35">
      <c r="F1580" s="33"/>
      <c r="G1580" s="70"/>
      <c r="H1580" s="400"/>
      <c r="I1580" s="239"/>
    </row>
    <row r="1581" spans="6:9" x14ac:dyDescent="0.35">
      <c r="F1581" s="33"/>
      <c r="G1581" s="70"/>
      <c r="H1581" s="400"/>
      <c r="I1581" s="239"/>
    </row>
    <row r="1582" spans="6:9" x14ac:dyDescent="0.35">
      <c r="F1582" s="33"/>
      <c r="G1582" s="70"/>
      <c r="H1582" s="400"/>
      <c r="I1582" s="239"/>
    </row>
    <row r="1583" spans="6:9" x14ac:dyDescent="0.35">
      <c r="F1583" s="33"/>
      <c r="G1583" s="70"/>
      <c r="H1583" s="400"/>
      <c r="I1583" s="239"/>
    </row>
    <row r="1584" spans="6:9" x14ac:dyDescent="0.35">
      <c r="F1584" s="33"/>
      <c r="G1584" s="70"/>
      <c r="H1584" s="400"/>
      <c r="I1584" s="239"/>
    </row>
    <row r="1585" spans="6:9" x14ac:dyDescent="0.35">
      <c r="F1585" s="33"/>
      <c r="G1585" s="70"/>
      <c r="H1585" s="400"/>
      <c r="I1585" s="239"/>
    </row>
    <row r="1586" spans="6:9" x14ac:dyDescent="0.35">
      <c r="F1586" s="33"/>
      <c r="G1586" s="70"/>
      <c r="H1586" s="400"/>
      <c r="I1586" s="239"/>
    </row>
    <row r="1587" spans="6:9" x14ac:dyDescent="0.35">
      <c r="F1587" s="33"/>
      <c r="G1587" s="70"/>
      <c r="H1587" s="400"/>
      <c r="I1587" s="239"/>
    </row>
    <row r="1588" spans="6:9" x14ac:dyDescent="0.35">
      <c r="F1588" s="33"/>
      <c r="G1588" s="70"/>
      <c r="H1588" s="400"/>
      <c r="I1588" s="239"/>
    </row>
    <row r="1589" spans="6:9" x14ac:dyDescent="0.35">
      <c r="F1589" s="33"/>
      <c r="G1589" s="70"/>
      <c r="H1589" s="400"/>
      <c r="I1589" s="239"/>
    </row>
    <row r="1590" spans="6:9" x14ac:dyDescent="0.35">
      <c r="F1590" s="33"/>
      <c r="G1590" s="70"/>
      <c r="H1590" s="400"/>
      <c r="I1590" s="239"/>
    </row>
    <row r="1591" spans="6:9" x14ac:dyDescent="0.35">
      <c r="F1591" s="33"/>
      <c r="G1591" s="70"/>
      <c r="H1591" s="400"/>
      <c r="I1591" s="239"/>
    </row>
    <row r="1592" spans="6:9" x14ac:dyDescent="0.35">
      <c r="F1592" s="33"/>
      <c r="G1592" s="70"/>
      <c r="H1592" s="400"/>
      <c r="I1592" s="239"/>
    </row>
    <row r="1593" spans="6:9" x14ac:dyDescent="0.35">
      <c r="F1593" s="33"/>
      <c r="G1593" s="70"/>
      <c r="H1593" s="400"/>
      <c r="I1593" s="239"/>
    </row>
    <row r="1594" spans="6:9" x14ac:dyDescent="0.35">
      <c r="F1594" s="33"/>
      <c r="G1594" s="70"/>
      <c r="H1594" s="400"/>
      <c r="I1594" s="239"/>
    </row>
    <row r="1595" spans="6:9" x14ac:dyDescent="0.35">
      <c r="F1595" s="33"/>
      <c r="G1595" s="70"/>
      <c r="H1595" s="400"/>
      <c r="I1595" s="239"/>
    </row>
    <row r="1596" spans="6:9" x14ac:dyDescent="0.35">
      <c r="F1596" s="33"/>
      <c r="G1596" s="70"/>
      <c r="H1596" s="400"/>
      <c r="I1596" s="239"/>
    </row>
    <row r="1597" spans="6:9" x14ac:dyDescent="0.35">
      <c r="F1597" s="33"/>
      <c r="G1597" s="70"/>
      <c r="H1597" s="400"/>
      <c r="I1597" s="239"/>
    </row>
    <row r="1598" spans="6:9" x14ac:dyDescent="0.35">
      <c r="F1598" s="33"/>
      <c r="G1598" s="70"/>
      <c r="H1598" s="400"/>
      <c r="I1598" s="239"/>
    </row>
    <row r="1599" spans="6:9" x14ac:dyDescent="0.35">
      <c r="F1599" s="33"/>
      <c r="G1599" s="70"/>
      <c r="H1599" s="400"/>
      <c r="I1599" s="239"/>
    </row>
    <row r="1600" spans="6:9" x14ac:dyDescent="0.35">
      <c r="F1600" s="33"/>
      <c r="G1600" s="70"/>
      <c r="H1600" s="400"/>
      <c r="I1600" s="239"/>
    </row>
    <row r="1601" spans="6:9" x14ac:dyDescent="0.35">
      <c r="F1601" s="33"/>
      <c r="G1601" s="70"/>
      <c r="H1601" s="400"/>
      <c r="I1601" s="239"/>
    </row>
    <row r="1602" spans="6:9" x14ac:dyDescent="0.35">
      <c r="F1602" s="33"/>
      <c r="G1602" s="70"/>
      <c r="H1602" s="400"/>
      <c r="I1602" s="239"/>
    </row>
    <row r="1603" spans="6:9" x14ac:dyDescent="0.35">
      <c r="F1603" s="33"/>
      <c r="G1603" s="70"/>
      <c r="H1603" s="400"/>
      <c r="I1603" s="239"/>
    </row>
    <row r="1604" spans="6:9" x14ac:dyDescent="0.35">
      <c r="F1604" s="33"/>
      <c r="G1604" s="70"/>
      <c r="H1604" s="400"/>
      <c r="I1604" s="239"/>
    </row>
    <row r="1605" spans="6:9" x14ac:dyDescent="0.35">
      <c r="F1605" s="33"/>
      <c r="G1605" s="70"/>
      <c r="H1605" s="400"/>
      <c r="I1605" s="239"/>
    </row>
    <row r="1606" spans="6:9" x14ac:dyDescent="0.35">
      <c r="F1606" s="33"/>
      <c r="G1606" s="70"/>
      <c r="H1606" s="400"/>
      <c r="I1606" s="239"/>
    </row>
    <row r="1607" spans="6:9" x14ac:dyDescent="0.35">
      <c r="F1607" s="33"/>
      <c r="G1607" s="70"/>
      <c r="H1607" s="400"/>
      <c r="I1607" s="239"/>
    </row>
    <row r="1608" spans="6:9" x14ac:dyDescent="0.35">
      <c r="F1608" s="33"/>
      <c r="G1608" s="70"/>
      <c r="H1608" s="400"/>
      <c r="I1608" s="239"/>
    </row>
    <row r="1609" spans="6:9" x14ac:dyDescent="0.35">
      <c r="F1609" s="33"/>
      <c r="G1609" s="70"/>
      <c r="H1609" s="400"/>
      <c r="I1609" s="239"/>
    </row>
    <row r="1610" spans="6:9" x14ac:dyDescent="0.35">
      <c r="F1610" s="33"/>
      <c r="G1610" s="70"/>
      <c r="H1610" s="400"/>
      <c r="I1610" s="239"/>
    </row>
    <row r="1611" spans="6:9" x14ac:dyDescent="0.35">
      <c r="F1611" s="33"/>
      <c r="G1611" s="70"/>
      <c r="H1611" s="400"/>
      <c r="I1611" s="239"/>
    </row>
    <row r="1612" spans="6:9" x14ac:dyDescent="0.35">
      <c r="F1612" s="33"/>
      <c r="G1612" s="70"/>
      <c r="H1612" s="400"/>
      <c r="I1612" s="239"/>
    </row>
    <row r="1613" spans="6:9" x14ac:dyDescent="0.35">
      <c r="F1613" s="33"/>
      <c r="G1613" s="70"/>
      <c r="H1613" s="400"/>
      <c r="I1613" s="239"/>
    </row>
    <row r="1614" spans="6:9" x14ac:dyDescent="0.35">
      <c r="F1614" s="33"/>
      <c r="G1614" s="70"/>
      <c r="H1614" s="400"/>
      <c r="I1614" s="239"/>
    </row>
    <row r="1615" spans="6:9" x14ac:dyDescent="0.35">
      <c r="F1615" s="33"/>
      <c r="G1615" s="70"/>
      <c r="H1615" s="400"/>
      <c r="I1615" s="239"/>
    </row>
    <row r="1616" spans="6:9" x14ac:dyDescent="0.35">
      <c r="F1616" s="33"/>
      <c r="G1616" s="70"/>
      <c r="H1616" s="400"/>
      <c r="I1616" s="239"/>
    </row>
    <row r="1617" spans="6:9" x14ac:dyDescent="0.35">
      <c r="F1617" s="33"/>
      <c r="G1617" s="70"/>
      <c r="H1617" s="400"/>
      <c r="I1617" s="239"/>
    </row>
    <row r="1618" spans="6:9" x14ac:dyDescent="0.35">
      <c r="F1618" s="33"/>
      <c r="G1618" s="70"/>
      <c r="H1618" s="400"/>
      <c r="I1618" s="239"/>
    </row>
    <row r="1619" spans="6:9" x14ac:dyDescent="0.35">
      <c r="F1619" s="33"/>
      <c r="G1619" s="70"/>
      <c r="H1619" s="400"/>
      <c r="I1619" s="239"/>
    </row>
    <row r="1620" spans="6:9" x14ac:dyDescent="0.35">
      <c r="F1620" s="33"/>
      <c r="G1620" s="70"/>
      <c r="H1620" s="400"/>
      <c r="I1620" s="239"/>
    </row>
    <row r="1621" spans="6:9" x14ac:dyDescent="0.35">
      <c r="F1621" s="33"/>
      <c r="G1621" s="70"/>
      <c r="H1621" s="400"/>
      <c r="I1621" s="239"/>
    </row>
    <row r="1622" spans="6:9" x14ac:dyDescent="0.35">
      <c r="F1622" s="33"/>
      <c r="G1622" s="70"/>
      <c r="H1622" s="400"/>
      <c r="I1622" s="239"/>
    </row>
    <row r="1623" spans="6:9" x14ac:dyDescent="0.35">
      <c r="F1623" s="33"/>
      <c r="G1623" s="70"/>
      <c r="H1623" s="400"/>
      <c r="I1623" s="239"/>
    </row>
    <row r="1624" spans="6:9" x14ac:dyDescent="0.35">
      <c r="F1624" s="33"/>
      <c r="G1624" s="70"/>
      <c r="H1624" s="400"/>
      <c r="I1624" s="239"/>
    </row>
    <row r="1625" spans="6:9" x14ac:dyDescent="0.35">
      <c r="F1625" s="33"/>
      <c r="G1625" s="70"/>
      <c r="H1625" s="400"/>
      <c r="I1625" s="239"/>
    </row>
    <row r="1626" spans="6:9" x14ac:dyDescent="0.35">
      <c r="F1626" s="33"/>
      <c r="G1626" s="70"/>
      <c r="H1626" s="400"/>
      <c r="I1626" s="239"/>
    </row>
    <row r="1627" spans="6:9" x14ac:dyDescent="0.35">
      <c r="F1627" s="33"/>
      <c r="G1627" s="70"/>
      <c r="H1627" s="400"/>
      <c r="I1627" s="239"/>
    </row>
    <row r="1628" spans="6:9" x14ac:dyDescent="0.35">
      <c r="F1628" s="33"/>
      <c r="G1628" s="70"/>
      <c r="H1628" s="400"/>
      <c r="I1628" s="239"/>
    </row>
    <row r="1629" spans="6:9" x14ac:dyDescent="0.35">
      <c r="F1629" s="33"/>
      <c r="G1629" s="70"/>
      <c r="H1629" s="400"/>
      <c r="I1629" s="239"/>
    </row>
    <row r="1630" spans="6:9" x14ac:dyDescent="0.35">
      <c r="F1630" s="33"/>
      <c r="G1630" s="70"/>
      <c r="H1630" s="400"/>
      <c r="I1630" s="239"/>
    </row>
    <row r="1631" spans="6:9" x14ac:dyDescent="0.35">
      <c r="F1631" s="33"/>
      <c r="G1631" s="70"/>
      <c r="H1631" s="400"/>
      <c r="I1631" s="239"/>
    </row>
    <row r="1632" spans="6:9" x14ac:dyDescent="0.35">
      <c r="F1632" s="33"/>
      <c r="G1632" s="70"/>
      <c r="H1632" s="400"/>
      <c r="I1632" s="239"/>
    </row>
    <row r="1633" spans="6:9" x14ac:dyDescent="0.35">
      <c r="F1633" s="33"/>
      <c r="G1633" s="70"/>
      <c r="H1633" s="400"/>
      <c r="I1633" s="239"/>
    </row>
    <row r="1634" spans="6:9" x14ac:dyDescent="0.35">
      <c r="F1634" s="33"/>
      <c r="G1634" s="70"/>
      <c r="H1634" s="400"/>
      <c r="I1634" s="239"/>
    </row>
    <row r="1635" spans="6:9" x14ac:dyDescent="0.35">
      <c r="F1635" s="33"/>
      <c r="G1635" s="70"/>
      <c r="H1635" s="400"/>
      <c r="I1635" s="239"/>
    </row>
    <row r="1636" spans="6:9" x14ac:dyDescent="0.35">
      <c r="F1636" s="33"/>
      <c r="G1636" s="70"/>
      <c r="H1636" s="400"/>
      <c r="I1636" s="239"/>
    </row>
    <row r="1637" spans="6:9" x14ac:dyDescent="0.35">
      <c r="F1637" s="33"/>
      <c r="G1637" s="70"/>
      <c r="H1637" s="400"/>
      <c r="I1637" s="239"/>
    </row>
    <row r="1638" spans="6:9" x14ac:dyDescent="0.35">
      <c r="F1638" s="33"/>
      <c r="G1638" s="70"/>
      <c r="H1638" s="400"/>
      <c r="I1638" s="239"/>
    </row>
    <row r="1639" spans="6:9" x14ac:dyDescent="0.35">
      <c r="F1639" s="33"/>
      <c r="G1639" s="70"/>
      <c r="H1639" s="400"/>
      <c r="I1639" s="239"/>
    </row>
    <row r="1640" spans="6:9" x14ac:dyDescent="0.35">
      <c r="F1640" s="33"/>
      <c r="G1640" s="70"/>
      <c r="H1640" s="400"/>
      <c r="I1640" s="239"/>
    </row>
    <row r="1641" spans="6:9" x14ac:dyDescent="0.35">
      <c r="F1641" s="33"/>
      <c r="G1641" s="70"/>
      <c r="H1641" s="400"/>
      <c r="I1641" s="239"/>
    </row>
    <row r="1642" spans="6:9" x14ac:dyDescent="0.35">
      <c r="F1642" s="33"/>
      <c r="G1642" s="70"/>
      <c r="H1642" s="400"/>
      <c r="I1642" s="239"/>
    </row>
    <row r="1643" spans="6:9" x14ac:dyDescent="0.35">
      <c r="F1643" s="33"/>
      <c r="G1643" s="70"/>
      <c r="H1643" s="400"/>
      <c r="I1643" s="239"/>
    </row>
    <row r="1644" spans="6:9" x14ac:dyDescent="0.35">
      <c r="F1644" s="33"/>
      <c r="G1644" s="70"/>
      <c r="H1644" s="400"/>
      <c r="I1644" s="239"/>
    </row>
    <row r="1645" spans="6:9" x14ac:dyDescent="0.35">
      <c r="F1645" s="33"/>
      <c r="G1645" s="70"/>
      <c r="H1645" s="400"/>
      <c r="I1645" s="239"/>
    </row>
    <row r="1646" spans="6:9" x14ac:dyDescent="0.35">
      <c r="F1646" s="33"/>
      <c r="G1646" s="70"/>
      <c r="H1646" s="400"/>
      <c r="I1646" s="239"/>
    </row>
    <row r="1647" spans="6:9" x14ac:dyDescent="0.35">
      <c r="F1647" s="33"/>
      <c r="G1647" s="70"/>
      <c r="H1647" s="400"/>
      <c r="I1647" s="239"/>
    </row>
    <row r="1648" spans="6:9" x14ac:dyDescent="0.35">
      <c r="F1648" s="33"/>
      <c r="G1648" s="70"/>
      <c r="H1648" s="400"/>
      <c r="I1648" s="239"/>
    </row>
    <row r="1649" spans="6:9" x14ac:dyDescent="0.35">
      <c r="F1649" s="33"/>
      <c r="G1649" s="70"/>
      <c r="H1649" s="400"/>
      <c r="I1649" s="239"/>
    </row>
    <row r="1650" spans="6:9" x14ac:dyDescent="0.35">
      <c r="F1650" s="33"/>
      <c r="G1650" s="70"/>
      <c r="H1650" s="400"/>
      <c r="I1650" s="239"/>
    </row>
    <row r="1651" spans="6:9" x14ac:dyDescent="0.35">
      <c r="F1651" s="33"/>
      <c r="G1651" s="70"/>
      <c r="H1651" s="400"/>
      <c r="I1651" s="239"/>
    </row>
    <row r="1652" spans="6:9" x14ac:dyDescent="0.35">
      <c r="F1652" s="33"/>
      <c r="G1652" s="70"/>
      <c r="H1652" s="400"/>
      <c r="I1652" s="239"/>
    </row>
    <row r="1653" spans="6:9" x14ac:dyDescent="0.35">
      <c r="F1653" s="33"/>
      <c r="G1653" s="70"/>
      <c r="H1653" s="400"/>
      <c r="I1653" s="239"/>
    </row>
    <row r="1654" spans="6:9" x14ac:dyDescent="0.35">
      <c r="F1654" s="33"/>
      <c r="G1654" s="70"/>
      <c r="H1654" s="400"/>
      <c r="I1654" s="239"/>
    </row>
    <row r="1655" spans="6:9" x14ac:dyDescent="0.35">
      <c r="F1655" s="33"/>
      <c r="G1655" s="70"/>
      <c r="H1655" s="400"/>
      <c r="I1655" s="239"/>
    </row>
    <row r="1656" spans="6:9" x14ac:dyDescent="0.35">
      <c r="F1656" s="33"/>
      <c r="G1656" s="70"/>
      <c r="H1656" s="400"/>
      <c r="I1656" s="239"/>
    </row>
    <row r="1657" spans="6:9" x14ac:dyDescent="0.35">
      <c r="F1657" s="33"/>
      <c r="G1657" s="70"/>
      <c r="H1657" s="400"/>
      <c r="I1657" s="239"/>
    </row>
    <row r="1658" spans="6:9" x14ac:dyDescent="0.35">
      <c r="F1658" s="33"/>
      <c r="G1658" s="70"/>
      <c r="H1658" s="400"/>
      <c r="I1658" s="239"/>
    </row>
    <row r="1659" spans="6:9" x14ac:dyDescent="0.35">
      <c r="F1659" s="33"/>
      <c r="G1659" s="70"/>
      <c r="H1659" s="400"/>
      <c r="I1659" s="239"/>
    </row>
    <row r="1660" spans="6:9" x14ac:dyDescent="0.35">
      <c r="F1660" s="33"/>
      <c r="G1660" s="70"/>
      <c r="H1660" s="400"/>
      <c r="I1660" s="239"/>
    </row>
    <row r="1661" spans="6:9" x14ac:dyDescent="0.35">
      <c r="F1661" s="33"/>
      <c r="G1661" s="70"/>
      <c r="H1661" s="400"/>
      <c r="I1661" s="239"/>
    </row>
    <row r="1662" spans="6:9" x14ac:dyDescent="0.35">
      <c r="F1662" s="33"/>
      <c r="G1662" s="70"/>
      <c r="H1662" s="400"/>
      <c r="I1662" s="239"/>
    </row>
    <row r="1663" spans="6:9" x14ac:dyDescent="0.35">
      <c r="F1663" s="33"/>
      <c r="G1663" s="70"/>
      <c r="H1663" s="400"/>
      <c r="I1663" s="239"/>
    </row>
    <row r="1664" spans="6:9" x14ac:dyDescent="0.35">
      <c r="F1664" s="33"/>
      <c r="G1664" s="70"/>
      <c r="H1664" s="400"/>
      <c r="I1664" s="239"/>
    </row>
    <row r="1665" spans="6:9" x14ac:dyDescent="0.35">
      <c r="F1665" s="33"/>
      <c r="G1665" s="70"/>
      <c r="H1665" s="400"/>
      <c r="I1665" s="239"/>
    </row>
    <row r="1666" spans="6:9" x14ac:dyDescent="0.35">
      <c r="F1666" s="33"/>
      <c r="G1666" s="70"/>
      <c r="H1666" s="400"/>
      <c r="I1666" s="239"/>
    </row>
    <row r="1667" spans="6:9" x14ac:dyDescent="0.35">
      <c r="F1667" s="33"/>
      <c r="G1667" s="70"/>
      <c r="H1667" s="400"/>
      <c r="I1667" s="239"/>
    </row>
    <row r="1668" spans="6:9" x14ac:dyDescent="0.35">
      <c r="F1668" s="33"/>
      <c r="G1668" s="70"/>
      <c r="H1668" s="400"/>
      <c r="I1668" s="239"/>
    </row>
    <row r="1669" spans="6:9" x14ac:dyDescent="0.35">
      <c r="F1669" s="33"/>
      <c r="G1669" s="70"/>
      <c r="H1669" s="400"/>
      <c r="I1669" s="239"/>
    </row>
    <row r="1670" spans="6:9" x14ac:dyDescent="0.35">
      <c r="F1670" s="33"/>
      <c r="G1670" s="70"/>
      <c r="H1670" s="400"/>
      <c r="I1670" s="239"/>
    </row>
    <row r="1671" spans="6:9" x14ac:dyDescent="0.35">
      <c r="F1671" s="33"/>
      <c r="G1671" s="70"/>
      <c r="H1671" s="400"/>
      <c r="I1671" s="239"/>
    </row>
    <row r="1672" spans="6:9" x14ac:dyDescent="0.35">
      <c r="F1672" s="33"/>
      <c r="G1672" s="70"/>
      <c r="H1672" s="400"/>
      <c r="I1672" s="239"/>
    </row>
    <row r="1673" spans="6:9" x14ac:dyDescent="0.35">
      <c r="F1673" s="33"/>
      <c r="G1673" s="70"/>
      <c r="H1673" s="400"/>
      <c r="I1673" s="239"/>
    </row>
    <row r="1674" spans="6:9" x14ac:dyDescent="0.35">
      <c r="F1674" s="33"/>
      <c r="G1674" s="70"/>
      <c r="H1674" s="400"/>
      <c r="I1674" s="239"/>
    </row>
    <row r="1675" spans="6:9" x14ac:dyDescent="0.35">
      <c r="F1675" s="33"/>
      <c r="G1675" s="70"/>
      <c r="H1675" s="400"/>
      <c r="I1675" s="239"/>
    </row>
    <row r="1676" spans="6:9" x14ac:dyDescent="0.35">
      <c r="F1676" s="33"/>
      <c r="G1676" s="70"/>
      <c r="H1676" s="400"/>
      <c r="I1676" s="239"/>
    </row>
    <row r="1677" spans="6:9" x14ac:dyDescent="0.35">
      <c r="F1677" s="33"/>
      <c r="G1677" s="70"/>
      <c r="H1677" s="400"/>
      <c r="I1677" s="239"/>
    </row>
    <row r="1678" spans="6:9" x14ac:dyDescent="0.35">
      <c r="F1678" s="33"/>
      <c r="G1678" s="70"/>
      <c r="H1678" s="400"/>
      <c r="I1678" s="239"/>
    </row>
    <row r="1679" spans="6:9" x14ac:dyDescent="0.35">
      <c r="F1679" s="33"/>
      <c r="G1679" s="70"/>
      <c r="H1679" s="400"/>
      <c r="I1679" s="239"/>
    </row>
    <row r="1680" spans="6:9" x14ac:dyDescent="0.35">
      <c r="F1680" s="33"/>
      <c r="G1680" s="70"/>
      <c r="H1680" s="400"/>
      <c r="I1680" s="239"/>
    </row>
    <row r="1681" spans="6:9" x14ac:dyDescent="0.35">
      <c r="F1681" s="33"/>
      <c r="G1681" s="70"/>
      <c r="H1681" s="400"/>
      <c r="I1681" s="239"/>
    </row>
    <row r="1682" spans="6:9" x14ac:dyDescent="0.35">
      <c r="F1682" s="33"/>
      <c r="G1682" s="70"/>
      <c r="H1682" s="400"/>
      <c r="I1682" s="239"/>
    </row>
    <row r="1683" spans="6:9" x14ac:dyDescent="0.35">
      <c r="F1683" s="33"/>
      <c r="G1683" s="70"/>
      <c r="H1683" s="400"/>
      <c r="I1683" s="239"/>
    </row>
    <row r="1684" spans="6:9" x14ac:dyDescent="0.35">
      <c r="F1684" s="33"/>
      <c r="G1684" s="70"/>
      <c r="H1684" s="400"/>
      <c r="I1684" s="239"/>
    </row>
    <row r="1685" spans="6:9" x14ac:dyDescent="0.35">
      <c r="F1685" s="33"/>
      <c r="G1685" s="70"/>
      <c r="H1685" s="400"/>
      <c r="I1685" s="239"/>
    </row>
    <row r="1686" spans="6:9" x14ac:dyDescent="0.35">
      <c r="F1686" s="33"/>
      <c r="G1686" s="70"/>
      <c r="H1686" s="400"/>
      <c r="I1686" s="239"/>
    </row>
    <row r="1687" spans="6:9" x14ac:dyDescent="0.35">
      <c r="F1687" s="33"/>
      <c r="G1687" s="70"/>
      <c r="H1687" s="400"/>
      <c r="I1687" s="239"/>
    </row>
    <row r="1688" spans="6:9" x14ac:dyDescent="0.35">
      <c r="F1688" s="33"/>
      <c r="G1688" s="70"/>
      <c r="H1688" s="400"/>
      <c r="I1688" s="239"/>
    </row>
    <row r="1689" spans="6:9" x14ac:dyDescent="0.35">
      <c r="F1689" s="33"/>
      <c r="G1689" s="70"/>
      <c r="H1689" s="400"/>
      <c r="I1689" s="239"/>
    </row>
    <row r="1690" spans="6:9" x14ac:dyDescent="0.35">
      <c r="F1690" s="33"/>
      <c r="G1690" s="70"/>
      <c r="H1690" s="400"/>
      <c r="I1690" s="239"/>
    </row>
    <row r="1691" spans="6:9" x14ac:dyDescent="0.35">
      <c r="F1691" s="33"/>
      <c r="G1691" s="70"/>
      <c r="H1691" s="400"/>
      <c r="I1691" s="239"/>
    </row>
    <row r="1692" spans="6:9" x14ac:dyDescent="0.35">
      <c r="F1692" s="33"/>
      <c r="G1692" s="70"/>
      <c r="H1692" s="400"/>
      <c r="I1692" s="239"/>
    </row>
    <row r="1693" spans="6:9" x14ac:dyDescent="0.35">
      <c r="F1693" s="33"/>
      <c r="G1693" s="70"/>
      <c r="H1693" s="400"/>
      <c r="I1693" s="239"/>
    </row>
    <row r="1694" spans="6:9" x14ac:dyDescent="0.35">
      <c r="F1694" s="33"/>
      <c r="G1694" s="70"/>
      <c r="H1694" s="400"/>
      <c r="I1694" s="239"/>
    </row>
    <row r="1695" spans="6:9" x14ac:dyDescent="0.35">
      <c r="F1695" s="33"/>
      <c r="G1695" s="70"/>
      <c r="H1695" s="400"/>
      <c r="I1695" s="239"/>
    </row>
    <row r="1696" spans="6:9" x14ac:dyDescent="0.35">
      <c r="F1696" s="33"/>
      <c r="G1696" s="70"/>
      <c r="H1696" s="400"/>
      <c r="I1696" s="239"/>
    </row>
    <row r="1697" spans="6:9" x14ac:dyDescent="0.35">
      <c r="F1697" s="33"/>
      <c r="G1697" s="70"/>
      <c r="H1697" s="400"/>
      <c r="I1697" s="239"/>
    </row>
    <row r="1698" spans="6:9" x14ac:dyDescent="0.35">
      <c r="F1698" s="33"/>
      <c r="G1698" s="70"/>
      <c r="H1698" s="400"/>
      <c r="I1698" s="239"/>
    </row>
    <row r="1699" spans="6:9" x14ac:dyDescent="0.35">
      <c r="F1699" s="33"/>
      <c r="G1699" s="70"/>
      <c r="H1699" s="400"/>
      <c r="I1699" s="239"/>
    </row>
    <row r="1700" spans="6:9" x14ac:dyDescent="0.35">
      <c r="F1700" s="33"/>
      <c r="G1700" s="70"/>
      <c r="H1700" s="400"/>
      <c r="I1700" s="239"/>
    </row>
    <row r="1701" spans="6:9" x14ac:dyDescent="0.35">
      <c r="F1701" s="33"/>
      <c r="G1701" s="70"/>
      <c r="H1701" s="400"/>
      <c r="I1701" s="239"/>
    </row>
    <row r="1702" spans="6:9" x14ac:dyDescent="0.35">
      <c r="F1702" s="33"/>
      <c r="G1702" s="70"/>
      <c r="H1702" s="400"/>
      <c r="I1702" s="239"/>
    </row>
    <row r="1703" spans="6:9" x14ac:dyDescent="0.35">
      <c r="F1703" s="33"/>
      <c r="G1703" s="70"/>
      <c r="H1703" s="400"/>
      <c r="I1703" s="239"/>
    </row>
    <row r="1704" spans="6:9" x14ac:dyDescent="0.35">
      <c r="F1704" s="33"/>
      <c r="G1704" s="70"/>
      <c r="H1704" s="400"/>
      <c r="I1704" s="239"/>
    </row>
    <row r="1705" spans="6:9" x14ac:dyDescent="0.35">
      <c r="F1705" s="33"/>
      <c r="G1705" s="70"/>
      <c r="H1705" s="400"/>
      <c r="I1705" s="239"/>
    </row>
    <row r="1706" spans="6:9" x14ac:dyDescent="0.35">
      <c r="F1706" s="33"/>
      <c r="G1706" s="70"/>
      <c r="H1706" s="400"/>
      <c r="I1706" s="239"/>
    </row>
    <row r="1707" spans="6:9" x14ac:dyDescent="0.35">
      <c r="F1707" s="33"/>
      <c r="G1707" s="70"/>
      <c r="H1707" s="400"/>
      <c r="I1707" s="239"/>
    </row>
    <row r="1708" spans="6:9" x14ac:dyDescent="0.35">
      <c r="F1708" s="33"/>
      <c r="G1708" s="70"/>
      <c r="H1708" s="400"/>
      <c r="I1708" s="239"/>
    </row>
    <row r="1709" spans="6:9" x14ac:dyDescent="0.35">
      <c r="F1709" s="33"/>
      <c r="G1709" s="70"/>
      <c r="H1709" s="400"/>
      <c r="I1709" s="239"/>
    </row>
    <row r="1710" spans="6:9" x14ac:dyDescent="0.35">
      <c r="F1710" s="33"/>
      <c r="G1710" s="70"/>
      <c r="H1710" s="400"/>
      <c r="I1710" s="239"/>
    </row>
    <row r="1711" spans="6:9" x14ac:dyDescent="0.35">
      <c r="F1711" s="33"/>
      <c r="G1711" s="70"/>
      <c r="H1711" s="400"/>
      <c r="I1711" s="239"/>
    </row>
    <row r="1712" spans="6:9" x14ac:dyDescent="0.35">
      <c r="F1712" s="33"/>
      <c r="G1712" s="70"/>
      <c r="H1712" s="400"/>
      <c r="I1712" s="239"/>
    </row>
    <row r="1713" spans="6:9" x14ac:dyDescent="0.35">
      <c r="F1713" s="33"/>
      <c r="G1713" s="70"/>
      <c r="H1713" s="400"/>
      <c r="I1713" s="239"/>
    </row>
    <row r="1714" spans="6:9" x14ac:dyDescent="0.35">
      <c r="F1714" s="33"/>
      <c r="G1714" s="70"/>
      <c r="H1714" s="400"/>
      <c r="I1714" s="239"/>
    </row>
    <row r="1715" spans="6:9" x14ac:dyDescent="0.35">
      <c r="F1715" s="33"/>
      <c r="G1715" s="70"/>
      <c r="H1715" s="400"/>
      <c r="I1715" s="239"/>
    </row>
    <row r="1716" spans="6:9" x14ac:dyDescent="0.35">
      <c r="F1716" s="33"/>
      <c r="G1716" s="70"/>
      <c r="H1716" s="400"/>
      <c r="I1716" s="239"/>
    </row>
    <row r="1717" spans="6:9" x14ac:dyDescent="0.35">
      <c r="F1717" s="33"/>
      <c r="G1717" s="70"/>
      <c r="H1717" s="400"/>
      <c r="I1717" s="239"/>
    </row>
    <row r="1718" spans="6:9" x14ac:dyDescent="0.35">
      <c r="F1718" s="33"/>
      <c r="G1718" s="70"/>
      <c r="H1718" s="400"/>
      <c r="I1718" s="239"/>
    </row>
    <row r="1719" spans="6:9" x14ac:dyDescent="0.35">
      <c r="F1719" s="33"/>
      <c r="G1719" s="70"/>
      <c r="H1719" s="400"/>
      <c r="I1719" s="239"/>
    </row>
    <row r="1720" spans="6:9" x14ac:dyDescent="0.35">
      <c r="F1720" s="33"/>
      <c r="G1720" s="70"/>
      <c r="H1720" s="400"/>
      <c r="I1720" s="239"/>
    </row>
    <row r="1721" spans="6:9" x14ac:dyDescent="0.35">
      <c r="F1721" s="33"/>
      <c r="G1721" s="70"/>
      <c r="H1721" s="400"/>
      <c r="I1721" s="239"/>
    </row>
    <row r="1722" spans="6:9" x14ac:dyDescent="0.35">
      <c r="F1722" s="33"/>
      <c r="G1722" s="70"/>
      <c r="H1722" s="400"/>
      <c r="I1722" s="239"/>
    </row>
    <row r="1723" spans="6:9" x14ac:dyDescent="0.35">
      <c r="F1723" s="33"/>
      <c r="G1723" s="70"/>
      <c r="H1723" s="400"/>
      <c r="I1723" s="239"/>
    </row>
    <row r="1724" spans="6:9" x14ac:dyDescent="0.35">
      <c r="F1724" s="33"/>
      <c r="G1724" s="70"/>
      <c r="H1724" s="400"/>
      <c r="I1724" s="239"/>
    </row>
    <row r="1725" spans="6:9" x14ac:dyDescent="0.35">
      <c r="F1725" s="33"/>
      <c r="G1725" s="70"/>
      <c r="H1725" s="400"/>
      <c r="I1725" s="239"/>
    </row>
    <row r="1726" spans="6:9" x14ac:dyDescent="0.35">
      <c r="F1726" s="33"/>
      <c r="G1726" s="70"/>
      <c r="H1726" s="400"/>
      <c r="I1726" s="239"/>
    </row>
    <row r="1727" spans="6:9" x14ac:dyDescent="0.35">
      <c r="F1727" s="33"/>
      <c r="G1727" s="70"/>
      <c r="H1727" s="400"/>
      <c r="I1727" s="239"/>
    </row>
    <row r="1728" spans="6:9" x14ac:dyDescent="0.35">
      <c r="F1728" s="33"/>
      <c r="G1728" s="70"/>
      <c r="H1728" s="400"/>
      <c r="I1728" s="239"/>
    </row>
    <row r="1729" spans="6:9" x14ac:dyDescent="0.35">
      <c r="F1729" s="33"/>
      <c r="G1729" s="70"/>
      <c r="H1729" s="400"/>
      <c r="I1729" s="239"/>
    </row>
    <row r="1730" spans="6:9" x14ac:dyDescent="0.35">
      <c r="F1730" s="33"/>
      <c r="G1730" s="70"/>
      <c r="H1730" s="400"/>
      <c r="I1730" s="239"/>
    </row>
    <row r="1731" spans="6:9" x14ac:dyDescent="0.35">
      <c r="F1731" s="33"/>
      <c r="G1731" s="70"/>
      <c r="H1731" s="400"/>
      <c r="I1731" s="239"/>
    </row>
    <row r="1732" spans="6:9" x14ac:dyDescent="0.35">
      <c r="F1732" s="33"/>
      <c r="G1732" s="70"/>
      <c r="H1732" s="400"/>
      <c r="I1732" s="239"/>
    </row>
    <row r="1733" spans="6:9" x14ac:dyDescent="0.35">
      <c r="F1733" s="33"/>
      <c r="G1733" s="70"/>
      <c r="H1733" s="400"/>
      <c r="I1733" s="239"/>
    </row>
    <row r="1734" spans="6:9" x14ac:dyDescent="0.35">
      <c r="F1734" s="33"/>
      <c r="G1734" s="70"/>
      <c r="H1734" s="400"/>
      <c r="I1734" s="239"/>
    </row>
    <row r="1735" spans="6:9" x14ac:dyDescent="0.35">
      <c r="F1735" s="33"/>
      <c r="G1735" s="70"/>
      <c r="H1735" s="400"/>
      <c r="I1735" s="239"/>
    </row>
    <row r="1736" spans="6:9" x14ac:dyDescent="0.35">
      <c r="F1736" s="33"/>
      <c r="G1736" s="70"/>
      <c r="H1736" s="400"/>
      <c r="I1736" s="239"/>
    </row>
    <row r="1737" spans="6:9" x14ac:dyDescent="0.35">
      <c r="F1737" s="33"/>
      <c r="G1737" s="70"/>
      <c r="H1737" s="400"/>
      <c r="I1737" s="239"/>
    </row>
    <row r="1738" spans="6:9" x14ac:dyDescent="0.35">
      <c r="F1738" s="33"/>
      <c r="G1738" s="70"/>
      <c r="H1738" s="400"/>
      <c r="I1738" s="239"/>
    </row>
    <row r="1739" spans="6:9" x14ac:dyDescent="0.35">
      <c r="F1739" s="33"/>
      <c r="G1739" s="70"/>
      <c r="H1739" s="400"/>
      <c r="I1739" s="239"/>
    </row>
    <row r="1740" spans="6:9" x14ac:dyDescent="0.35">
      <c r="F1740" s="33"/>
      <c r="G1740" s="70"/>
      <c r="H1740" s="400"/>
      <c r="I1740" s="239"/>
    </row>
    <row r="1741" spans="6:9" x14ac:dyDescent="0.35">
      <c r="F1741" s="33"/>
      <c r="G1741" s="70"/>
      <c r="H1741" s="400"/>
      <c r="I1741" s="239"/>
    </row>
    <row r="1742" spans="6:9" x14ac:dyDescent="0.35">
      <c r="F1742" s="33"/>
      <c r="G1742" s="70"/>
      <c r="H1742" s="400"/>
      <c r="I1742" s="239"/>
    </row>
    <row r="1743" spans="6:9" x14ac:dyDescent="0.35">
      <c r="F1743" s="33"/>
      <c r="G1743" s="70"/>
      <c r="H1743" s="400"/>
      <c r="I1743" s="239"/>
    </row>
    <row r="1744" spans="6:9" x14ac:dyDescent="0.35">
      <c r="F1744" s="33"/>
      <c r="G1744" s="70"/>
      <c r="H1744" s="400"/>
      <c r="I1744" s="239"/>
    </row>
    <row r="1745" spans="6:9" x14ac:dyDescent="0.35">
      <c r="F1745" s="33"/>
      <c r="G1745" s="70"/>
      <c r="H1745" s="400"/>
      <c r="I1745" s="239"/>
    </row>
    <row r="1746" spans="6:9" x14ac:dyDescent="0.35">
      <c r="F1746" s="33"/>
      <c r="G1746" s="70"/>
      <c r="H1746" s="400"/>
      <c r="I1746" s="239"/>
    </row>
    <row r="1747" spans="6:9" x14ac:dyDescent="0.35">
      <c r="F1747" s="33"/>
      <c r="G1747" s="70"/>
      <c r="H1747" s="400"/>
      <c r="I1747" s="239"/>
    </row>
    <row r="1748" spans="6:9" x14ac:dyDescent="0.35">
      <c r="F1748" s="33"/>
      <c r="G1748" s="70"/>
      <c r="H1748" s="400"/>
      <c r="I1748" s="239"/>
    </row>
    <row r="1749" spans="6:9" x14ac:dyDescent="0.35">
      <c r="F1749" s="33"/>
      <c r="G1749" s="70"/>
      <c r="H1749" s="400"/>
      <c r="I1749" s="239"/>
    </row>
    <row r="1750" spans="6:9" x14ac:dyDescent="0.35">
      <c r="F1750" s="33"/>
      <c r="G1750" s="70"/>
      <c r="H1750" s="400"/>
      <c r="I1750" s="239"/>
    </row>
    <row r="1751" spans="6:9" x14ac:dyDescent="0.35">
      <c r="F1751" s="33"/>
      <c r="G1751" s="70"/>
      <c r="H1751" s="400"/>
      <c r="I1751" s="239"/>
    </row>
    <row r="1752" spans="6:9" x14ac:dyDescent="0.35">
      <c r="F1752" s="33"/>
      <c r="G1752" s="70"/>
      <c r="H1752" s="400"/>
      <c r="I1752" s="239"/>
    </row>
    <row r="1753" spans="6:9" x14ac:dyDescent="0.35">
      <c r="F1753" s="33"/>
      <c r="G1753" s="70"/>
      <c r="H1753" s="400"/>
      <c r="I1753" s="239"/>
    </row>
    <row r="1754" spans="6:9" x14ac:dyDescent="0.35">
      <c r="F1754" s="33"/>
      <c r="G1754" s="70"/>
      <c r="H1754" s="400"/>
      <c r="I1754" s="239"/>
    </row>
    <row r="1755" spans="6:9" x14ac:dyDescent="0.35">
      <c r="F1755" s="33"/>
      <c r="G1755" s="70"/>
      <c r="H1755" s="400"/>
      <c r="I1755" s="239"/>
    </row>
    <row r="1756" spans="6:9" x14ac:dyDescent="0.35">
      <c r="F1756" s="33"/>
      <c r="G1756" s="70"/>
      <c r="H1756" s="400"/>
      <c r="I1756" s="239"/>
    </row>
    <row r="1757" spans="6:9" x14ac:dyDescent="0.35">
      <c r="F1757" s="33"/>
      <c r="G1757" s="70"/>
      <c r="H1757" s="400"/>
      <c r="I1757" s="239"/>
    </row>
    <row r="1758" spans="6:9" x14ac:dyDescent="0.35">
      <c r="F1758" s="33"/>
      <c r="G1758" s="70"/>
      <c r="H1758" s="400"/>
      <c r="I1758" s="239"/>
    </row>
    <row r="1759" spans="6:9" x14ac:dyDescent="0.35">
      <c r="F1759" s="33"/>
      <c r="G1759" s="70"/>
      <c r="H1759" s="400"/>
      <c r="I1759" s="239"/>
    </row>
    <row r="1760" spans="6:9" x14ac:dyDescent="0.35">
      <c r="F1760" s="33"/>
      <c r="G1760" s="70"/>
      <c r="H1760" s="400"/>
      <c r="I1760" s="239"/>
    </row>
    <row r="1761" spans="6:9" x14ac:dyDescent="0.35">
      <c r="F1761" s="33"/>
      <c r="G1761" s="70"/>
      <c r="H1761" s="400"/>
      <c r="I1761" s="239"/>
    </row>
    <row r="1762" spans="6:9" x14ac:dyDescent="0.35">
      <c r="F1762" s="33"/>
      <c r="G1762" s="70"/>
      <c r="H1762" s="400"/>
      <c r="I1762" s="239"/>
    </row>
    <row r="1763" spans="6:9" x14ac:dyDescent="0.35">
      <c r="F1763" s="33"/>
      <c r="G1763" s="70"/>
      <c r="H1763" s="400"/>
      <c r="I1763" s="239"/>
    </row>
    <row r="1764" spans="6:9" x14ac:dyDescent="0.35">
      <c r="F1764" s="33"/>
      <c r="G1764" s="70"/>
      <c r="H1764" s="400"/>
      <c r="I1764" s="239"/>
    </row>
    <row r="1765" spans="6:9" x14ac:dyDescent="0.35">
      <c r="F1765" s="33"/>
      <c r="G1765" s="70"/>
      <c r="H1765" s="400"/>
      <c r="I1765" s="239"/>
    </row>
    <row r="1766" spans="6:9" x14ac:dyDescent="0.35">
      <c r="F1766" s="33"/>
      <c r="G1766" s="70"/>
      <c r="H1766" s="400"/>
      <c r="I1766" s="239"/>
    </row>
    <row r="1767" spans="6:9" x14ac:dyDescent="0.35">
      <c r="F1767" s="33"/>
      <c r="G1767" s="70"/>
      <c r="H1767" s="400"/>
      <c r="I1767" s="239"/>
    </row>
    <row r="1768" spans="6:9" x14ac:dyDescent="0.35">
      <c r="F1768" s="33"/>
      <c r="G1768" s="70"/>
      <c r="H1768" s="400"/>
      <c r="I1768" s="239"/>
    </row>
    <row r="1769" spans="6:9" x14ac:dyDescent="0.35">
      <c r="F1769" s="33"/>
      <c r="G1769" s="70"/>
      <c r="H1769" s="400"/>
      <c r="I1769" s="239"/>
    </row>
    <row r="1770" spans="6:9" x14ac:dyDescent="0.35">
      <c r="F1770" s="33"/>
      <c r="G1770" s="70"/>
      <c r="H1770" s="400"/>
      <c r="I1770" s="239"/>
    </row>
    <row r="1771" spans="6:9" x14ac:dyDescent="0.35">
      <c r="F1771" s="33"/>
      <c r="G1771" s="70"/>
      <c r="H1771" s="400"/>
      <c r="I1771" s="239"/>
    </row>
    <row r="1772" spans="6:9" x14ac:dyDescent="0.35">
      <c r="F1772" s="33"/>
      <c r="G1772" s="70"/>
      <c r="H1772" s="400"/>
      <c r="I1772" s="239"/>
    </row>
    <row r="1773" spans="6:9" x14ac:dyDescent="0.35">
      <c r="F1773" s="33"/>
      <c r="G1773" s="70"/>
      <c r="H1773" s="400"/>
      <c r="I1773" s="239"/>
    </row>
    <row r="1774" spans="6:9" x14ac:dyDescent="0.35">
      <c r="F1774" s="33"/>
      <c r="G1774" s="70"/>
      <c r="H1774" s="400"/>
      <c r="I1774" s="239"/>
    </row>
    <row r="1775" spans="6:9" x14ac:dyDescent="0.35">
      <c r="F1775" s="33"/>
      <c r="G1775" s="70"/>
      <c r="H1775" s="400"/>
      <c r="I1775" s="239"/>
    </row>
    <row r="1776" spans="6:9" x14ac:dyDescent="0.35">
      <c r="F1776" s="33"/>
      <c r="G1776" s="70"/>
      <c r="H1776" s="400"/>
      <c r="I1776" s="239"/>
    </row>
    <row r="1777" spans="6:9" x14ac:dyDescent="0.35">
      <c r="F1777" s="33"/>
      <c r="G1777" s="70"/>
      <c r="H1777" s="400"/>
      <c r="I1777" s="239"/>
    </row>
    <row r="1778" spans="6:9" x14ac:dyDescent="0.35">
      <c r="F1778" s="33"/>
      <c r="G1778" s="70"/>
      <c r="H1778" s="400"/>
      <c r="I1778" s="239"/>
    </row>
    <row r="1779" spans="6:9" x14ac:dyDescent="0.35">
      <c r="F1779" s="33"/>
      <c r="G1779" s="70"/>
      <c r="H1779" s="400"/>
      <c r="I1779" s="239"/>
    </row>
    <row r="1780" spans="6:9" x14ac:dyDescent="0.35">
      <c r="F1780" s="33"/>
      <c r="G1780" s="70"/>
      <c r="H1780" s="400"/>
      <c r="I1780" s="239"/>
    </row>
    <row r="1781" spans="6:9" x14ac:dyDescent="0.35">
      <c r="F1781" s="33"/>
      <c r="G1781" s="70"/>
      <c r="H1781" s="400"/>
      <c r="I1781" s="239"/>
    </row>
    <row r="1782" spans="6:9" x14ac:dyDescent="0.35">
      <c r="F1782" s="33"/>
      <c r="G1782" s="70"/>
      <c r="H1782" s="400"/>
      <c r="I1782" s="239"/>
    </row>
    <row r="1783" spans="6:9" x14ac:dyDescent="0.35">
      <c r="F1783" s="33"/>
      <c r="G1783" s="70"/>
      <c r="H1783" s="400"/>
      <c r="I1783" s="239"/>
    </row>
    <row r="1784" spans="6:9" x14ac:dyDescent="0.35">
      <c r="F1784" s="33"/>
      <c r="G1784" s="70"/>
      <c r="H1784" s="400"/>
      <c r="I1784" s="239"/>
    </row>
    <row r="1785" spans="6:9" x14ac:dyDescent="0.35">
      <c r="F1785" s="33"/>
      <c r="G1785" s="70"/>
      <c r="H1785" s="400"/>
      <c r="I1785" s="239"/>
    </row>
    <row r="1786" spans="6:9" x14ac:dyDescent="0.35">
      <c r="F1786" s="33"/>
      <c r="G1786" s="70"/>
      <c r="H1786" s="400"/>
      <c r="I1786" s="239"/>
    </row>
    <row r="1787" spans="6:9" x14ac:dyDescent="0.35">
      <c r="F1787" s="33"/>
      <c r="G1787" s="70"/>
      <c r="H1787" s="400"/>
      <c r="I1787" s="239"/>
    </row>
    <row r="1788" spans="6:9" x14ac:dyDescent="0.35">
      <c r="F1788" s="33"/>
      <c r="G1788" s="70"/>
      <c r="H1788" s="400"/>
      <c r="I1788" s="239"/>
    </row>
    <row r="1789" spans="6:9" x14ac:dyDescent="0.35">
      <c r="F1789" s="33"/>
      <c r="G1789" s="70"/>
      <c r="H1789" s="400"/>
      <c r="I1789" s="239"/>
    </row>
    <row r="1790" spans="6:9" x14ac:dyDescent="0.35">
      <c r="F1790" s="33"/>
      <c r="G1790" s="70"/>
      <c r="H1790" s="400"/>
      <c r="I1790" s="239"/>
    </row>
    <row r="1791" spans="6:9" x14ac:dyDescent="0.35">
      <c r="F1791" s="33"/>
      <c r="G1791" s="70"/>
      <c r="H1791" s="400"/>
      <c r="I1791" s="239"/>
    </row>
    <row r="1792" spans="6:9" x14ac:dyDescent="0.35">
      <c r="F1792" s="33"/>
      <c r="G1792" s="70"/>
      <c r="H1792" s="400"/>
      <c r="I1792" s="239"/>
    </row>
    <row r="1793" spans="6:9" x14ac:dyDescent="0.35">
      <c r="F1793" s="33"/>
      <c r="G1793" s="70"/>
      <c r="H1793" s="400"/>
      <c r="I1793" s="239"/>
    </row>
    <row r="1794" spans="6:9" x14ac:dyDescent="0.35">
      <c r="F1794" s="33"/>
      <c r="G1794" s="70"/>
      <c r="H1794" s="400"/>
      <c r="I1794" s="239"/>
    </row>
    <row r="1795" spans="6:9" x14ac:dyDescent="0.35">
      <c r="F1795" s="33"/>
      <c r="G1795" s="70"/>
      <c r="H1795" s="400"/>
      <c r="I1795" s="239"/>
    </row>
    <row r="1796" spans="6:9" x14ac:dyDescent="0.35">
      <c r="F1796" s="33"/>
      <c r="G1796" s="70"/>
      <c r="H1796" s="400"/>
      <c r="I1796" s="239"/>
    </row>
    <row r="1797" spans="6:9" x14ac:dyDescent="0.35">
      <c r="F1797" s="33"/>
      <c r="G1797" s="70"/>
      <c r="H1797" s="400"/>
      <c r="I1797" s="239"/>
    </row>
    <row r="1798" spans="6:9" x14ac:dyDescent="0.35">
      <c r="F1798" s="33"/>
      <c r="G1798" s="70"/>
      <c r="H1798" s="400"/>
      <c r="I1798" s="239"/>
    </row>
    <row r="1799" spans="6:9" x14ac:dyDescent="0.35">
      <c r="F1799" s="33"/>
      <c r="G1799" s="70"/>
      <c r="H1799" s="400"/>
      <c r="I1799" s="239"/>
    </row>
    <row r="1800" spans="6:9" x14ac:dyDescent="0.35">
      <c r="F1800" s="33"/>
      <c r="G1800" s="70"/>
      <c r="H1800" s="400"/>
      <c r="I1800" s="239"/>
    </row>
    <row r="1801" spans="6:9" x14ac:dyDescent="0.35">
      <c r="F1801" s="33"/>
      <c r="G1801" s="70"/>
      <c r="H1801" s="400"/>
      <c r="I1801" s="239"/>
    </row>
    <row r="1802" spans="6:9" x14ac:dyDescent="0.35">
      <c r="F1802" s="33"/>
      <c r="G1802" s="70"/>
      <c r="H1802" s="400"/>
      <c r="I1802" s="239"/>
    </row>
    <row r="1803" spans="6:9" x14ac:dyDescent="0.35">
      <c r="F1803" s="33"/>
      <c r="G1803" s="70"/>
      <c r="H1803" s="400"/>
      <c r="I1803" s="239"/>
    </row>
    <row r="1804" spans="6:9" x14ac:dyDescent="0.35">
      <c r="F1804" s="33"/>
      <c r="G1804" s="70"/>
      <c r="H1804" s="400"/>
      <c r="I1804" s="239"/>
    </row>
    <row r="1805" spans="6:9" x14ac:dyDescent="0.35">
      <c r="F1805" s="33"/>
      <c r="G1805" s="70"/>
      <c r="H1805" s="400"/>
      <c r="I1805" s="239"/>
    </row>
    <row r="1806" spans="6:9" x14ac:dyDescent="0.35">
      <c r="F1806" s="33"/>
      <c r="G1806" s="70"/>
      <c r="H1806" s="400"/>
      <c r="I1806" s="239"/>
    </row>
    <row r="1807" spans="6:9" x14ac:dyDescent="0.35">
      <c r="F1807" s="33"/>
      <c r="G1807" s="70"/>
      <c r="H1807" s="400"/>
      <c r="I1807" s="239"/>
    </row>
    <row r="1808" spans="6:9" x14ac:dyDescent="0.35">
      <c r="F1808" s="33"/>
      <c r="G1808" s="70"/>
      <c r="H1808" s="400"/>
      <c r="I1808" s="239"/>
    </row>
    <row r="1809" spans="6:9" x14ac:dyDescent="0.35">
      <c r="F1809" s="33"/>
      <c r="G1809" s="70"/>
      <c r="H1809" s="400"/>
      <c r="I1809" s="239"/>
    </row>
    <row r="1810" spans="6:9" x14ac:dyDescent="0.35">
      <c r="F1810" s="33"/>
      <c r="G1810" s="70"/>
      <c r="H1810" s="400"/>
      <c r="I1810" s="239"/>
    </row>
    <row r="1811" spans="6:9" x14ac:dyDescent="0.35">
      <c r="F1811" s="33"/>
      <c r="G1811" s="70"/>
      <c r="H1811" s="400"/>
      <c r="I1811" s="239"/>
    </row>
    <row r="1812" spans="6:9" x14ac:dyDescent="0.35">
      <c r="F1812" s="33"/>
      <c r="G1812" s="70"/>
      <c r="H1812" s="400"/>
      <c r="I1812" s="239"/>
    </row>
    <row r="1813" spans="6:9" x14ac:dyDescent="0.35">
      <c r="F1813" s="33"/>
      <c r="G1813" s="70"/>
      <c r="H1813" s="400"/>
      <c r="I1813" s="239"/>
    </row>
    <row r="1814" spans="6:9" x14ac:dyDescent="0.35">
      <c r="F1814" s="33"/>
      <c r="G1814" s="70"/>
      <c r="H1814" s="400"/>
      <c r="I1814" s="239"/>
    </row>
    <row r="1815" spans="6:9" x14ac:dyDescent="0.35">
      <c r="F1815" s="33"/>
      <c r="G1815" s="70"/>
      <c r="H1815" s="400"/>
      <c r="I1815" s="239"/>
    </row>
    <row r="1816" spans="6:9" x14ac:dyDescent="0.35">
      <c r="F1816" s="33"/>
      <c r="G1816" s="70"/>
      <c r="H1816" s="400"/>
      <c r="I1816" s="239"/>
    </row>
    <row r="1817" spans="6:9" x14ac:dyDescent="0.35">
      <c r="F1817" s="33"/>
      <c r="G1817" s="70"/>
      <c r="H1817" s="400"/>
      <c r="I1817" s="239"/>
    </row>
    <row r="1818" spans="6:9" x14ac:dyDescent="0.35">
      <c r="F1818" s="33"/>
      <c r="G1818" s="70"/>
      <c r="H1818" s="400"/>
      <c r="I1818" s="239"/>
    </row>
    <row r="1819" spans="6:9" x14ac:dyDescent="0.35">
      <c r="F1819" s="33"/>
      <c r="G1819" s="70"/>
      <c r="H1819" s="400"/>
      <c r="I1819" s="239"/>
    </row>
    <row r="1820" spans="6:9" x14ac:dyDescent="0.35">
      <c r="F1820" s="33"/>
      <c r="G1820" s="70"/>
      <c r="H1820" s="400"/>
      <c r="I1820" s="239"/>
    </row>
    <row r="1821" spans="6:9" x14ac:dyDescent="0.35">
      <c r="F1821" s="33"/>
      <c r="G1821" s="70"/>
      <c r="H1821" s="400"/>
      <c r="I1821" s="239"/>
    </row>
    <row r="1822" spans="6:9" x14ac:dyDescent="0.35">
      <c r="F1822" s="33"/>
      <c r="G1822" s="70"/>
      <c r="H1822" s="400"/>
      <c r="I1822" s="239"/>
    </row>
    <row r="1823" spans="6:9" x14ac:dyDescent="0.35">
      <c r="F1823" s="33"/>
      <c r="G1823" s="70"/>
      <c r="H1823" s="400"/>
      <c r="I1823" s="239"/>
    </row>
    <row r="1824" spans="6:9" x14ac:dyDescent="0.35">
      <c r="F1824" s="33"/>
      <c r="G1824" s="70"/>
      <c r="H1824" s="400"/>
      <c r="I1824" s="239"/>
    </row>
    <row r="1825" spans="6:9" x14ac:dyDescent="0.35">
      <c r="F1825" s="33"/>
      <c r="G1825" s="70"/>
      <c r="H1825" s="400"/>
      <c r="I1825" s="239"/>
    </row>
    <row r="1826" spans="6:9" x14ac:dyDescent="0.35">
      <c r="F1826" s="33"/>
      <c r="G1826" s="70"/>
      <c r="H1826" s="400"/>
      <c r="I1826" s="239"/>
    </row>
    <row r="1827" spans="6:9" x14ac:dyDescent="0.35">
      <c r="F1827" s="33"/>
      <c r="G1827" s="70"/>
      <c r="H1827" s="400"/>
      <c r="I1827" s="239"/>
    </row>
    <row r="1828" spans="6:9" x14ac:dyDescent="0.35">
      <c r="F1828" s="33"/>
      <c r="G1828" s="70"/>
      <c r="H1828" s="400"/>
      <c r="I1828" s="239"/>
    </row>
    <row r="1829" spans="6:9" x14ac:dyDescent="0.35">
      <c r="F1829" s="33"/>
      <c r="G1829" s="70"/>
      <c r="H1829" s="400"/>
      <c r="I1829" s="239"/>
    </row>
    <row r="1830" spans="6:9" x14ac:dyDescent="0.35">
      <c r="F1830" s="33"/>
      <c r="G1830" s="70"/>
      <c r="H1830" s="400"/>
      <c r="I1830" s="239"/>
    </row>
    <row r="1831" spans="6:9" x14ac:dyDescent="0.35">
      <c r="F1831" s="33"/>
      <c r="G1831" s="70"/>
      <c r="H1831" s="400"/>
      <c r="I1831" s="239"/>
    </row>
    <row r="1832" spans="6:9" x14ac:dyDescent="0.35">
      <c r="F1832" s="33"/>
      <c r="G1832" s="70"/>
      <c r="H1832" s="400"/>
      <c r="I1832" s="239"/>
    </row>
    <row r="1833" spans="6:9" x14ac:dyDescent="0.35">
      <c r="F1833" s="33"/>
      <c r="G1833" s="70"/>
      <c r="H1833" s="400"/>
      <c r="I1833" s="239"/>
    </row>
    <row r="1834" spans="6:9" x14ac:dyDescent="0.35">
      <c r="F1834" s="33"/>
      <c r="G1834" s="70"/>
      <c r="H1834" s="400"/>
      <c r="I1834" s="239"/>
    </row>
    <row r="1835" spans="6:9" x14ac:dyDescent="0.35">
      <c r="F1835" s="33"/>
      <c r="G1835" s="70"/>
      <c r="H1835" s="400"/>
      <c r="I1835" s="239"/>
    </row>
    <row r="1836" spans="6:9" x14ac:dyDescent="0.35">
      <c r="F1836" s="33"/>
      <c r="G1836" s="70"/>
      <c r="H1836" s="400"/>
      <c r="I1836" s="239"/>
    </row>
    <row r="1837" spans="6:9" x14ac:dyDescent="0.35">
      <c r="F1837" s="33"/>
      <c r="G1837" s="70"/>
      <c r="H1837" s="400"/>
      <c r="I1837" s="239"/>
    </row>
    <row r="1838" spans="6:9" x14ac:dyDescent="0.35">
      <c r="F1838" s="33"/>
      <c r="G1838" s="70"/>
      <c r="H1838" s="400"/>
      <c r="I1838" s="239"/>
    </row>
    <row r="1839" spans="6:9" x14ac:dyDescent="0.35">
      <c r="F1839" s="33"/>
      <c r="G1839" s="70"/>
      <c r="H1839" s="400"/>
      <c r="I1839" s="239"/>
    </row>
    <row r="1840" spans="6:9" x14ac:dyDescent="0.35">
      <c r="F1840" s="33"/>
      <c r="G1840" s="70"/>
      <c r="H1840" s="400"/>
      <c r="I1840" s="239"/>
    </row>
    <row r="1841" spans="6:9" x14ac:dyDescent="0.35">
      <c r="F1841" s="33"/>
      <c r="G1841" s="70"/>
      <c r="H1841" s="400"/>
      <c r="I1841" s="239"/>
    </row>
    <row r="1842" spans="6:9" x14ac:dyDescent="0.35">
      <c r="F1842" s="33"/>
      <c r="G1842" s="70"/>
      <c r="H1842" s="400"/>
      <c r="I1842" s="239"/>
    </row>
    <row r="1843" spans="6:9" x14ac:dyDescent="0.35">
      <c r="F1843" s="33"/>
      <c r="G1843" s="70"/>
      <c r="H1843" s="400"/>
      <c r="I1843" s="239"/>
    </row>
    <row r="1844" spans="6:9" x14ac:dyDescent="0.35">
      <c r="F1844" s="33"/>
      <c r="G1844" s="70"/>
      <c r="H1844" s="400"/>
      <c r="I1844" s="239"/>
    </row>
    <row r="1845" spans="6:9" x14ac:dyDescent="0.35">
      <c r="F1845" s="33"/>
      <c r="G1845" s="70"/>
      <c r="H1845" s="400"/>
      <c r="I1845" s="239"/>
    </row>
    <row r="1846" spans="6:9" x14ac:dyDescent="0.35">
      <c r="F1846" s="33"/>
      <c r="G1846" s="70"/>
      <c r="H1846" s="400"/>
      <c r="I1846" s="239"/>
    </row>
    <row r="1847" spans="6:9" x14ac:dyDescent="0.35">
      <c r="F1847" s="33"/>
      <c r="G1847" s="70"/>
      <c r="H1847" s="400"/>
      <c r="I1847" s="239"/>
    </row>
    <row r="1848" spans="6:9" x14ac:dyDescent="0.35">
      <c r="F1848" s="33"/>
      <c r="G1848" s="70"/>
      <c r="H1848" s="400"/>
      <c r="I1848" s="239"/>
    </row>
    <row r="1849" spans="6:9" x14ac:dyDescent="0.35">
      <c r="F1849" s="33"/>
      <c r="G1849" s="70"/>
      <c r="H1849" s="400"/>
      <c r="I1849" s="239"/>
    </row>
    <row r="1850" spans="6:9" x14ac:dyDescent="0.35">
      <c r="F1850" s="33"/>
      <c r="G1850" s="70"/>
      <c r="H1850" s="400"/>
      <c r="I1850" s="239"/>
    </row>
    <row r="1851" spans="6:9" x14ac:dyDescent="0.35">
      <c r="F1851" s="33"/>
      <c r="G1851" s="70"/>
      <c r="H1851" s="400"/>
      <c r="I1851" s="239"/>
    </row>
    <row r="1852" spans="6:9" x14ac:dyDescent="0.35">
      <c r="F1852" s="33"/>
      <c r="G1852" s="70"/>
      <c r="H1852" s="400"/>
      <c r="I1852" s="239"/>
    </row>
    <row r="1853" spans="6:9" x14ac:dyDescent="0.35">
      <c r="F1853" s="33"/>
      <c r="G1853" s="70"/>
      <c r="H1853" s="400"/>
      <c r="I1853" s="239"/>
    </row>
    <row r="1854" spans="6:9" x14ac:dyDescent="0.35">
      <c r="F1854" s="33"/>
      <c r="G1854" s="70"/>
      <c r="H1854" s="400"/>
      <c r="I1854" s="239"/>
    </row>
    <row r="1855" spans="6:9" x14ac:dyDescent="0.35">
      <c r="F1855" s="33"/>
      <c r="G1855" s="70"/>
      <c r="H1855" s="400"/>
      <c r="I1855" s="239"/>
    </row>
    <row r="1856" spans="6:9" x14ac:dyDescent="0.35">
      <c r="F1856" s="33"/>
      <c r="G1856" s="70"/>
      <c r="H1856" s="400"/>
      <c r="I1856" s="239"/>
    </row>
    <row r="1857" spans="6:9" x14ac:dyDescent="0.35">
      <c r="F1857" s="33"/>
      <c r="G1857" s="70"/>
      <c r="H1857" s="400"/>
      <c r="I1857" s="239"/>
    </row>
    <row r="1858" spans="6:9" x14ac:dyDescent="0.35">
      <c r="F1858" s="33"/>
      <c r="G1858" s="70"/>
      <c r="H1858" s="400"/>
      <c r="I1858" s="239"/>
    </row>
    <row r="1859" spans="6:9" x14ac:dyDescent="0.35">
      <c r="F1859" s="33"/>
      <c r="G1859" s="70"/>
      <c r="H1859" s="400"/>
      <c r="I1859" s="239"/>
    </row>
    <row r="1860" spans="6:9" x14ac:dyDescent="0.35">
      <c r="F1860" s="33"/>
      <c r="G1860" s="70"/>
      <c r="H1860" s="400"/>
      <c r="I1860" s="239"/>
    </row>
    <row r="1861" spans="6:9" x14ac:dyDescent="0.35">
      <c r="F1861" s="33"/>
      <c r="G1861" s="70"/>
      <c r="H1861" s="400"/>
      <c r="I1861" s="239"/>
    </row>
    <row r="1862" spans="6:9" x14ac:dyDescent="0.35">
      <c r="F1862" s="33"/>
      <c r="G1862" s="70"/>
      <c r="H1862" s="400"/>
      <c r="I1862" s="239"/>
    </row>
    <row r="1863" spans="6:9" x14ac:dyDescent="0.35">
      <c r="F1863" s="33"/>
      <c r="G1863" s="70"/>
      <c r="H1863" s="400"/>
      <c r="I1863" s="239"/>
    </row>
    <row r="1864" spans="6:9" x14ac:dyDescent="0.35">
      <c r="F1864" s="33"/>
      <c r="G1864" s="70"/>
      <c r="H1864" s="400"/>
      <c r="I1864" s="239"/>
    </row>
    <row r="1865" spans="6:9" x14ac:dyDescent="0.35">
      <c r="F1865" s="33"/>
      <c r="G1865" s="70"/>
      <c r="H1865" s="400"/>
      <c r="I1865" s="239"/>
    </row>
    <row r="1866" spans="6:9" x14ac:dyDescent="0.35">
      <c r="F1866" s="33"/>
      <c r="G1866" s="70"/>
      <c r="H1866" s="400"/>
      <c r="I1866" s="239"/>
    </row>
    <row r="1867" spans="6:9" x14ac:dyDescent="0.35">
      <c r="F1867" s="33"/>
      <c r="G1867" s="70"/>
      <c r="H1867" s="400"/>
      <c r="I1867" s="239"/>
    </row>
    <row r="1868" spans="6:9" x14ac:dyDescent="0.35">
      <c r="F1868" s="33"/>
      <c r="G1868" s="70"/>
      <c r="H1868" s="400"/>
      <c r="I1868" s="239"/>
    </row>
    <row r="1869" spans="6:9" x14ac:dyDescent="0.35">
      <c r="F1869" s="33"/>
      <c r="G1869" s="70"/>
      <c r="H1869" s="400"/>
      <c r="I1869" s="239"/>
    </row>
    <row r="1870" spans="6:9" x14ac:dyDescent="0.35">
      <c r="F1870" s="33"/>
      <c r="G1870" s="70"/>
      <c r="H1870" s="400"/>
      <c r="I1870" s="239"/>
    </row>
    <row r="1871" spans="6:9" x14ac:dyDescent="0.35">
      <c r="F1871" s="33"/>
      <c r="G1871" s="70"/>
      <c r="H1871" s="400"/>
      <c r="I1871" s="239"/>
    </row>
    <row r="1872" spans="6:9" x14ac:dyDescent="0.35">
      <c r="F1872" s="33"/>
      <c r="G1872" s="70"/>
      <c r="H1872" s="400"/>
      <c r="I1872" s="239"/>
    </row>
    <row r="1873" spans="6:9" x14ac:dyDescent="0.35">
      <c r="F1873" s="33"/>
      <c r="G1873" s="70"/>
      <c r="H1873" s="400"/>
      <c r="I1873" s="239"/>
    </row>
    <row r="1874" spans="6:9" x14ac:dyDescent="0.35">
      <c r="F1874" s="33"/>
      <c r="G1874" s="70"/>
      <c r="H1874" s="400"/>
      <c r="I1874" s="239"/>
    </row>
    <row r="1875" spans="6:9" x14ac:dyDescent="0.35">
      <c r="F1875" s="33"/>
      <c r="G1875" s="70"/>
      <c r="H1875" s="400"/>
      <c r="I1875" s="239"/>
    </row>
    <row r="1876" spans="6:9" x14ac:dyDescent="0.35">
      <c r="F1876" s="33"/>
      <c r="G1876" s="70"/>
      <c r="H1876" s="400"/>
      <c r="I1876" s="239"/>
    </row>
    <row r="1877" spans="6:9" x14ac:dyDescent="0.35">
      <c r="F1877" s="33"/>
      <c r="G1877" s="70"/>
      <c r="H1877" s="400"/>
      <c r="I1877" s="239"/>
    </row>
    <row r="1878" spans="6:9" x14ac:dyDescent="0.35">
      <c r="F1878" s="33"/>
      <c r="G1878" s="70"/>
      <c r="H1878" s="400"/>
      <c r="I1878" s="239"/>
    </row>
    <row r="1879" spans="6:9" x14ac:dyDescent="0.35">
      <c r="F1879" s="33"/>
      <c r="G1879" s="70"/>
      <c r="H1879" s="400"/>
      <c r="I1879" s="239"/>
    </row>
    <row r="1880" spans="6:9" x14ac:dyDescent="0.35">
      <c r="F1880" s="33"/>
      <c r="G1880" s="70"/>
      <c r="H1880" s="400"/>
      <c r="I1880" s="239"/>
    </row>
    <row r="1881" spans="6:9" x14ac:dyDescent="0.35">
      <c r="F1881" s="33"/>
      <c r="G1881" s="70"/>
      <c r="H1881" s="400"/>
      <c r="I1881" s="239"/>
    </row>
    <row r="1882" spans="6:9" x14ac:dyDescent="0.35">
      <c r="F1882" s="33"/>
      <c r="G1882" s="70"/>
      <c r="H1882" s="400"/>
      <c r="I1882" s="239"/>
    </row>
    <row r="1883" spans="6:9" x14ac:dyDescent="0.35">
      <c r="F1883" s="33"/>
      <c r="G1883" s="70"/>
      <c r="H1883" s="400"/>
      <c r="I1883" s="239"/>
    </row>
    <row r="1884" spans="6:9" x14ac:dyDescent="0.35">
      <c r="F1884" s="33"/>
      <c r="G1884" s="70"/>
      <c r="H1884" s="400"/>
      <c r="I1884" s="239"/>
    </row>
    <row r="1885" spans="6:9" x14ac:dyDescent="0.35">
      <c r="F1885" s="33"/>
      <c r="G1885" s="70"/>
      <c r="H1885" s="400"/>
      <c r="I1885" s="239"/>
    </row>
    <row r="1886" spans="6:9" x14ac:dyDescent="0.35">
      <c r="F1886" s="33"/>
      <c r="G1886" s="70"/>
      <c r="H1886" s="400"/>
      <c r="I1886" s="239"/>
    </row>
    <row r="1887" spans="6:9" x14ac:dyDescent="0.35">
      <c r="F1887" s="33"/>
      <c r="G1887" s="70"/>
      <c r="H1887" s="400"/>
      <c r="I1887" s="239"/>
    </row>
    <row r="1888" spans="6:9" x14ac:dyDescent="0.35">
      <c r="F1888" s="33"/>
      <c r="G1888" s="70"/>
      <c r="H1888" s="400"/>
      <c r="I1888" s="239"/>
    </row>
    <row r="1889" spans="6:9" x14ac:dyDescent="0.35">
      <c r="F1889" s="33"/>
      <c r="G1889" s="70"/>
      <c r="H1889" s="400"/>
      <c r="I1889" s="239"/>
    </row>
    <row r="1890" spans="6:9" x14ac:dyDescent="0.35">
      <c r="F1890" s="33"/>
      <c r="G1890" s="70"/>
      <c r="H1890" s="400"/>
      <c r="I1890" s="239"/>
    </row>
    <row r="1891" spans="6:9" x14ac:dyDescent="0.35">
      <c r="F1891" s="33"/>
      <c r="G1891" s="70"/>
      <c r="H1891" s="400"/>
      <c r="I1891" s="239"/>
    </row>
    <row r="1892" spans="6:9" x14ac:dyDescent="0.35">
      <c r="F1892" s="33"/>
      <c r="G1892" s="70"/>
      <c r="H1892" s="400"/>
      <c r="I1892" s="239"/>
    </row>
    <row r="1893" spans="6:9" x14ac:dyDescent="0.35">
      <c r="F1893" s="33"/>
      <c r="G1893" s="70"/>
      <c r="H1893" s="400"/>
      <c r="I1893" s="239"/>
    </row>
    <row r="1894" spans="6:9" x14ac:dyDescent="0.35">
      <c r="F1894" s="33"/>
      <c r="G1894" s="70"/>
      <c r="H1894" s="400"/>
      <c r="I1894" s="239"/>
    </row>
    <row r="1895" spans="6:9" x14ac:dyDescent="0.35">
      <c r="F1895" s="33"/>
      <c r="G1895" s="70"/>
      <c r="H1895" s="400"/>
      <c r="I1895" s="239"/>
    </row>
    <row r="1896" spans="6:9" x14ac:dyDescent="0.35">
      <c r="F1896" s="33"/>
      <c r="G1896" s="70"/>
      <c r="H1896" s="400"/>
      <c r="I1896" s="239"/>
    </row>
    <row r="1897" spans="6:9" x14ac:dyDescent="0.35">
      <c r="F1897" s="33"/>
      <c r="G1897" s="70"/>
      <c r="H1897" s="400"/>
      <c r="I1897" s="239"/>
    </row>
    <row r="1898" spans="6:9" x14ac:dyDescent="0.35">
      <c r="F1898" s="33"/>
      <c r="G1898" s="70"/>
      <c r="H1898" s="400"/>
      <c r="I1898" s="239"/>
    </row>
    <row r="1899" spans="6:9" x14ac:dyDescent="0.35">
      <c r="F1899" s="33"/>
      <c r="G1899" s="70"/>
      <c r="H1899" s="400"/>
      <c r="I1899" s="239"/>
    </row>
    <row r="1900" spans="6:9" x14ac:dyDescent="0.35">
      <c r="F1900" s="33"/>
      <c r="G1900" s="70"/>
      <c r="H1900" s="400"/>
      <c r="I1900" s="239"/>
    </row>
    <row r="1901" spans="6:9" x14ac:dyDescent="0.35">
      <c r="F1901" s="33"/>
      <c r="G1901" s="70"/>
      <c r="H1901" s="400"/>
      <c r="I1901" s="239"/>
    </row>
    <row r="1902" spans="6:9" x14ac:dyDescent="0.35">
      <c r="F1902" s="33"/>
      <c r="G1902" s="70"/>
      <c r="H1902" s="400"/>
      <c r="I1902" s="239"/>
    </row>
    <row r="1903" spans="6:9" x14ac:dyDescent="0.35">
      <c r="F1903" s="33"/>
      <c r="G1903" s="70"/>
      <c r="H1903" s="400"/>
      <c r="I1903" s="239"/>
    </row>
    <row r="1904" spans="6:9" x14ac:dyDescent="0.35">
      <c r="F1904" s="33"/>
      <c r="G1904" s="70"/>
      <c r="H1904" s="400"/>
      <c r="I1904" s="239"/>
    </row>
    <row r="1905" spans="6:9" x14ac:dyDescent="0.35">
      <c r="F1905" s="33"/>
      <c r="G1905" s="70"/>
      <c r="H1905" s="400"/>
      <c r="I1905" s="239"/>
    </row>
    <row r="1906" spans="6:9" x14ac:dyDescent="0.35">
      <c r="F1906" s="33"/>
      <c r="G1906" s="70"/>
      <c r="H1906" s="400"/>
      <c r="I1906" s="239"/>
    </row>
    <row r="1907" spans="6:9" x14ac:dyDescent="0.35">
      <c r="F1907" s="33"/>
      <c r="G1907" s="70"/>
      <c r="H1907" s="400"/>
      <c r="I1907" s="239"/>
    </row>
    <row r="1908" spans="6:9" x14ac:dyDescent="0.35">
      <c r="F1908" s="33"/>
      <c r="G1908" s="70"/>
      <c r="H1908" s="400"/>
      <c r="I1908" s="239"/>
    </row>
    <row r="1909" spans="6:9" x14ac:dyDescent="0.35">
      <c r="F1909" s="33"/>
      <c r="G1909" s="70"/>
      <c r="H1909" s="400"/>
      <c r="I1909" s="239"/>
    </row>
    <row r="1910" spans="6:9" x14ac:dyDescent="0.35">
      <c r="F1910" s="33"/>
      <c r="G1910" s="70"/>
      <c r="H1910" s="400"/>
      <c r="I1910" s="239"/>
    </row>
    <row r="1911" spans="6:9" x14ac:dyDescent="0.35">
      <c r="F1911" s="33"/>
      <c r="G1911" s="70"/>
      <c r="H1911" s="400"/>
      <c r="I1911" s="239"/>
    </row>
    <row r="1912" spans="6:9" x14ac:dyDescent="0.35">
      <c r="F1912" s="33"/>
      <c r="G1912" s="70"/>
      <c r="H1912" s="400"/>
      <c r="I1912" s="239"/>
    </row>
    <row r="1913" spans="6:9" x14ac:dyDescent="0.35">
      <c r="F1913" s="33"/>
      <c r="G1913" s="70"/>
      <c r="H1913" s="400"/>
      <c r="I1913" s="239"/>
    </row>
    <row r="1914" spans="6:9" x14ac:dyDescent="0.35">
      <c r="F1914" s="33"/>
      <c r="G1914" s="70"/>
      <c r="H1914" s="400"/>
      <c r="I1914" s="239"/>
    </row>
    <row r="1915" spans="6:9" x14ac:dyDescent="0.35">
      <c r="F1915" s="33"/>
      <c r="G1915" s="70"/>
      <c r="H1915" s="400"/>
      <c r="I1915" s="239"/>
    </row>
    <row r="1916" spans="6:9" x14ac:dyDescent="0.35">
      <c r="F1916" s="33"/>
      <c r="G1916" s="70"/>
      <c r="H1916" s="400"/>
      <c r="I1916" s="239"/>
    </row>
    <row r="1917" spans="6:9" x14ac:dyDescent="0.35">
      <c r="F1917" s="33"/>
      <c r="G1917" s="70"/>
      <c r="H1917" s="400"/>
      <c r="I1917" s="239"/>
    </row>
    <row r="1918" spans="6:9" x14ac:dyDescent="0.35">
      <c r="F1918" s="33"/>
      <c r="G1918" s="70"/>
      <c r="H1918" s="400"/>
      <c r="I1918" s="239"/>
    </row>
    <row r="1919" spans="6:9" x14ac:dyDescent="0.35">
      <c r="F1919" s="33"/>
      <c r="G1919" s="70"/>
      <c r="H1919" s="400"/>
      <c r="I1919" s="239"/>
    </row>
    <row r="1920" spans="6:9" x14ac:dyDescent="0.35">
      <c r="F1920" s="33"/>
      <c r="G1920" s="70"/>
      <c r="H1920" s="400"/>
      <c r="I1920" s="239"/>
    </row>
    <row r="1921" spans="6:9" x14ac:dyDescent="0.35">
      <c r="F1921" s="33"/>
      <c r="G1921" s="70"/>
      <c r="H1921" s="400"/>
      <c r="I1921" s="239"/>
    </row>
    <row r="1922" spans="6:9" x14ac:dyDescent="0.35">
      <c r="F1922" s="33"/>
      <c r="G1922" s="70"/>
      <c r="H1922" s="400"/>
      <c r="I1922" s="239"/>
    </row>
    <row r="1923" spans="6:9" x14ac:dyDescent="0.35">
      <c r="F1923" s="33"/>
      <c r="G1923" s="70"/>
      <c r="H1923" s="400"/>
      <c r="I1923" s="239"/>
    </row>
    <row r="1924" spans="6:9" x14ac:dyDescent="0.35">
      <c r="F1924" s="33"/>
      <c r="G1924" s="70"/>
      <c r="H1924" s="400"/>
      <c r="I1924" s="239"/>
    </row>
    <row r="1925" spans="6:9" x14ac:dyDescent="0.35">
      <c r="F1925" s="33"/>
      <c r="G1925" s="70"/>
      <c r="H1925" s="400"/>
      <c r="I1925" s="239"/>
    </row>
    <row r="1926" spans="6:9" x14ac:dyDescent="0.35">
      <c r="F1926" s="33"/>
      <c r="G1926" s="70"/>
      <c r="H1926" s="400"/>
      <c r="I1926" s="239"/>
    </row>
    <row r="1927" spans="6:9" x14ac:dyDescent="0.35">
      <c r="F1927" s="33"/>
      <c r="G1927" s="70"/>
      <c r="H1927" s="400"/>
      <c r="I1927" s="239"/>
    </row>
    <row r="1928" spans="6:9" x14ac:dyDescent="0.35">
      <c r="F1928" s="33"/>
      <c r="G1928" s="70"/>
      <c r="H1928" s="400"/>
      <c r="I1928" s="239"/>
    </row>
    <row r="1929" spans="6:9" x14ac:dyDescent="0.35">
      <c r="F1929" s="33"/>
      <c r="G1929" s="70"/>
      <c r="H1929" s="400"/>
      <c r="I1929" s="239"/>
    </row>
    <row r="1930" spans="6:9" x14ac:dyDescent="0.35">
      <c r="F1930" s="33"/>
      <c r="G1930" s="70"/>
      <c r="H1930" s="400"/>
      <c r="I1930" s="239"/>
    </row>
    <row r="1931" spans="6:9" x14ac:dyDescent="0.35">
      <c r="F1931" s="33"/>
      <c r="G1931" s="70"/>
      <c r="H1931" s="400"/>
      <c r="I1931" s="239"/>
    </row>
    <row r="1932" spans="6:9" x14ac:dyDescent="0.35">
      <c r="F1932" s="33"/>
      <c r="G1932" s="70"/>
      <c r="H1932" s="400"/>
      <c r="I1932" s="239"/>
    </row>
    <row r="1933" spans="6:9" x14ac:dyDescent="0.35">
      <c r="F1933" s="33"/>
      <c r="G1933" s="70"/>
      <c r="H1933" s="400"/>
      <c r="I1933" s="239"/>
    </row>
    <row r="1934" spans="6:9" x14ac:dyDescent="0.35">
      <c r="F1934" s="33"/>
      <c r="G1934" s="70"/>
      <c r="H1934" s="400"/>
      <c r="I1934" s="239"/>
    </row>
    <row r="1935" spans="6:9" x14ac:dyDescent="0.35">
      <c r="F1935" s="33"/>
      <c r="G1935" s="70"/>
      <c r="H1935" s="400"/>
      <c r="I1935" s="239"/>
    </row>
    <row r="1936" spans="6:9" x14ac:dyDescent="0.35">
      <c r="F1936" s="33"/>
      <c r="G1936" s="70"/>
      <c r="H1936" s="400"/>
      <c r="I1936" s="239"/>
    </row>
    <row r="1937" spans="6:9" x14ac:dyDescent="0.35">
      <c r="F1937" s="33"/>
      <c r="G1937" s="70"/>
      <c r="H1937" s="400"/>
      <c r="I1937" s="239"/>
    </row>
    <row r="1938" spans="6:9" x14ac:dyDescent="0.35">
      <c r="F1938" s="33"/>
      <c r="G1938" s="70"/>
      <c r="H1938" s="400"/>
      <c r="I1938" s="239"/>
    </row>
    <row r="1939" spans="6:9" x14ac:dyDescent="0.35">
      <c r="F1939" s="33"/>
      <c r="G1939" s="70"/>
      <c r="H1939" s="400"/>
      <c r="I1939" s="239"/>
    </row>
    <row r="1940" spans="6:9" x14ac:dyDescent="0.35">
      <c r="F1940" s="33"/>
      <c r="G1940" s="70"/>
      <c r="H1940" s="400"/>
      <c r="I1940" s="239"/>
    </row>
    <row r="1941" spans="6:9" x14ac:dyDescent="0.35">
      <c r="F1941" s="33"/>
      <c r="G1941" s="70"/>
      <c r="H1941" s="400"/>
      <c r="I1941" s="239"/>
    </row>
    <row r="1942" spans="6:9" x14ac:dyDescent="0.35">
      <c r="F1942" s="33"/>
      <c r="G1942" s="70"/>
      <c r="H1942" s="400"/>
      <c r="I1942" s="239"/>
    </row>
    <row r="1943" spans="6:9" x14ac:dyDescent="0.35">
      <c r="F1943" s="33"/>
      <c r="G1943" s="70"/>
      <c r="H1943" s="400"/>
      <c r="I1943" s="239"/>
    </row>
    <row r="1944" spans="6:9" x14ac:dyDescent="0.35">
      <c r="F1944" s="33"/>
      <c r="G1944" s="70"/>
      <c r="H1944" s="400"/>
      <c r="I1944" s="239"/>
    </row>
    <row r="1945" spans="6:9" x14ac:dyDescent="0.35">
      <c r="F1945" s="33"/>
      <c r="G1945" s="70"/>
      <c r="H1945" s="400"/>
      <c r="I1945" s="239"/>
    </row>
    <row r="1946" spans="6:9" x14ac:dyDescent="0.35">
      <c r="F1946" s="33"/>
      <c r="G1946" s="70"/>
      <c r="H1946" s="400"/>
      <c r="I1946" s="239"/>
    </row>
    <row r="1947" spans="6:9" x14ac:dyDescent="0.35">
      <c r="F1947" s="33"/>
      <c r="G1947" s="70"/>
      <c r="H1947" s="400"/>
      <c r="I1947" s="239"/>
    </row>
    <row r="1948" spans="6:9" x14ac:dyDescent="0.35">
      <c r="F1948" s="33"/>
      <c r="G1948" s="70"/>
      <c r="H1948" s="400"/>
      <c r="I1948" s="239"/>
    </row>
    <row r="1949" spans="6:9" x14ac:dyDescent="0.35">
      <c r="F1949" s="33"/>
      <c r="G1949" s="70"/>
      <c r="H1949" s="400"/>
      <c r="I1949" s="239"/>
    </row>
    <row r="1950" spans="6:9" x14ac:dyDescent="0.35">
      <c r="F1950" s="33"/>
      <c r="G1950" s="70"/>
      <c r="H1950" s="400"/>
      <c r="I1950" s="239"/>
    </row>
    <row r="1951" spans="6:9" x14ac:dyDescent="0.35">
      <c r="F1951" s="33"/>
      <c r="G1951" s="70"/>
      <c r="H1951" s="400"/>
      <c r="I1951" s="239"/>
    </row>
    <row r="1952" spans="6:9" x14ac:dyDescent="0.35">
      <c r="F1952" s="33"/>
      <c r="G1952" s="70"/>
      <c r="H1952" s="400"/>
      <c r="I1952" s="239"/>
    </row>
    <row r="1953" spans="6:9" x14ac:dyDescent="0.35">
      <c r="F1953" s="33"/>
      <c r="G1953" s="70"/>
      <c r="H1953" s="400"/>
      <c r="I1953" s="239"/>
    </row>
    <row r="1954" spans="6:9" x14ac:dyDescent="0.35">
      <c r="F1954" s="33"/>
      <c r="G1954" s="70"/>
      <c r="H1954" s="400"/>
      <c r="I1954" s="239"/>
    </row>
    <row r="1955" spans="6:9" x14ac:dyDescent="0.35">
      <c r="F1955" s="33"/>
      <c r="G1955" s="70"/>
      <c r="H1955" s="400"/>
      <c r="I1955" s="239"/>
    </row>
    <row r="1956" spans="6:9" x14ac:dyDescent="0.35">
      <c r="F1956" s="33"/>
      <c r="G1956" s="70"/>
      <c r="H1956" s="400"/>
      <c r="I1956" s="239"/>
    </row>
    <row r="1957" spans="6:9" x14ac:dyDescent="0.35">
      <c r="F1957" s="33"/>
      <c r="G1957" s="70"/>
      <c r="H1957" s="400"/>
      <c r="I1957" s="239"/>
    </row>
    <row r="1958" spans="6:9" x14ac:dyDescent="0.35">
      <c r="F1958" s="33"/>
      <c r="G1958" s="70"/>
      <c r="H1958" s="400"/>
      <c r="I1958" s="239"/>
    </row>
    <row r="1959" spans="6:9" x14ac:dyDescent="0.35">
      <c r="F1959" s="33"/>
      <c r="G1959" s="70"/>
      <c r="H1959" s="400"/>
      <c r="I1959" s="239"/>
    </row>
    <row r="1960" spans="6:9" x14ac:dyDescent="0.35">
      <c r="F1960" s="33"/>
      <c r="G1960" s="70"/>
      <c r="H1960" s="400"/>
      <c r="I1960" s="239"/>
    </row>
    <row r="1961" spans="6:9" x14ac:dyDescent="0.35">
      <c r="F1961" s="33"/>
      <c r="G1961" s="70"/>
      <c r="H1961" s="400"/>
      <c r="I1961" s="239"/>
    </row>
    <row r="1962" spans="6:9" x14ac:dyDescent="0.35">
      <c r="F1962" s="33"/>
      <c r="G1962" s="70"/>
      <c r="H1962" s="400"/>
      <c r="I1962" s="239"/>
    </row>
    <row r="1963" spans="6:9" x14ac:dyDescent="0.35">
      <c r="F1963" s="33"/>
      <c r="G1963" s="70"/>
      <c r="H1963" s="400"/>
      <c r="I1963" s="239"/>
    </row>
    <row r="1964" spans="6:9" x14ac:dyDescent="0.35">
      <c r="F1964" s="33"/>
      <c r="G1964" s="70"/>
      <c r="H1964" s="400"/>
      <c r="I1964" s="239"/>
    </row>
    <row r="1965" spans="6:9" x14ac:dyDescent="0.35">
      <c r="F1965" s="33"/>
      <c r="G1965" s="70"/>
      <c r="H1965" s="400"/>
      <c r="I1965" s="239"/>
    </row>
    <row r="1966" spans="6:9" x14ac:dyDescent="0.35">
      <c r="F1966" s="33"/>
      <c r="G1966" s="70"/>
      <c r="H1966" s="400"/>
      <c r="I1966" s="239"/>
    </row>
    <row r="1967" spans="6:9" x14ac:dyDescent="0.35">
      <c r="F1967" s="33"/>
      <c r="G1967" s="70"/>
      <c r="H1967" s="400"/>
      <c r="I1967" s="239"/>
    </row>
    <row r="1968" spans="6:9" x14ac:dyDescent="0.35">
      <c r="F1968" s="33"/>
      <c r="G1968" s="70"/>
      <c r="H1968" s="400"/>
      <c r="I1968" s="239"/>
    </row>
    <row r="1969" spans="6:9" x14ac:dyDescent="0.35">
      <c r="F1969" s="33"/>
      <c r="G1969" s="70"/>
      <c r="H1969" s="400"/>
      <c r="I1969" s="239"/>
    </row>
    <row r="1970" spans="6:9" x14ac:dyDescent="0.35">
      <c r="F1970" s="33"/>
      <c r="G1970" s="70"/>
      <c r="H1970" s="400"/>
      <c r="I1970" s="239"/>
    </row>
    <row r="1971" spans="6:9" x14ac:dyDescent="0.35">
      <c r="F1971" s="33"/>
      <c r="G1971" s="70"/>
      <c r="H1971" s="400"/>
      <c r="I1971" s="239"/>
    </row>
    <row r="1972" spans="6:9" x14ac:dyDescent="0.35">
      <c r="F1972" s="33"/>
      <c r="G1972" s="70"/>
      <c r="H1972" s="400"/>
      <c r="I1972" s="239"/>
    </row>
    <row r="1973" spans="6:9" x14ac:dyDescent="0.35">
      <c r="F1973" s="33"/>
      <c r="G1973" s="70"/>
      <c r="H1973" s="400"/>
      <c r="I1973" s="239"/>
    </row>
    <row r="1974" spans="6:9" x14ac:dyDescent="0.35">
      <c r="F1974" s="33"/>
      <c r="G1974" s="70"/>
      <c r="H1974" s="400"/>
      <c r="I1974" s="239"/>
    </row>
    <row r="1975" spans="6:9" x14ac:dyDescent="0.35">
      <c r="F1975" s="33"/>
      <c r="G1975" s="70"/>
      <c r="H1975" s="400"/>
      <c r="I1975" s="239"/>
    </row>
    <row r="1976" spans="6:9" x14ac:dyDescent="0.35">
      <c r="F1976" s="33"/>
      <c r="G1976" s="70"/>
      <c r="H1976" s="400"/>
      <c r="I1976" s="239"/>
    </row>
    <row r="1977" spans="6:9" x14ac:dyDescent="0.35">
      <c r="F1977" s="33"/>
      <c r="G1977" s="70"/>
      <c r="H1977" s="400"/>
      <c r="I1977" s="239"/>
    </row>
    <row r="1978" spans="6:9" x14ac:dyDescent="0.35">
      <c r="F1978" s="33"/>
      <c r="G1978" s="70"/>
      <c r="H1978" s="400"/>
      <c r="I1978" s="239"/>
    </row>
    <row r="1979" spans="6:9" x14ac:dyDescent="0.35">
      <c r="F1979" s="33"/>
      <c r="G1979" s="70"/>
      <c r="H1979" s="400"/>
      <c r="I1979" s="239"/>
    </row>
    <row r="1980" spans="6:9" x14ac:dyDescent="0.35">
      <c r="F1980" s="33"/>
      <c r="G1980" s="70"/>
      <c r="H1980" s="400"/>
      <c r="I1980" s="239"/>
    </row>
    <row r="1981" spans="6:9" x14ac:dyDescent="0.35">
      <c r="F1981" s="33"/>
      <c r="G1981" s="70"/>
      <c r="H1981" s="400"/>
      <c r="I1981" s="239"/>
    </row>
    <row r="1982" spans="6:9" x14ac:dyDescent="0.35">
      <c r="F1982" s="33"/>
      <c r="G1982" s="70"/>
      <c r="H1982" s="400"/>
      <c r="I1982" s="239"/>
    </row>
    <row r="1983" spans="6:9" x14ac:dyDescent="0.35">
      <c r="F1983" s="33"/>
      <c r="G1983" s="70"/>
      <c r="H1983" s="400"/>
      <c r="I1983" s="239"/>
    </row>
    <row r="1984" spans="6:9" x14ac:dyDescent="0.35">
      <c r="F1984" s="33"/>
      <c r="G1984" s="70"/>
      <c r="H1984" s="400"/>
      <c r="I1984" s="239"/>
    </row>
    <row r="1985" spans="6:9" x14ac:dyDescent="0.35">
      <c r="F1985" s="33"/>
      <c r="G1985" s="70"/>
      <c r="H1985" s="400"/>
      <c r="I1985" s="239"/>
    </row>
    <row r="1986" spans="6:9" x14ac:dyDescent="0.35">
      <c r="F1986" s="33"/>
      <c r="G1986" s="70"/>
      <c r="H1986" s="400"/>
      <c r="I1986" s="239"/>
    </row>
    <row r="1987" spans="6:9" x14ac:dyDescent="0.35">
      <c r="F1987" s="33"/>
      <c r="G1987" s="70"/>
      <c r="H1987" s="400"/>
      <c r="I1987" s="239"/>
    </row>
    <row r="1988" spans="6:9" x14ac:dyDescent="0.35">
      <c r="F1988" s="33"/>
      <c r="G1988" s="70"/>
      <c r="H1988" s="400"/>
      <c r="I1988" s="239"/>
    </row>
    <row r="1989" spans="6:9" x14ac:dyDescent="0.35">
      <c r="F1989" s="33"/>
      <c r="G1989" s="70"/>
      <c r="H1989" s="400"/>
      <c r="I1989" s="239"/>
    </row>
    <row r="1990" spans="6:9" x14ac:dyDescent="0.35">
      <c r="F1990" s="33"/>
      <c r="G1990" s="70"/>
      <c r="H1990" s="400"/>
      <c r="I1990" s="239"/>
    </row>
    <row r="1991" spans="6:9" x14ac:dyDescent="0.35">
      <c r="F1991" s="33"/>
      <c r="G1991" s="70"/>
      <c r="H1991" s="400"/>
      <c r="I1991" s="239"/>
    </row>
    <row r="1992" spans="6:9" x14ac:dyDescent="0.35">
      <c r="F1992" s="33"/>
      <c r="G1992" s="70"/>
      <c r="H1992" s="400"/>
      <c r="I1992" s="239"/>
    </row>
    <row r="1993" spans="6:9" x14ac:dyDescent="0.35">
      <c r="F1993" s="33"/>
      <c r="G1993" s="70"/>
      <c r="H1993" s="400"/>
      <c r="I1993" s="239"/>
    </row>
    <row r="1994" spans="6:9" x14ac:dyDescent="0.35">
      <c r="F1994" s="33"/>
      <c r="G1994" s="70"/>
      <c r="H1994" s="400"/>
      <c r="I1994" s="239"/>
    </row>
    <row r="1995" spans="6:9" x14ac:dyDescent="0.35">
      <c r="F1995" s="33"/>
      <c r="G1995" s="70"/>
      <c r="H1995" s="400"/>
      <c r="I1995" s="239"/>
    </row>
    <row r="1996" spans="6:9" x14ac:dyDescent="0.35">
      <c r="F1996" s="33"/>
      <c r="G1996" s="70"/>
      <c r="H1996" s="400"/>
      <c r="I1996" s="239"/>
    </row>
    <row r="1997" spans="6:9" x14ac:dyDescent="0.35">
      <c r="F1997" s="33"/>
      <c r="G1997" s="70"/>
      <c r="H1997" s="400"/>
      <c r="I1997" s="239"/>
    </row>
    <row r="1998" spans="6:9" x14ac:dyDescent="0.35">
      <c r="F1998" s="33"/>
      <c r="G1998" s="70"/>
      <c r="H1998" s="400"/>
      <c r="I1998" s="239"/>
    </row>
    <row r="1999" spans="6:9" x14ac:dyDescent="0.35">
      <c r="F1999" s="33"/>
      <c r="G1999" s="70"/>
      <c r="H1999" s="400"/>
      <c r="I1999" s="239"/>
    </row>
    <row r="2000" spans="6:9" x14ac:dyDescent="0.35">
      <c r="F2000" s="33"/>
      <c r="G2000" s="70"/>
      <c r="H2000" s="400"/>
      <c r="I2000" s="239"/>
    </row>
    <row r="2001" spans="6:9" x14ac:dyDescent="0.35">
      <c r="F2001" s="33"/>
      <c r="G2001" s="70"/>
      <c r="H2001" s="400"/>
      <c r="I2001" s="239"/>
    </row>
    <row r="2002" spans="6:9" x14ac:dyDescent="0.35">
      <c r="F2002" s="33"/>
      <c r="G2002" s="70"/>
      <c r="H2002" s="400"/>
      <c r="I2002" s="239"/>
    </row>
    <row r="2003" spans="6:9" x14ac:dyDescent="0.35">
      <c r="F2003" s="33"/>
      <c r="G2003" s="70"/>
      <c r="H2003" s="400"/>
      <c r="I2003" s="239"/>
    </row>
    <row r="2004" spans="6:9" x14ac:dyDescent="0.35">
      <c r="F2004" s="33"/>
      <c r="G2004" s="70"/>
      <c r="H2004" s="400"/>
      <c r="I2004" s="239"/>
    </row>
    <row r="2005" spans="6:9" x14ac:dyDescent="0.35">
      <c r="F2005" s="33"/>
      <c r="G2005" s="70"/>
      <c r="H2005" s="400"/>
      <c r="I2005" s="239"/>
    </row>
    <row r="2006" spans="6:9" x14ac:dyDescent="0.35">
      <c r="F2006" s="33"/>
      <c r="G2006" s="70"/>
      <c r="H2006" s="400"/>
      <c r="I2006" s="239"/>
    </row>
    <row r="2007" spans="6:9" x14ac:dyDescent="0.35">
      <c r="F2007" s="33"/>
      <c r="G2007" s="70"/>
      <c r="H2007" s="400"/>
      <c r="I2007" s="239"/>
    </row>
    <row r="2008" spans="6:9" x14ac:dyDescent="0.35">
      <c r="F2008" s="33"/>
      <c r="G2008" s="70"/>
      <c r="H2008" s="400"/>
      <c r="I2008" s="239"/>
    </row>
    <row r="2009" spans="6:9" x14ac:dyDescent="0.35">
      <c r="F2009" s="33"/>
      <c r="G2009" s="70"/>
      <c r="H2009" s="400"/>
      <c r="I2009" s="239"/>
    </row>
    <row r="2010" spans="6:9" x14ac:dyDescent="0.35">
      <c r="F2010" s="33"/>
      <c r="G2010" s="70"/>
      <c r="H2010" s="400"/>
      <c r="I2010" s="239"/>
    </row>
    <row r="2011" spans="6:9" x14ac:dyDescent="0.35">
      <c r="F2011" s="33"/>
      <c r="G2011" s="70"/>
      <c r="H2011" s="400"/>
      <c r="I2011" s="239"/>
    </row>
    <row r="2012" spans="6:9" x14ac:dyDescent="0.35">
      <c r="F2012" s="33"/>
      <c r="G2012" s="70"/>
      <c r="H2012" s="400"/>
      <c r="I2012" s="239"/>
    </row>
    <row r="2013" spans="6:9" x14ac:dyDescent="0.35">
      <c r="F2013" s="33"/>
      <c r="G2013" s="70"/>
      <c r="H2013" s="400"/>
      <c r="I2013" s="239"/>
    </row>
    <row r="2014" spans="6:9" x14ac:dyDescent="0.35">
      <c r="F2014" s="33"/>
      <c r="G2014" s="70"/>
      <c r="H2014" s="400"/>
      <c r="I2014" s="239"/>
    </row>
    <row r="2015" spans="6:9" x14ac:dyDescent="0.35">
      <c r="F2015" s="33"/>
      <c r="G2015" s="70"/>
      <c r="H2015" s="400"/>
      <c r="I2015" s="239"/>
    </row>
    <row r="2016" spans="6:9" x14ac:dyDescent="0.35">
      <c r="F2016" s="33"/>
      <c r="G2016" s="70"/>
      <c r="H2016" s="400"/>
      <c r="I2016" s="239"/>
    </row>
    <row r="2017" spans="6:9" x14ac:dyDescent="0.35">
      <c r="F2017" s="33"/>
      <c r="G2017" s="70"/>
      <c r="H2017" s="400"/>
      <c r="I2017" s="239"/>
    </row>
    <row r="2018" spans="6:9" x14ac:dyDescent="0.35">
      <c r="F2018" s="33"/>
      <c r="G2018" s="70"/>
      <c r="H2018" s="400"/>
      <c r="I2018" s="239"/>
    </row>
    <row r="2019" spans="6:9" x14ac:dyDescent="0.35">
      <c r="F2019" s="33"/>
      <c r="G2019" s="70"/>
      <c r="H2019" s="400"/>
      <c r="I2019" s="239"/>
    </row>
    <row r="2020" spans="6:9" x14ac:dyDescent="0.35">
      <c r="F2020" s="33"/>
      <c r="G2020" s="70"/>
      <c r="H2020" s="400"/>
      <c r="I2020" s="239"/>
    </row>
    <row r="2021" spans="6:9" x14ac:dyDescent="0.35">
      <c r="F2021" s="33"/>
      <c r="G2021" s="70"/>
      <c r="H2021" s="400"/>
      <c r="I2021" s="239"/>
    </row>
    <row r="2022" spans="6:9" x14ac:dyDescent="0.35">
      <c r="F2022" s="33"/>
      <c r="G2022" s="70"/>
      <c r="H2022" s="400"/>
      <c r="I2022" s="239"/>
    </row>
    <row r="2023" spans="6:9" x14ac:dyDescent="0.35">
      <c r="F2023" s="33"/>
      <c r="G2023" s="70"/>
      <c r="H2023" s="400"/>
      <c r="I2023" s="239"/>
    </row>
    <row r="2024" spans="6:9" x14ac:dyDescent="0.35">
      <c r="F2024" s="33"/>
      <c r="G2024" s="70"/>
      <c r="H2024" s="400"/>
      <c r="I2024" s="239"/>
    </row>
    <row r="2025" spans="6:9" x14ac:dyDescent="0.35">
      <c r="F2025" s="33"/>
      <c r="G2025" s="70"/>
      <c r="H2025" s="400"/>
      <c r="I2025" s="239"/>
    </row>
    <row r="2026" spans="6:9" x14ac:dyDescent="0.35">
      <c r="F2026" s="33"/>
      <c r="G2026" s="70"/>
      <c r="H2026" s="400"/>
      <c r="I2026" s="239"/>
    </row>
    <row r="2027" spans="6:9" x14ac:dyDescent="0.35">
      <c r="F2027" s="33"/>
      <c r="G2027" s="70"/>
      <c r="H2027" s="400"/>
      <c r="I2027" s="239"/>
    </row>
    <row r="2028" spans="6:9" x14ac:dyDescent="0.35">
      <c r="F2028" s="33"/>
      <c r="G2028" s="70"/>
      <c r="H2028" s="400"/>
      <c r="I2028" s="239"/>
    </row>
    <row r="2029" spans="6:9" x14ac:dyDescent="0.35">
      <c r="F2029" s="33"/>
      <c r="G2029" s="70"/>
      <c r="H2029" s="400"/>
      <c r="I2029" s="239"/>
    </row>
    <row r="2030" spans="6:9" x14ac:dyDescent="0.35">
      <c r="F2030" s="33"/>
      <c r="G2030" s="70"/>
      <c r="H2030" s="400"/>
      <c r="I2030" s="239"/>
    </row>
    <row r="2031" spans="6:9" x14ac:dyDescent="0.35">
      <c r="F2031" s="33"/>
      <c r="G2031" s="70"/>
      <c r="H2031" s="400"/>
      <c r="I2031" s="239"/>
    </row>
    <row r="2032" spans="6:9" x14ac:dyDescent="0.35">
      <c r="F2032" s="33"/>
      <c r="G2032" s="70"/>
      <c r="H2032" s="400"/>
      <c r="I2032" s="239"/>
    </row>
    <row r="2033" spans="6:9" x14ac:dyDescent="0.35">
      <c r="F2033" s="33"/>
      <c r="G2033" s="70"/>
      <c r="H2033" s="400"/>
      <c r="I2033" s="239"/>
    </row>
    <row r="2034" spans="6:9" x14ac:dyDescent="0.35">
      <c r="F2034" s="33"/>
      <c r="G2034" s="70"/>
      <c r="H2034" s="400"/>
      <c r="I2034" s="239"/>
    </row>
    <row r="2035" spans="6:9" x14ac:dyDescent="0.35">
      <c r="F2035" s="33"/>
      <c r="G2035" s="70"/>
      <c r="H2035" s="400"/>
      <c r="I2035" s="239"/>
    </row>
    <row r="2036" spans="6:9" x14ac:dyDescent="0.35">
      <c r="F2036" s="33"/>
      <c r="G2036" s="70"/>
      <c r="H2036" s="400"/>
      <c r="I2036" s="239"/>
    </row>
    <row r="2037" spans="6:9" x14ac:dyDescent="0.35">
      <c r="F2037" s="33"/>
      <c r="G2037" s="70"/>
      <c r="H2037" s="400"/>
      <c r="I2037" s="239"/>
    </row>
    <row r="2038" spans="6:9" x14ac:dyDescent="0.35">
      <c r="F2038" s="33"/>
      <c r="G2038" s="70"/>
      <c r="H2038" s="400"/>
      <c r="I2038" s="239"/>
    </row>
    <row r="2039" spans="6:9" x14ac:dyDescent="0.35">
      <c r="F2039" s="33"/>
      <c r="G2039" s="70"/>
      <c r="H2039" s="400"/>
      <c r="I2039" s="239"/>
    </row>
    <row r="2040" spans="6:9" x14ac:dyDescent="0.35">
      <c r="F2040" s="33"/>
      <c r="G2040" s="70"/>
      <c r="H2040" s="400"/>
      <c r="I2040" s="239"/>
    </row>
    <row r="2041" spans="6:9" x14ac:dyDescent="0.35">
      <c r="F2041" s="33"/>
      <c r="G2041" s="70"/>
      <c r="H2041" s="400"/>
      <c r="I2041" s="239"/>
    </row>
    <row r="2042" spans="6:9" x14ac:dyDescent="0.35">
      <c r="F2042" s="33"/>
      <c r="G2042" s="70"/>
      <c r="H2042" s="400"/>
      <c r="I2042" s="239"/>
    </row>
    <row r="2043" spans="6:9" x14ac:dyDescent="0.35">
      <c r="F2043" s="33"/>
      <c r="G2043" s="70"/>
      <c r="H2043" s="400"/>
      <c r="I2043" s="239"/>
    </row>
    <row r="2044" spans="6:9" x14ac:dyDescent="0.35">
      <c r="F2044" s="33"/>
      <c r="G2044" s="70"/>
      <c r="H2044" s="400"/>
      <c r="I2044" s="239"/>
    </row>
    <row r="2045" spans="6:9" x14ac:dyDescent="0.35">
      <c r="F2045" s="33"/>
      <c r="G2045" s="70"/>
      <c r="H2045" s="400"/>
      <c r="I2045" s="239"/>
    </row>
    <row r="2046" spans="6:9" x14ac:dyDescent="0.35">
      <c r="F2046" s="33"/>
      <c r="G2046" s="70"/>
      <c r="H2046" s="400"/>
      <c r="I2046" s="239"/>
    </row>
    <row r="2047" spans="6:9" x14ac:dyDescent="0.35">
      <c r="F2047" s="33"/>
      <c r="G2047" s="70"/>
      <c r="H2047" s="400"/>
      <c r="I2047" s="239"/>
    </row>
    <row r="2048" spans="6:9" x14ac:dyDescent="0.35">
      <c r="F2048" s="33"/>
      <c r="G2048" s="70"/>
      <c r="H2048" s="400"/>
      <c r="I2048" s="239"/>
    </row>
    <row r="2049" spans="6:9" x14ac:dyDescent="0.35">
      <c r="F2049" s="33"/>
      <c r="G2049" s="70"/>
      <c r="H2049" s="400"/>
      <c r="I2049" s="239"/>
    </row>
    <row r="2050" spans="6:9" x14ac:dyDescent="0.35">
      <c r="F2050" s="33"/>
      <c r="G2050" s="70"/>
      <c r="H2050" s="400"/>
      <c r="I2050" s="239"/>
    </row>
    <row r="2051" spans="6:9" x14ac:dyDescent="0.35">
      <c r="F2051" s="33"/>
      <c r="G2051" s="70"/>
      <c r="H2051" s="400"/>
      <c r="I2051" s="239"/>
    </row>
    <row r="2052" spans="6:9" x14ac:dyDescent="0.35">
      <c r="F2052" s="33"/>
      <c r="G2052" s="70"/>
      <c r="H2052" s="400"/>
      <c r="I2052" s="239"/>
    </row>
    <row r="2053" spans="6:9" x14ac:dyDescent="0.35">
      <c r="F2053" s="33"/>
      <c r="G2053" s="70"/>
      <c r="H2053" s="400"/>
      <c r="I2053" s="239"/>
    </row>
    <row r="2054" spans="6:9" x14ac:dyDescent="0.35">
      <c r="F2054" s="33"/>
      <c r="G2054" s="70"/>
      <c r="H2054" s="400"/>
      <c r="I2054" s="239"/>
    </row>
    <row r="2055" spans="6:9" x14ac:dyDescent="0.35">
      <c r="F2055" s="33"/>
      <c r="G2055" s="70"/>
      <c r="H2055" s="400"/>
      <c r="I2055" s="239"/>
    </row>
    <row r="2056" spans="6:9" x14ac:dyDescent="0.35">
      <c r="F2056" s="33"/>
      <c r="G2056" s="70"/>
      <c r="H2056" s="400"/>
      <c r="I2056" s="239"/>
    </row>
    <row r="2057" spans="6:9" x14ac:dyDescent="0.35">
      <c r="F2057" s="33"/>
      <c r="G2057" s="70"/>
      <c r="H2057" s="400"/>
      <c r="I2057" s="239"/>
    </row>
    <row r="2058" spans="6:9" x14ac:dyDescent="0.35">
      <c r="F2058" s="33"/>
      <c r="G2058" s="70"/>
      <c r="H2058" s="400"/>
      <c r="I2058" s="239"/>
    </row>
    <row r="2059" spans="6:9" x14ac:dyDescent="0.35">
      <c r="F2059" s="33"/>
      <c r="G2059" s="70"/>
      <c r="H2059" s="400"/>
      <c r="I2059" s="239"/>
    </row>
    <row r="2060" spans="6:9" x14ac:dyDescent="0.35">
      <c r="F2060" s="33"/>
      <c r="G2060" s="70"/>
      <c r="H2060" s="400"/>
      <c r="I2060" s="239"/>
    </row>
    <row r="2061" spans="6:9" x14ac:dyDescent="0.35">
      <c r="F2061" s="33"/>
      <c r="G2061" s="70"/>
      <c r="H2061" s="400"/>
      <c r="I2061" s="239"/>
    </row>
    <row r="2062" spans="6:9" x14ac:dyDescent="0.35">
      <c r="F2062" s="33"/>
      <c r="G2062" s="70"/>
      <c r="H2062" s="400"/>
      <c r="I2062" s="239"/>
    </row>
    <row r="2063" spans="6:9" x14ac:dyDescent="0.35">
      <c r="F2063" s="33"/>
      <c r="G2063" s="70"/>
      <c r="H2063" s="400"/>
      <c r="I2063" s="239"/>
    </row>
    <row r="2064" spans="6:9" x14ac:dyDescent="0.35">
      <c r="F2064" s="33"/>
      <c r="G2064" s="70"/>
      <c r="H2064" s="400"/>
      <c r="I2064" s="239"/>
    </row>
    <row r="2065" spans="6:9" x14ac:dyDescent="0.35">
      <c r="F2065" s="33"/>
      <c r="G2065" s="70"/>
      <c r="H2065" s="400"/>
      <c r="I2065" s="239"/>
    </row>
    <row r="2066" spans="6:9" x14ac:dyDescent="0.35">
      <c r="F2066" s="33"/>
      <c r="G2066" s="70"/>
      <c r="H2066" s="400"/>
      <c r="I2066" s="239"/>
    </row>
    <row r="2067" spans="6:9" x14ac:dyDescent="0.35">
      <c r="F2067" s="33"/>
      <c r="G2067" s="70"/>
      <c r="H2067" s="400"/>
      <c r="I2067" s="239"/>
    </row>
    <row r="2068" spans="6:9" x14ac:dyDescent="0.35">
      <c r="F2068" s="33"/>
      <c r="G2068" s="70"/>
      <c r="H2068" s="400"/>
      <c r="I2068" s="239"/>
    </row>
    <row r="2069" spans="6:9" x14ac:dyDescent="0.35">
      <c r="F2069" s="33"/>
      <c r="G2069" s="70"/>
      <c r="H2069" s="400"/>
      <c r="I2069" s="239"/>
    </row>
    <row r="2070" spans="6:9" x14ac:dyDescent="0.35">
      <c r="F2070" s="33"/>
      <c r="G2070" s="70"/>
      <c r="H2070" s="400"/>
      <c r="I2070" s="239"/>
    </row>
    <row r="2071" spans="6:9" x14ac:dyDescent="0.35">
      <c r="F2071" s="33"/>
      <c r="G2071" s="70"/>
      <c r="H2071" s="400"/>
      <c r="I2071" s="239"/>
    </row>
    <row r="2072" spans="6:9" x14ac:dyDescent="0.35">
      <c r="F2072" s="33"/>
      <c r="G2072" s="70"/>
      <c r="H2072" s="400"/>
      <c r="I2072" s="239"/>
    </row>
    <row r="2073" spans="6:9" x14ac:dyDescent="0.35">
      <c r="F2073" s="33"/>
      <c r="G2073" s="70"/>
      <c r="H2073" s="400"/>
      <c r="I2073" s="239"/>
    </row>
    <row r="2074" spans="6:9" x14ac:dyDescent="0.35">
      <c r="F2074" s="33"/>
      <c r="G2074" s="70"/>
      <c r="H2074" s="400"/>
      <c r="I2074" s="239"/>
    </row>
    <row r="2075" spans="6:9" x14ac:dyDescent="0.35">
      <c r="F2075" s="33"/>
      <c r="G2075" s="70"/>
      <c r="H2075" s="400"/>
      <c r="I2075" s="239"/>
    </row>
    <row r="2076" spans="6:9" x14ac:dyDescent="0.35">
      <c r="F2076" s="33"/>
      <c r="G2076" s="70"/>
      <c r="H2076" s="400"/>
      <c r="I2076" s="239"/>
    </row>
    <row r="2077" spans="6:9" x14ac:dyDescent="0.35">
      <c r="F2077" s="33"/>
      <c r="G2077" s="70"/>
      <c r="H2077" s="400"/>
      <c r="I2077" s="239"/>
    </row>
    <row r="2078" spans="6:9" x14ac:dyDescent="0.35">
      <c r="F2078" s="33"/>
      <c r="G2078" s="70"/>
      <c r="H2078" s="400"/>
      <c r="I2078" s="239"/>
    </row>
    <row r="2079" spans="6:9" x14ac:dyDescent="0.35">
      <c r="F2079" s="33"/>
      <c r="G2079" s="70"/>
      <c r="H2079" s="400"/>
      <c r="I2079" s="239"/>
    </row>
    <row r="2080" spans="6:9" x14ac:dyDescent="0.35">
      <c r="F2080" s="33"/>
      <c r="G2080" s="70"/>
      <c r="H2080" s="400"/>
      <c r="I2080" s="239"/>
    </row>
    <row r="2081" spans="6:9" x14ac:dyDescent="0.35">
      <c r="F2081" s="33"/>
      <c r="G2081" s="70"/>
      <c r="H2081" s="400"/>
      <c r="I2081" s="239"/>
    </row>
    <row r="2082" spans="6:9" x14ac:dyDescent="0.35">
      <c r="F2082" s="33"/>
      <c r="G2082" s="70"/>
      <c r="H2082" s="400"/>
      <c r="I2082" s="239"/>
    </row>
    <row r="2083" spans="6:9" x14ac:dyDescent="0.35">
      <c r="F2083" s="33"/>
      <c r="G2083" s="70"/>
      <c r="H2083" s="400"/>
      <c r="I2083" s="239"/>
    </row>
    <row r="2084" spans="6:9" x14ac:dyDescent="0.35">
      <c r="F2084" s="33"/>
      <c r="G2084" s="70"/>
      <c r="H2084" s="400"/>
      <c r="I2084" s="239"/>
    </row>
    <row r="2085" spans="6:9" x14ac:dyDescent="0.35">
      <c r="F2085" s="33"/>
      <c r="G2085" s="70"/>
      <c r="H2085" s="400"/>
      <c r="I2085" s="239"/>
    </row>
    <row r="2086" spans="6:9" x14ac:dyDescent="0.35">
      <c r="F2086" s="33"/>
      <c r="G2086" s="70"/>
      <c r="H2086" s="400"/>
      <c r="I2086" s="239"/>
    </row>
    <row r="2087" spans="6:9" x14ac:dyDescent="0.35">
      <c r="F2087" s="33"/>
      <c r="G2087" s="70"/>
      <c r="H2087" s="400"/>
      <c r="I2087" s="239"/>
    </row>
    <row r="2088" spans="6:9" x14ac:dyDescent="0.35">
      <c r="F2088" s="33"/>
      <c r="G2088" s="70"/>
      <c r="H2088" s="400"/>
      <c r="I2088" s="239"/>
    </row>
    <row r="2089" spans="6:9" x14ac:dyDescent="0.35">
      <c r="F2089" s="33"/>
      <c r="G2089" s="70"/>
      <c r="H2089" s="400"/>
      <c r="I2089" s="239"/>
    </row>
    <row r="2090" spans="6:9" x14ac:dyDescent="0.35">
      <c r="F2090" s="33"/>
      <c r="G2090" s="70"/>
      <c r="H2090" s="400"/>
      <c r="I2090" s="239"/>
    </row>
    <row r="2091" spans="6:9" x14ac:dyDescent="0.35">
      <c r="F2091" s="33"/>
      <c r="G2091" s="70"/>
      <c r="H2091" s="400"/>
      <c r="I2091" s="239"/>
    </row>
    <row r="2092" spans="6:9" x14ac:dyDescent="0.35">
      <c r="F2092" s="33"/>
      <c r="G2092" s="70"/>
      <c r="H2092" s="400"/>
      <c r="I2092" s="239"/>
    </row>
    <row r="2093" spans="6:9" x14ac:dyDescent="0.35">
      <c r="F2093" s="33"/>
      <c r="G2093" s="70"/>
      <c r="H2093" s="400"/>
      <c r="I2093" s="239"/>
    </row>
    <row r="2094" spans="6:9" x14ac:dyDescent="0.35">
      <c r="F2094" s="33"/>
      <c r="G2094" s="70"/>
      <c r="H2094" s="400"/>
      <c r="I2094" s="239"/>
    </row>
    <row r="2095" spans="6:9" x14ac:dyDescent="0.35">
      <c r="F2095" s="33"/>
      <c r="G2095" s="70"/>
      <c r="H2095" s="400"/>
      <c r="I2095" s="239"/>
    </row>
    <row r="2096" spans="6:9" x14ac:dyDescent="0.35">
      <c r="F2096" s="33"/>
      <c r="G2096" s="70"/>
      <c r="H2096" s="400"/>
      <c r="I2096" s="239"/>
    </row>
    <row r="2097" spans="6:9" x14ac:dyDescent="0.35">
      <c r="F2097" s="33"/>
      <c r="G2097" s="70"/>
      <c r="H2097" s="400"/>
      <c r="I2097" s="239"/>
    </row>
    <row r="2098" spans="6:9" x14ac:dyDescent="0.35">
      <c r="F2098" s="33"/>
      <c r="G2098" s="70"/>
      <c r="H2098" s="400"/>
      <c r="I2098" s="239"/>
    </row>
    <row r="2099" spans="6:9" x14ac:dyDescent="0.35">
      <c r="F2099" s="33"/>
      <c r="G2099" s="70"/>
      <c r="H2099" s="400"/>
      <c r="I2099" s="239"/>
    </row>
    <row r="2100" spans="6:9" x14ac:dyDescent="0.35">
      <c r="F2100" s="33"/>
      <c r="G2100" s="70"/>
      <c r="H2100" s="400"/>
      <c r="I2100" s="239"/>
    </row>
    <row r="2101" spans="6:9" x14ac:dyDescent="0.35">
      <c r="F2101" s="33"/>
      <c r="G2101" s="70"/>
      <c r="H2101" s="400"/>
      <c r="I2101" s="239"/>
    </row>
    <row r="2102" spans="6:9" x14ac:dyDescent="0.35">
      <c r="F2102" s="33"/>
      <c r="G2102" s="70"/>
      <c r="H2102" s="400"/>
      <c r="I2102" s="239"/>
    </row>
    <row r="2103" spans="6:9" x14ac:dyDescent="0.35">
      <c r="F2103" s="33"/>
      <c r="G2103" s="70"/>
      <c r="H2103" s="400"/>
      <c r="I2103" s="239"/>
    </row>
    <row r="2104" spans="6:9" x14ac:dyDescent="0.35">
      <c r="F2104" s="33"/>
      <c r="G2104" s="70"/>
      <c r="H2104" s="400"/>
      <c r="I2104" s="239"/>
    </row>
    <row r="2105" spans="6:9" x14ac:dyDescent="0.35">
      <c r="F2105" s="33"/>
      <c r="G2105" s="70"/>
      <c r="H2105" s="400"/>
      <c r="I2105" s="239"/>
    </row>
    <row r="2106" spans="6:9" x14ac:dyDescent="0.35">
      <c r="F2106" s="33"/>
      <c r="G2106" s="70"/>
      <c r="H2106" s="400"/>
      <c r="I2106" s="239"/>
    </row>
    <row r="2107" spans="6:9" x14ac:dyDescent="0.35">
      <c r="F2107" s="33"/>
      <c r="G2107" s="70"/>
      <c r="H2107" s="400"/>
      <c r="I2107" s="239"/>
    </row>
    <row r="2108" spans="6:9" x14ac:dyDescent="0.35">
      <c r="F2108" s="33"/>
      <c r="G2108" s="70"/>
      <c r="H2108" s="400"/>
      <c r="I2108" s="239"/>
    </row>
    <row r="2109" spans="6:9" x14ac:dyDescent="0.35">
      <c r="F2109" s="33"/>
      <c r="G2109" s="70"/>
      <c r="H2109" s="400"/>
      <c r="I2109" s="239"/>
    </row>
    <row r="2110" spans="6:9" x14ac:dyDescent="0.35">
      <c r="F2110" s="33"/>
      <c r="G2110" s="70"/>
      <c r="H2110" s="400"/>
      <c r="I2110" s="239"/>
    </row>
    <row r="2111" spans="6:9" x14ac:dyDescent="0.35">
      <c r="F2111" s="33"/>
      <c r="G2111" s="70"/>
      <c r="H2111" s="400"/>
      <c r="I2111" s="239"/>
    </row>
    <row r="2112" spans="6:9" x14ac:dyDescent="0.35">
      <c r="F2112" s="33"/>
      <c r="G2112" s="70"/>
      <c r="H2112" s="400"/>
      <c r="I2112" s="239"/>
    </row>
    <row r="2113" spans="6:9" x14ac:dyDescent="0.35">
      <c r="F2113" s="33"/>
      <c r="G2113" s="70"/>
      <c r="H2113" s="400"/>
      <c r="I2113" s="239"/>
    </row>
    <row r="2114" spans="6:9" x14ac:dyDescent="0.35">
      <c r="F2114" s="33"/>
      <c r="G2114" s="70"/>
      <c r="H2114" s="400"/>
      <c r="I2114" s="239"/>
    </row>
    <row r="2115" spans="6:9" x14ac:dyDescent="0.35">
      <c r="F2115" s="33"/>
      <c r="G2115" s="70"/>
      <c r="H2115" s="400"/>
      <c r="I2115" s="239"/>
    </row>
    <row r="2116" spans="6:9" x14ac:dyDescent="0.35">
      <c r="F2116" s="33"/>
      <c r="G2116" s="70"/>
      <c r="H2116" s="400"/>
      <c r="I2116" s="239"/>
    </row>
    <row r="2117" spans="6:9" x14ac:dyDescent="0.35">
      <c r="F2117" s="33"/>
      <c r="G2117" s="70"/>
      <c r="H2117" s="400"/>
      <c r="I2117" s="239"/>
    </row>
    <row r="2118" spans="6:9" x14ac:dyDescent="0.35">
      <c r="F2118" s="33"/>
      <c r="G2118" s="70"/>
      <c r="H2118" s="400"/>
      <c r="I2118" s="239"/>
    </row>
    <row r="2119" spans="6:9" x14ac:dyDescent="0.35">
      <c r="F2119" s="33"/>
      <c r="G2119" s="70"/>
      <c r="H2119" s="400"/>
      <c r="I2119" s="239"/>
    </row>
    <row r="2120" spans="6:9" x14ac:dyDescent="0.35">
      <c r="F2120" s="33"/>
      <c r="G2120" s="70"/>
      <c r="H2120" s="400"/>
      <c r="I2120" s="239"/>
    </row>
    <row r="2121" spans="6:9" x14ac:dyDescent="0.35">
      <c r="F2121" s="33"/>
      <c r="G2121" s="70"/>
      <c r="H2121" s="400"/>
      <c r="I2121" s="239"/>
    </row>
    <row r="2122" spans="6:9" x14ac:dyDescent="0.35">
      <c r="F2122" s="33"/>
      <c r="G2122" s="70"/>
      <c r="H2122" s="400"/>
      <c r="I2122" s="239"/>
    </row>
    <row r="2123" spans="6:9" x14ac:dyDescent="0.35">
      <c r="F2123" s="33"/>
      <c r="G2123" s="70"/>
      <c r="H2123" s="400"/>
      <c r="I2123" s="239"/>
    </row>
    <row r="2124" spans="6:9" x14ac:dyDescent="0.35">
      <c r="F2124" s="33"/>
      <c r="G2124" s="70"/>
      <c r="H2124" s="400"/>
      <c r="I2124" s="239"/>
    </row>
    <row r="2125" spans="6:9" x14ac:dyDescent="0.35">
      <c r="F2125" s="33"/>
      <c r="G2125" s="70"/>
      <c r="H2125" s="400"/>
      <c r="I2125" s="239"/>
    </row>
    <row r="2126" spans="6:9" x14ac:dyDescent="0.35">
      <c r="F2126" s="33"/>
      <c r="G2126" s="70"/>
      <c r="H2126" s="400"/>
      <c r="I2126" s="239"/>
    </row>
    <row r="2127" spans="6:9" x14ac:dyDescent="0.35">
      <c r="F2127" s="33"/>
      <c r="G2127" s="70"/>
      <c r="H2127" s="400"/>
      <c r="I2127" s="239"/>
    </row>
    <row r="2128" spans="6:9" x14ac:dyDescent="0.35">
      <c r="F2128" s="33"/>
      <c r="G2128" s="70"/>
      <c r="H2128" s="400"/>
      <c r="I2128" s="239"/>
    </row>
    <row r="2129" spans="6:9" x14ac:dyDescent="0.35">
      <c r="F2129" s="33"/>
      <c r="G2129" s="70"/>
      <c r="H2129" s="400"/>
      <c r="I2129" s="239"/>
    </row>
    <row r="2130" spans="6:9" x14ac:dyDescent="0.35">
      <c r="F2130" s="33"/>
      <c r="G2130" s="70"/>
      <c r="H2130" s="400"/>
      <c r="I2130" s="239"/>
    </row>
    <row r="2131" spans="6:9" x14ac:dyDescent="0.35">
      <c r="F2131" s="33"/>
      <c r="G2131" s="70"/>
      <c r="H2131" s="400"/>
      <c r="I2131" s="239"/>
    </row>
    <row r="2132" spans="6:9" x14ac:dyDescent="0.35">
      <c r="F2132" s="33"/>
      <c r="G2132" s="70"/>
      <c r="H2132" s="400"/>
      <c r="I2132" s="239"/>
    </row>
    <row r="2133" spans="6:9" x14ac:dyDescent="0.35">
      <c r="F2133" s="33"/>
      <c r="G2133" s="70"/>
      <c r="H2133" s="400"/>
      <c r="I2133" s="239"/>
    </row>
    <row r="2134" spans="6:9" x14ac:dyDescent="0.35">
      <c r="F2134" s="33"/>
      <c r="G2134" s="70"/>
      <c r="H2134" s="400"/>
      <c r="I2134" s="239"/>
    </row>
    <row r="2135" spans="6:9" x14ac:dyDescent="0.35">
      <c r="F2135" s="33"/>
      <c r="G2135" s="70"/>
      <c r="H2135" s="400"/>
      <c r="I2135" s="239"/>
    </row>
    <row r="2136" spans="6:9" x14ac:dyDescent="0.35">
      <c r="F2136" s="33"/>
      <c r="G2136" s="70"/>
      <c r="H2136" s="400"/>
      <c r="I2136" s="239"/>
    </row>
    <row r="2137" spans="6:9" x14ac:dyDescent="0.35">
      <c r="F2137" s="33"/>
      <c r="G2137" s="70"/>
      <c r="H2137" s="400"/>
      <c r="I2137" s="239"/>
    </row>
    <row r="2138" spans="6:9" x14ac:dyDescent="0.35">
      <c r="F2138" s="33"/>
      <c r="G2138" s="70"/>
      <c r="H2138" s="400"/>
      <c r="I2138" s="239"/>
    </row>
    <row r="2139" spans="6:9" x14ac:dyDescent="0.35">
      <c r="F2139" s="33"/>
      <c r="G2139" s="70"/>
      <c r="H2139" s="400"/>
      <c r="I2139" s="239"/>
    </row>
    <row r="2140" spans="6:9" x14ac:dyDescent="0.35">
      <c r="F2140" s="33"/>
      <c r="G2140" s="70"/>
      <c r="H2140" s="400"/>
      <c r="I2140" s="239"/>
    </row>
    <row r="2141" spans="6:9" x14ac:dyDescent="0.35">
      <c r="F2141" s="33"/>
      <c r="G2141" s="70"/>
      <c r="H2141" s="400"/>
      <c r="I2141" s="239"/>
    </row>
    <row r="2142" spans="6:9" x14ac:dyDescent="0.35">
      <c r="F2142" s="33"/>
      <c r="G2142" s="70"/>
      <c r="H2142" s="400"/>
      <c r="I2142" s="239"/>
    </row>
    <row r="2143" spans="6:9" x14ac:dyDescent="0.35">
      <c r="F2143" s="33"/>
      <c r="G2143" s="70"/>
      <c r="H2143" s="400"/>
      <c r="I2143" s="239"/>
    </row>
    <row r="2144" spans="6:9" x14ac:dyDescent="0.35">
      <c r="F2144" s="33"/>
      <c r="G2144" s="70"/>
      <c r="H2144" s="400"/>
      <c r="I2144" s="239"/>
    </row>
    <row r="2145" spans="6:9" x14ac:dyDescent="0.35">
      <c r="F2145" s="33"/>
      <c r="G2145" s="70"/>
      <c r="H2145" s="400"/>
      <c r="I2145" s="239"/>
    </row>
    <row r="2146" spans="6:9" x14ac:dyDescent="0.35">
      <c r="F2146" s="33"/>
      <c r="G2146" s="70"/>
      <c r="H2146" s="400"/>
      <c r="I2146" s="239"/>
    </row>
    <row r="2147" spans="6:9" x14ac:dyDescent="0.35">
      <c r="F2147" s="33"/>
      <c r="G2147" s="70"/>
      <c r="H2147" s="400"/>
      <c r="I2147" s="239"/>
    </row>
    <row r="2148" spans="6:9" x14ac:dyDescent="0.35">
      <c r="F2148" s="33"/>
      <c r="G2148" s="70"/>
      <c r="H2148" s="400"/>
      <c r="I2148" s="239"/>
    </row>
    <row r="2149" spans="6:9" x14ac:dyDescent="0.35">
      <c r="F2149" s="33"/>
      <c r="G2149" s="70"/>
      <c r="H2149" s="400"/>
      <c r="I2149" s="239"/>
    </row>
    <row r="2150" spans="6:9" x14ac:dyDescent="0.35">
      <c r="F2150" s="33"/>
      <c r="G2150" s="70"/>
      <c r="H2150" s="400"/>
      <c r="I2150" s="239"/>
    </row>
    <row r="2151" spans="6:9" x14ac:dyDescent="0.35">
      <c r="F2151" s="33"/>
      <c r="G2151" s="70"/>
      <c r="H2151" s="400"/>
      <c r="I2151" s="239"/>
    </row>
    <row r="2152" spans="6:9" x14ac:dyDescent="0.35">
      <c r="F2152" s="33"/>
      <c r="G2152" s="70"/>
      <c r="H2152" s="400"/>
      <c r="I2152" s="239"/>
    </row>
    <row r="2153" spans="6:9" x14ac:dyDescent="0.35">
      <c r="F2153" s="33"/>
      <c r="G2153" s="70"/>
      <c r="H2153" s="400"/>
      <c r="I2153" s="239"/>
    </row>
    <row r="2154" spans="6:9" x14ac:dyDescent="0.35">
      <c r="F2154" s="33"/>
      <c r="G2154" s="70"/>
      <c r="H2154" s="400"/>
      <c r="I2154" s="239"/>
    </row>
    <row r="2155" spans="6:9" x14ac:dyDescent="0.35">
      <c r="F2155" s="33"/>
      <c r="G2155" s="70"/>
      <c r="H2155" s="400"/>
      <c r="I2155" s="239"/>
    </row>
    <row r="2156" spans="6:9" x14ac:dyDescent="0.35">
      <c r="F2156" s="33"/>
      <c r="G2156" s="70"/>
      <c r="H2156" s="400"/>
      <c r="I2156" s="239"/>
    </row>
    <row r="2157" spans="6:9" x14ac:dyDescent="0.35">
      <c r="F2157" s="33"/>
      <c r="G2157" s="70"/>
      <c r="H2157" s="400"/>
      <c r="I2157" s="239"/>
    </row>
    <row r="2158" spans="6:9" x14ac:dyDescent="0.35">
      <c r="F2158" s="33"/>
      <c r="G2158" s="70"/>
      <c r="H2158" s="400"/>
      <c r="I2158" s="239"/>
    </row>
    <row r="2159" spans="6:9" x14ac:dyDescent="0.35">
      <c r="F2159" s="33"/>
      <c r="G2159" s="70"/>
      <c r="H2159" s="400"/>
      <c r="I2159" s="239"/>
    </row>
    <row r="2160" spans="6:9" x14ac:dyDescent="0.35">
      <c r="F2160" s="33"/>
      <c r="G2160" s="70"/>
      <c r="H2160" s="400"/>
      <c r="I2160" s="239"/>
    </row>
    <row r="2161" spans="6:9" x14ac:dyDescent="0.35">
      <c r="F2161" s="33"/>
      <c r="G2161" s="70"/>
      <c r="H2161" s="400"/>
      <c r="I2161" s="239"/>
    </row>
    <row r="2162" spans="6:9" x14ac:dyDescent="0.35">
      <c r="F2162" s="33"/>
      <c r="G2162" s="70"/>
      <c r="H2162" s="400"/>
      <c r="I2162" s="239"/>
    </row>
    <row r="2163" spans="6:9" x14ac:dyDescent="0.35">
      <c r="F2163" s="33"/>
      <c r="G2163" s="70"/>
      <c r="H2163" s="400"/>
      <c r="I2163" s="239"/>
    </row>
    <row r="2164" spans="6:9" x14ac:dyDescent="0.35">
      <c r="F2164" s="33"/>
      <c r="G2164" s="70"/>
      <c r="H2164" s="400"/>
      <c r="I2164" s="239"/>
    </row>
    <row r="2165" spans="6:9" x14ac:dyDescent="0.35">
      <c r="F2165" s="33"/>
      <c r="G2165" s="70"/>
      <c r="H2165" s="400"/>
      <c r="I2165" s="239"/>
    </row>
    <row r="2166" spans="6:9" x14ac:dyDescent="0.35">
      <c r="F2166" s="33"/>
      <c r="G2166" s="70"/>
      <c r="H2166" s="400"/>
      <c r="I2166" s="239"/>
    </row>
    <row r="2167" spans="6:9" x14ac:dyDescent="0.35">
      <c r="F2167" s="33"/>
      <c r="G2167" s="70"/>
      <c r="H2167" s="400"/>
      <c r="I2167" s="239"/>
    </row>
    <row r="2168" spans="6:9" x14ac:dyDescent="0.35">
      <c r="F2168" s="33"/>
      <c r="G2168" s="70"/>
      <c r="H2168" s="400"/>
      <c r="I2168" s="239"/>
    </row>
    <row r="2169" spans="6:9" x14ac:dyDescent="0.35">
      <c r="F2169" s="33"/>
      <c r="G2169" s="70"/>
      <c r="H2169" s="400"/>
      <c r="I2169" s="239"/>
    </row>
    <row r="2170" spans="6:9" x14ac:dyDescent="0.35">
      <c r="F2170" s="33"/>
      <c r="G2170" s="70"/>
      <c r="H2170" s="400"/>
      <c r="I2170" s="239"/>
    </row>
    <row r="2171" spans="6:9" x14ac:dyDescent="0.35">
      <c r="F2171" s="33"/>
      <c r="G2171" s="70"/>
      <c r="H2171" s="400"/>
      <c r="I2171" s="239"/>
    </row>
    <row r="2172" spans="6:9" x14ac:dyDescent="0.35">
      <c r="F2172" s="33"/>
      <c r="G2172" s="70"/>
      <c r="H2172" s="400"/>
      <c r="I2172" s="239"/>
    </row>
    <row r="2173" spans="6:9" x14ac:dyDescent="0.35">
      <c r="F2173" s="33"/>
      <c r="G2173" s="70"/>
      <c r="H2173" s="400"/>
      <c r="I2173" s="239"/>
    </row>
    <row r="2174" spans="6:9" x14ac:dyDescent="0.35">
      <c r="F2174" s="33"/>
      <c r="G2174" s="70"/>
      <c r="H2174" s="400"/>
      <c r="I2174" s="239"/>
    </row>
    <row r="2175" spans="6:9" x14ac:dyDescent="0.35">
      <c r="F2175" s="33"/>
      <c r="G2175" s="70"/>
      <c r="H2175" s="400"/>
      <c r="I2175" s="239"/>
    </row>
    <row r="2176" spans="6:9" x14ac:dyDescent="0.35">
      <c r="F2176" s="33"/>
      <c r="G2176" s="70"/>
      <c r="H2176" s="400"/>
      <c r="I2176" s="239"/>
    </row>
    <row r="2177" spans="6:9" x14ac:dyDescent="0.35">
      <c r="F2177" s="33"/>
      <c r="G2177" s="70"/>
      <c r="H2177" s="400"/>
      <c r="I2177" s="239"/>
    </row>
    <row r="2178" spans="6:9" x14ac:dyDescent="0.35">
      <c r="F2178" s="33"/>
      <c r="G2178" s="70"/>
      <c r="H2178" s="400"/>
      <c r="I2178" s="239"/>
    </row>
    <row r="2179" spans="6:9" x14ac:dyDescent="0.35">
      <c r="F2179" s="33"/>
      <c r="G2179" s="70"/>
      <c r="H2179" s="400"/>
      <c r="I2179" s="239"/>
    </row>
    <row r="2180" spans="6:9" x14ac:dyDescent="0.35">
      <c r="F2180" s="33"/>
      <c r="G2180" s="70"/>
      <c r="H2180" s="400"/>
      <c r="I2180" s="239"/>
    </row>
    <row r="2181" spans="6:9" x14ac:dyDescent="0.35">
      <c r="F2181" s="33"/>
      <c r="G2181" s="70"/>
      <c r="H2181" s="400"/>
      <c r="I2181" s="239"/>
    </row>
    <row r="2182" spans="6:9" x14ac:dyDescent="0.35">
      <c r="F2182" s="33"/>
      <c r="G2182" s="70"/>
      <c r="H2182" s="400"/>
      <c r="I2182" s="239"/>
    </row>
    <row r="2183" spans="6:9" x14ac:dyDescent="0.35">
      <c r="F2183" s="33"/>
      <c r="G2183" s="70"/>
      <c r="H2183" s="400"/>
      <c r="I2183" s="239"/>
    </row>
    <row r="2184" spans="6:9" x14ac:dyDescent="0.35">
      <c r="F2184" s="33"/>
      <c r="G2184" s="70"/>
      <c r="H2184" s="400"/>
      <c r="I2184" s="239"/>
    </row>
    <row r="2185" spans="6:9" x14ac:dyDescent="0.35">
      <c r="F2185" s="33"/>
      <c r="G2185" s="70"/>
      <c r="H2185" s="400"/>
      <c r="I2185" s="239"/>
    </row>
    <row r="2186" spans="6:9" x14ac:dyDescent="0.35">
      <c r="F2186" s="33"/>
      <c r="G2186" s="70"/>
      <c r="H2186" s="400"/>
      <c r="I2186" s="239"/>
    </row>
    <row r="2187" spans="6:9" x14ac:dyDescent="0.35">
      <c r="F2187" s="33"/>
      <c r="G2187" s="70"/>
      <c r="H2187" s="400"/>
      <c r="I2187" s="239"/>
    </row>
    <row r="2188" spans="6:9" x14ac:dyDescent="0.35">
      <c r="F2188" s="33"/>
      <c r="G2188" s="70"/>
      <c r="H2188" s="400"/>
      <c r="I2188" s="239"/>
    </row>
    <row r="2189" spans="6:9" x14ac:dyDescent="0.35">
      <c r="F2189" s="33"/>
      <c r="G2189" s="70"/>
      <c r="H2189" s="400"/>
      <c r="I2189" s="239"/>
    </row>
    <row r="2190" spans="6:9" x14ac:dyDescent="0.35">
      <c r="F2190" s="33"/>
      <c r="G2190" s="70"/>
      <c r="H2190" s="400"/>
      <c r="I2190" s="239"/>
    </row>
    <row r="2191" spans="6:9" x14ac:dyDescent="0.35">
      <c r="F2191" s="33"/>
      <c r="G2191" s="70"/>
      <c r="H2191" s="400"/>
      <c r="I2191" s="239"/>
    </row>
    <row r="2192" spans="6:9" x14ac:dyDescent="0.35">
      <c r="F2192" s="33"/>
      <c r="G2192" s="70"/>
      <c r="H2192" s="400"/>
      <c r="I2192" s="239"/>
    </row>
    <row r="2193" spans="6:9" x14ac:dyDescent="0.35">
      <c r="F2193" s="33"/>
      <c r="G2193" s="70"/>
      <c r="H2193" s="400"/>
      <c r="I2193" s="239"/>
    </row>
    <row r="2194" spans="6:9" x14ac:dyDescent="0.35">
      <c r="F2194" s="33"/>
      <c r="G2194" s="70"/>
      <c r="H2194" s="400"/>
      <c r="I2194" s="239"/>
    </row>
    <row r="2195" spans="6:9" x14ac:dyDescent="0.35">
      <c r="F2195" s="33"/>
      <c r="G2195" s="70"/>
      <c r="H2195" s="400"/>
      <c r="I2195" s="239"/>
    </row>
    <row r="2196" spans="6:9" x14ac:dyDescent="0.35">
      <c r="F2196" s="33"/>
      <c r="G2196" s="70"/>
      <c r="H2196" s="400"/>
      <c r="I2196" s="239"/>
    </row>
    <row r="2197" spans="6:9" x14ac:dyDescent="0.35">
      <c r="F2197" s="33"/>
      <c r="G2197" s="70"/>
      <c r="H2197" s="400"/>
      <c r="I2197" s="239"/>
    </row>
    <row r="2198" spans="6:9" x14ac:dyDescent="0.35">
      <c r="F2198" s="33"/>
      <c r="G2198" s="70"/>
      <c r="H2198" s="400"/>
      <c r="I2198" s="239"/>
    </row>
    <row r="2199" spans="6:9" x14ac:dyDescent="0.35">
      <c r="F2199" s="33"/>
      <c r="G2199" s="70"/>
      <c r="H2199" s="400"/>
      <c r="I2199" s="239"/>
    </row>
    <row r="2200" spans="6:9" x14ac:dyDescent="0.35">
      <c r="F2200" s="33"/>
      <c r="G2200" s="70"/>
      <c r="H2200" s="400"/>
      <c r="I2200" s="239"/>
    </row>
    <row r="2201" spans="6:9" x14ac:dyDescent="0.35">
      <c r="F2201" s="33"/>
      <c r="G2201" s="70"/>
      <c r="H2201" s="400"/>
      <c r="I2201" s="239"/>
    </row>
    <row r="2202" spans="6:9" x14ac:dyDescent="0.35">
      <c r="F2202" s="33"/>
      <c r="G2202" s="70"/>
      <c r="H2202" s="400"/>
      <c r="I2202" s="239"/>
    </row>
    <row r="2203" spans="6:9" x14ac:dyDescent="0.35">
      <c r="F2203" s="33"/>
      <c r="G2203" s="70"/>
      <c r="H2203" s="400"/>
      <c r="I2203" s="239"/>
    </row>
    <row r="2204" spans="6:9" x14ac:dyDescent="0.35">
      <c r="F2204" s="33"/>
      <c r="G2204" s="70"/>
      <c r="H2204" s="400"/>
      <c r="I2204" s="239"/>
    </row>
    <row r="2205" spans="6:9" x14ac:dyDescent="0.35">
      <c r="F2205" s="33"/>
      <c r="G2205" s="70"/>
      <c r="H2205" s="400"/>
      <c r="I2205" s="239"/>
    </row>
    <row r="2206" spans="6:9" x14ac:dyDescent="0.35">
      <c r="F2206" s="33"/>
      <c r="G2206" s="70"/>
      <c r="H2206" s="400"/>
      <c r="I2206" s="239"/>
    </row>
    <row r="2207" spans="6:9" x14ac:dyDescent="0.35">
      <c r="F2207" s="33"/>
      <c r="G2207" s="70"/>
      <c r="H2207" s="400"/>
      <c r="I2207" s="239"/>
    </row>
    <row r="2208" spans="6:9" x14ac:dyDescent="0.35">
      <c r="F2208" s="33"/>
      <c r="G2208" s="70"/>
      <c r="H2208" s="400"/>
      <c r="I2208" s="239"/>
    </row>
    <row r="2209" spans="6:9" x14ac:dyDescent="0.35">
      <c r="F2209" s="33"/>
      <c r="G2209" s="70"/>
      <c r="H2209" s="400"/>
      <c r="I2209" s="239"/>
    </row>
    <row r="2210" spans="6:9" x14ac:dyDescent="0.35">
      <c r="F2210" s="33"/>
      <c r="G2210" s="70"/>
      <c r="H2210" s="400"/>
      <c r="I2210" s="239"/>
    </row>
    <row r="2211" spans="6:9" x14ac:dyDescent="0.35">
      <c r="F2211" s="33"/>
      <c r="G2211" s="70"/>
      <c r="H2211" s="400"/>
      <c r="I2211" s="239"/>
    </row>
    <row r="2212" spans="6:9" x14ac:dyDescent="0.35">
      <c r="F2212" s="33"/>
      <c r="G2212" s="70"/>
      <c r="H2212" s="400"/>
      <c r="I2212" s="239"/>
    </row>
    <row r="2213" spans="6:9" x14ac:dyDescent="0.35">
      <c r="F2213" s="33"/>
      <c r="G2213" s="70"/>
      <c r="H2213" s="400"/>
      <c r="I2213" s="239"/>
    </row>
    <row r="2214" spans="6:9" x14ac:dyDescent="0.35">
      <c r="F2214" s="33"/>
      <c r="G2214" s="70"/>
      <c r="H2214" s="400"/>
      <c r="I2214" s="239"/>
    </row>
    <row r="2215" spans="6:9" x14ac:dyDescent="0.35">
      <c r="F2215" s="33"/>
      <c r="G2215" s="70"/>
      <c r="H2215" s="400"/>
      <c r="I2215" s="239"/>
    </row>
    <row r="2216" spans="6:9" x14ac:dyDescent="0.35">
      <c r="F2216" s="33"/>
      <c r="G2216" s="70"/>
      <c r="H2216" s="400"/>
      <c r="I2216" s="239"/>
    </row>
    <row r="2217" spans="6:9" x14ac:dyDescent="0.35">
      <c r="F2217" s="33"/>
      <c r="G2217" s="70"/>
      <c r="H2217" s="400"/>
      <c r="I2217" s="239"/>
    </row>
    <row r="2218" spans="6:9" x14ac:dyDescent="0.35">
      <c r="F2218" s="33"/>
      <c r="G2218" s="70"/>
      <c r="H2218" s="400"/>
      <c r="I2218" s="239"/>
    </row>
    <row r="2219" spans="6:9" x14ac:dyDescent="0.35">
      <c r="F2219" s="33"/>
      <c r="G2219" s="70"/>
      <c r="H2219" s="400"/>
      <c r="I2219" s="239"/>
    </row>
    <row r="2220" spans="6:9" x14ac:dyDescent="0.35">
      <c r="F2220" s="33"/>
      <c r="G2220" s="70"/>
      <c r="H2220" s="400"/>
      <c r="I2220" s="239"/>
    </row>
    <row r="2221" spans="6:9" x14ac:dyDescent="0.35">
      <c r="F2221" s="33"/>
      <c r="G2221" s="70"/>
      <c r="H2221" s="400"/>
      <c r="I2221" s="239"/>
    </row>
    <row r="2222" spans="6:9" x14ac:dyDescent="0.35">
      <c r="F2222" s="33"/>
      <c r="G2222" s="70"/>
      <c r="H2222" s="400"/>
      <c r="I2222" s="239"/>
    </row>
    <row r="2223" spans="6:9" x14ac:dyDescent="0.35">
      <c r="F2223" s="33"/>
      <c r="G2223" s="70"/>
      <c r="H2223" s="400"/>
      <c r="I2223" s="239"/>
    </row>
    <row r="2224" spans="6:9" x14ac:dyDescent="0.35">
      <c r="F2224" s="33"/>
      <c r="G2224" s="70"/>
      <c r="H2224" s="400"/>
      <c r="I2224" s="239"/>
    </row>
    <row r="2225" spans="6:9" x14ac:dyDescent="0.35">
      <c r="F2225" s="33"/>
      <c r="G2225" s="70"/>
      <c r="H2225" s="400"/>
      <c r="I2225" s="239"/>
    </row>
    <row r="2226" spans="6:9" x14ac:dyDescent="0.35">
      <c r="F2226" s="33"/>
      <c r="G2226" s="70"/>
      <c r="H2226" s="400"/>
      <c r="I2226" s="239"/>
    </row>
    <row r="2227" spans="6:9" x14ac:dyDescent="0.35">
      <c r="F2227" s="33"/>
      <c r="G2227" s="70"/>
      <c r="H2227" s="400"/>
      <c r="I2227" s="239"/>
    </row>
    <row r="2228" spans="6:9" x14ac:dyDescent="0.35">
      <c r="F2228" s="33"/>
      <c r="G2228" s="70"/>
      <c r="H2228" s="400"/>
      <c r="I2228" s="239"/>
    </row>
    <row r="2229" spans="6:9" x14ac:dyDescent="0.35">
      <c r="F2229" s="33"/>
      <c r="G2229" s="70"/>
      <c r="H2229" s="400"/>
      <c r="I2229" s="239"/>
    </row>
    <row r="2230" spans="6:9" x14ac:dyDescent="0.35">
      <c r="F2230" s="33"/>
      <c r="G2230" s="70"/>
      <c r="H2230" s="400"/>
      <c r="I2230" s="239"/>
    </row>
    <row r="2231" spans="6:9" x14ac:dyDescent="0.35">
      <c r="F2231" s="33"/>
      <c r="G2231" s="70"/>
      <c r="H2231" s="400"/>
      <c r="I2231" s="239"/>
    </row>
    <row r="2232" spans="6:9" x14ac:dyDescent="0.35">
      <c r="F2232" s="33"/>
      <c r="G2232" s="70"/>
      <c r="H2232" s="400"/>
      <c r="I2232" s="239"/>
    </row>
    <row r="2233" spans="6:9" x14ac:dyDescent="0.35">
      <c r="F2233" s="33"/>
      <c r="G2233" s="70"/>
      <c r="H2233" s="400"/>
      <c r="I2233" s="239"/>
    </row>
    <row r="2234" spans="6:9" x14ac:dyDescent="0.35">
      <c r="F2234" s="33"/>
      <c r="G2234" s="70"/>
      <c r="H2234" s="400"/>
      <c r="I2234" s="239"/>
    </row>
    <row r="2235" spans="6:9" x14ac:dyDescent="0.35">
      <c r="F2235" s="33"/>
      <c r="G2235" s="70"/>
      <c r="H2235" s="400"/>
      <c r="I2235" s="239"/>
    </row>
    <row r="2236" spans="6:9" x14ac:dyDescent="0.35">
      <c r="F2236" s="33"/>
      <c r="G2236" s="70"/>
      <c r="H2236" s="400"/>
      <c r="I2236" s="239"/>
    </row>
    <row r="2237" spans="6:9" x14ac:dyDescent="0.35">
      <c r="F2237" s="33"/>
      <c r="G2237" s="70"/>
      <c r="H2237" s="400"/>
      <c r="I2237" s="239"/>
    </row>
    <row r="2238" spans="6:9" x14ac:dyDescent="0.35">
      <c r="F2238" s="33"/>
      <c r="G2238" s="70"/>
      <c r="H2238" s="400"/>
      <c r="I2238" s="239"/>
    </row>
    <row r="2239" spans="6:9" x14ac:dyDescent="0.35">
      <c r="F2239" s="33"/>
      <c r="G2239" s="70"/>
      <c r="H2239" s="400"/>
      <c r="I2239" s="239"/>
    </row>
    <row r="2240" spans="6:9" x14ac:dyDescent="0.35">
      <c r="F2240" s="33"/>
      <c r="G2240" s="70"/>
      <c r="H2240" s="400"/>
      <c r="I2240" s="239"/>
    </row>
    <row r="2241" spans="6:9" x14ac:dyDescent="0.35">
      <c r="F2241" s="33"/>
      <c r="G2241" s="70"/>
      <c r="H2241" s="400"/>
      <c r="I2241" s="239"/>
    </row>
    <row r="2242" spans="6:9" x14ac:dyDescent="0.35">
      <c r="F2242" s="33"/>
      <c r="G2242" s="70"/>
      <c r="H2242" s="400"/>
      <c r="I2242" s="239"/>
    </row>
    <row r="2243" spans="6:9" x14ac:dyDescent="0.35">
      <c r="F2243" s="33"/>
      <c r="G2243" s="70"/>
      <c r="H2243" s="400"/>
      <c r="I2243" s="239"/>
    </row>
    <row r="2244" spans="6:9" x14ac:dyDescent="0.35">
      <c r="F2244" s="33"/>
      <c r="G2244" s="70"/>
      <c r="H2244" s="400"/>
      <c r="I2244" s="239"/>
    </row>
    <row r="2245" spans="6:9" x14ac:dyDescent="0.35">
      <c r="F2245" s="33"/>
      <c r="G2245" s="70"/>
      <c r="H2245" s="400"/>
      <c r="I2245" s="239"/>
    </row>
    <row r="2246" spans="6:9" x14ac:dyDescent="0.35">
      <c r="F2246" s="33"/>
      <c r="G2246" s="70"/>
      <c r="H2246" s="400"/>
      <c r="I2246" s="239"/>
    </row>
    <row r="2247" spans="6:9" x14ac:dyDescent="0.35">
      <c r="F2247" s="33"/>
      <c r="G2247" s="70"/>
      <c r="H2247" s="400"/>
      <c r="I2247" s="239"/>
    </row>
    <row r="2248" spans="6:9" x14ac:dyDescent="0.35">
      <c r="F2248" s="33"/>
      <c r="G2248" s="70"/>
      <c r="H2248" s="400"/>
      <c r="I2248" s="239"/>
    </row>
    <row r="2249" spans="6:9" x14ac:dyDescent="0.35">
      <c r="F2249" s="33"/>
      <c r="G2249" s="70"/>
      <c r="H2249" s="400"/>
      <c r="I2249" s="239"/>
    </row>
    <row r="2250" spans="6:9" x14ac:dyDescent="0.35">
      <c r="F2250" s="33"/>
      <c r="G2250" s="70"/>
      <c r="H2250" s="400"/>
      <c r="I2250" s="239"/>
    </row>
    <row r="2251" spans="6:9" x14ac:dyDescent="0.35">
      <c r="F2251" s="33"/>
      <c r="G2251" s="70"/>
      <c r="H2251" s="400"/>
      <c r="I2251" s="239"/>
    </row>
    <row r="2252" spans="6:9" x14ac:dyDescent="0.35">
      <c r="F2252" s="33"/>
      <c r="G2252" s="70"/>
      <c r="H2252" s="400"/>
      <c r="I2252" s="239"/>
    </row>
    <row r="2253" spans="6:9" x14ac:dyDescent="0.35">
      <c r="F2253" s="33"/>
      <c r="G2253" s="70"/>
      <c r="H2253" s="400"/>
      <c r="I2253" s="239"/>
    </row>
    <row r="2254" spans="6:9" x14ac:dyDescent="0.35">
      <c r="F2254" s="33"/>
      <c r="G2254" s="70"/>
      <c r="H2254" s="400"/>
      <c r="I2254" s="239"/>
    </row>
    <row r="2255" spans="6:9" x14ac:dyDescent="0.35">
      <c r="F2255" s="33"/>
      <c r="G2255" s="70"/>
      <c r="H2255" s="400"/>
      <c r="I2255" s="239"/>
    </row>
    <row r="2256" spans="6:9" x14ac:dyDescent="0.35">
      <c r="F2256" s="33"/>
      <c r="G2256" s="70"/>
      <c r="H2256" s="400"/>
      <c r="I2256" s="239"/>
    </row>
    <row r="2257" spans="6:9" x14ac:dyDescent="0.35">
      <c r="F2257" s="33"/>
      <c r="G2257" s="70"/>
      <c r="H2257" s="400"/>
      <c r="I2257" s="239"/>
    </row>
    <row r="2258" spans="6:9" x14ac:dyDescent="0.35">
      <c r="F2258" s="33"/>
      <c r="G2258" s="70"/>
      <c r="H2258" s="400"/>
      <c r="I2258" s="239"/>
    </row>
    <row r="2259" spans="6:9" x14ac:dyDescent="0.35">
      <c r="F2259" s="33"/>
      <c r="G2259" s="70"/>
      <c r="H2259" s="400"/>
      <c r="I2259" s="239"/>
    </row>
    <row r="2260" spans="6:9" x14ac:dyDescent="0.35">
      <c r="F2260" s="33"/>
      <c r="G2260" s="70"/>
      <c r="H2260" s="400"/>
      <c r="I2260" s="239"/>
    </row>
    <row r="2261" spans="6:9" x14ac:dyDescent="0.35">
      <c r="F2261" s="33"/>
      <c r="G2261" s="70"/>
      <c r="H2261" s="400"/>
      <c r="I2261" s="239"/>
    </row>
    <row r="2262" spans="6:9" x14ac:dyDescent="0.35">
      <c r="F2262" s="33"/>
      <c r="G2262" s="70"/>
      <c r="H2262" s="400"/>
      <c r="I2262" s="239"/>
    </row>
    <row r="2263" spans="6:9" x14ac:dyDescent="0.35">
      <c r="F2263" s="33"/>
      <c r="G2263" s="70"/>
      <c r="H2263" s="400"/>
      <c r="I2263" s="239"/>
    </row>
    <row r="2264" spans="6:9" x14ac:dyDescent="0.35">
      <c r="F2264" s="33"/>
      <c r="G2264" s="70"/>
      <c r="H2264" s="400"/>
      <c r="I2264" s="239"/>
    </row>
    <row r="2265" spans="6:9" x14ac:dyDescent="0.35">
      <c r="F2265" s="33"/>
      <c r="G2265" s="70"/>
      <c r="H2265" s="400"/>
      <c r="I2265" s="239"/>
    </row>
    <row r="2266" spans="6:9" x14ac:dyDescent="0.35">
      <c r="F2266" s="33"/>
      <c r="G2266" s="70"/>
      <c r="H2266" s="400"/>
      <c r="I2266" s="239"/>
    </row>
    <row r="2267" spans="6:9" x14ac:dyDescent="0.35">
      <c r="F2267" s="33"/>
      <c r="G2267" s="70"/>
      <c r="H2267" s="400"/>
      <c r="I2267" s="239"/>
    </row>
    <row r="2268" spans="6:9" x14ac:dyDescent="0.35">
      <c r="F2268" s="33"/>
      <c r="G2268" s="70"/>
      <c r="H2268" s="400"/>
      <c r="I2268" s="239"/>
    </row>
    <row r="2269" spans="6:9" x14ac:dyDescent="0.35">
      <c r="F2269" s="33"/>
      <c r="G2269" s="70"/>
      <c r="H2269" s="400"/>
      <c r="I2269" s="239"/>
    </row>
    <row r="2270" spans="6:9" x14ac:dyDescent="0.35">
      <c r="F2270" s="33"/>
      <c r="G2270" s="70"/>
      <c r="H2270" s="400"/>
      <c r="I2270" s="239"/>
    </row>
    <row r="2271" spans="6:9" x14ac:dyDescent="0.35">
      <c r="F2271" s="33"/>
      <c r="G2271" s="70"/>
      <c r="H2271" s="400"/>
      <c r="I2271" s="239"/>
    </row>
    <row r="2272" spans="6:9" x14ac:dyDescent="0.35">
      <c r="F2272" s="33"/>
      <c r="G2272" s="70"/>
      <c r="H2272" s="400"/>
      <c r="I2272" s="239"/>
    </row>
    <row r="2273" spans="6:9" x14ac:dyDescent="0.35">
      <c r="F2273" s="33"/>
      <c r="G2273" s="70"/>
      <c r="H2273" s="400"/>
      <c r="I2273" s="239"/>
    </row>
    <row r="2274" spans="6:9" x14ac:dyDescent="0.35">
      <c r="F2274" s="33"/>
      <c r="G2274" s="70"/>
      <c r="H2274" s="400"/>
      <c r="I2274" s="239"/>
    </row>
    <row r="2275" spans="6:9" x14ac:dyDescent="0.35">
      <c r="F2275" s="33"/>
      <c r="G2275" s="70"/>
      <c r="H2275" s="400"/>
      <c r="I2275" s="239"/>
    </row>
    <row r="2276" spans="6:9" x14ac:dyDescent="0.35">
      <c r="F2276" s="33"/>
      <c r="G2276" s="70"/>
      <c r="H2276" s="400"/>
      <c r="I2276" s="239"/>
    </row>
    <row r="2277" spans="6:9" x14ac:dyDescent="0.35">
      <c r="F2277" s="33"/>
      <c r="G2277" s="70"/>
      <c r="H2277" s="400"/>
      <c r="I2277" s="239"/>
    </row>
    <row r="2278" spans="6:9" x14ac:dyDescent="0.35">
      <c r="F2278" s="33"/>
      <c r="G2278" s="70"/>
      <c r="H2278" s="400"/>
      <c r="I2278" s="239"/>
    </row>
    <row r="2279" spans="6:9" x14ac:dyDescent="0.35">
      <c r="F2279" s="33"/>
      <c r="G2279" s="70"/>
      <c r="H2279" s="400"/>
      <c r="I2279" s="239"/>
    </row>
    <row r="2280" spans="6:9" x14ac:dyDescent="0.35">
      <c r="F2280" s="33"/>
      <c r="G2280" s="70"/>
      <c r="H2280" s="400"/>
      <c r="I2280" s="239"/>
    </row>
    <row r="2281" spans="6:9" x14ac:dyDescent="0.35">
      <c r="F2281" s="33"/>
      <c r="G2281" s="70"/>
      <c r="H2281" s="400"/>
      <c r="I2281" s="239"/>
    </row>
    <row r="2282" spans="6:9" x14ac:dyDescent="0.35">
      <c r="F2282" s="33"/>
      <c r="G2282" s="70"/>
      <c r="H2282" s="400"/>
      <c r="I2282" s="239"/>
    </row>
    <row r="2283" spans="6:9" x14ac:dyDescent="0.35">
      <c r="F2283" s="33"/>
      <c r="G2283" s="70"/>
      <c r="H2283" s="400"/>
      <c r="I2283" s="239"/>
    </row>
    <row r="2284" spans="6:9" x14ac:dyDescent="0.35">
      <c r="F2284" s="33"/>
      <c r="G2284" s="70"/>
      <c r="H2284" s="400"/>
      <c r="I2284" s="239"/>
    </row>
    <row r="2285" spans="6:9" x14ac:dyDescent="0.35">
      <c r="F2285" s="33"/>
      <c r="G2285" s="70"/>
      <c r="H2285" s="400"/>
      <c r="I2285" s="239"/>
    </row>
    <row r="2286" spans="6:9" x14ac:dyDescent="0.35">
      <c r="F2286" s="33"/>
      <c r="G2286" s="70"/>
      <c r="H2286" s="400"/>
      <c r="I2286" s="239"/>
    </row>
    <row r="2287" spans="6:9" x14ac:dyDescent="0.35">
      <c r="F2287" s="33"/>
      <c r="G2287" s="70"/>
      <c r="H2287" s="400"/>
      <c r="I2287" s="239"/>
    </row>
    <row r="2288" spans="6:9" x14ac:dyDescent="0.35">
      <c r="F2288" s="33"/>
      <c r="G2288" s="70"/>
      <c r="H2288" s="400"/>
      <c r="I2288" s="239"/>
    </row>
    <row r="2289" spans="6:9" x14ac:dyDescent="0.35">
      <c r="F2289" s="33"/>
      <c r="G2289" s="70"/>
      <c r="H2289" s="400"/>
      <c r="I2289" s="239"/>
    </row>
    <row r="2290" spans="6:9" x14ac:dyDescent="0.35">
      <c r="F2290" s="33"/>
      <c r="G2290" s="70"/>
      <c r="H2290" s="400"/>
      <c r="I2290" s="239"/>
    </row>
    <row r="2291" spans="6:9" x14ac:dyDescent="0.35">
      <c r="F2291" s="33"/>
      <c r="G2291" s="70"/>
      <c r="H2291" s="400"/>
      <c r="I2291" s="239"/>
    </row>
    <row r="2292" spans="6:9" x14ac:dyDescent="0.35">
      <c r="F2292" s="33"/>
      <c r="G2292" s="70"/>
      <c r="H2292" s="400"/>
      <c r="I2292" s="239"/>
    </row>
    <row r="2293" spans="6:9" x14ac:dyDescent="0.35">
      <c r="F2293" s="33"/>
      <c r="G2293" s="70"/>
      <c r="H2293" s="400"/>
      <c r="I2293" s="239"/>
    </row>
    <row r="2294" spans="6:9" x14ac:dyDescent="0.35">
      <c r="F2294" s="33"/>
      <c r="G2294" s="70"/>
      <c r="H2294" s="400"/>
      <c r="I2294" s="239"/>
    </row>
    <row r="2295" spans="6:9" x14ac:dyDescent="0.35">
      <c r="F2295" s="33"/>
      <c r="G2295" s="70"/>
      <c r="H2295" s="400"/>
      <c r="I2295" s="239"/>
    </row>
    <row r="2296" spans="6:9" x14ac:dyDescent="0.35">
      <c r="F2296" s="33"/>
      <c r="G2296" s="70"/>
      <c r="H2296" s="400"/>
      <c r="I2296" s="239"/>
    </row>
    <row r="2297" spans="6:9" x14ac:dyDescent="0.35">
      <c r="F2297" s="33"/>
      <c r="G2297" s="70"/>
      <c r="H2297" s="400"/>
      <c r="I2297" s="239"/>
    </row>
    <row r="2298" spans="6:9" x14ac:dyDescent="0.35">
      <c r="F2298" s="33"/>
      <c r="G2298" s="70"/>
      <c r="H2298" s="400"/>
      <c r="I2298" s="239"/>
    </row>
    <row r="2299" spans="6:9" x14ac:dyDescent="0.35">
      <c r="F2299" s="33"/>
      <c r="G2299" s="70"/>
      <c r="H2299" s="400"/>
      <c r="I2299" s="239"/>
    </row>
    <row r="2300" spans="6:9" x14ac:dyDescent="0.35">
      <c r="F2300" s="33"/>
      <c r="G2300" s="70"/>
      <c r="H2300" s="400"/>
      <c r="I2300" s="239"/>
    </row>
    <row r="2301" spans="6:9" x14ac:dyDescent="0.35">
      <c r="F2301" s="33"/>
      <c r="G2301" s="70"/>
      <c r="H2301" s="400"/>
      <c r="I2301" s="239"/>
    </row>
    <row r="2302" spans="6:9" x14ac:dyDescent="0.35">
      <c r="F2302" s="33"/>
      <c r="G2302" s="70"/>
      <c r="H2302" s="400"/>
      <c r="I2302" s="239"/>
    </row>
    <row r="2303" spans="6:9" x14ac:dyDescent="0.35">
      <c r="F2303" s="33"/>
      <c r="G2303" s="70"/>
      <c r="H2303" s="400"/>
      <c r="I2303" s="239"/>
    </row>
    <row r="2304" spans="6:9" x14ac:dyDescent="0.35">
      <c r="F2304" s="33"/>
      <c r="G2304" s="70"/>
      <c r="H2304" s="400"/>
      <c r="I2304" s="239"/>
    </row>
    <row r="2305" spans="6:9" x14ac:dyDescent="0.35">
      <c r="F2305" s="33"/>
      <c r="G2305" s="70"/>
      <c r="H2305" s="400"/>
      <c r="I2305" s="239"/>
    </row>
    <row r="2306" spans="6:9" x14ac:dyDescent="0.35">
      <c r="F2306" s="33"/>
      <c r="G2306" s="70"/>
      <c r="H2306" s="400"/>
      <c r="I2306" s="239"/>
    </row>
    <row r="2307" spans="6:9" x14ac:dyDescent="0.35">
      <c r="F2307" s="33"/>
      <c r="G2307" s="70"/>
      <c r="H2307" s="400"/>
      <c r="I2307" s="239"/>
    </row>
    <row r="2308" spans="6:9" x14ac:dyDescent="0.35">
      <c r="F2308" s="33"/>
      <c r="G2308" s="70"/>
      <c r="H2308" s="400"/>
      <c r="I2308" s="239"/>
    </row>
    <row r="2309" spans="6:9" x14ac:dyDescent="0.35">
      <c r="F2309" s="33"/>
      <c r="G2309" s="70"/>
      <c r="H2309" s="400"/>
      <c r="I2309" s="239"/>
    </row>
    <row r="2310" spans="6:9" x14ac:dyDescent="0.35">
      <c r="F2310" s="33"/>
      <c r="G2310" s="70"/>
      <c r="H2310" s="400"/>
      <c r="I2310" s="239"/>
    </row>
    <row r="2311" spans="6:9" x14ac:dyDescent="0.35">
      <c r="F2311" s="33"/>
      <c r="G2311" s="70"/>
      <c r="H2311" s="400"/>
      <c r="I2311" s="239"/>
    </row>
    <row r="2312" spans="6:9" x14ac:dyDescent="0.35">
      <c r="F2312" s="33"/>
      <c r="G2312" s="70"/>
      <c r="H2312" s="400"/>
      <c r="I2312" s="239"/>
    </row>
    <row r="2313" spans="6:9" x14ac:dyDescent="0.35">
      <c r="F2313" s="33"/>
      <c r="G2313" s="70"/>
      <c r="H2313" s="400"/>
      <c r="I2313" s="239"/>
    </row>
    <row r="2314" spans="6:9" x14ac:dyDescent="0.35">
      <c r="F2314" s="33"/>
      <c r="G2314" s="70"/>
      <c r="H2314" s="400"/>
      <c r="I2314" s="239"/>
    </row>
    <row r="2315" spans="6:9" x14ac:dyDescent="0.35">
      <c r="F2315" s="33"/>
      <c r="G2315" s="70"/>
      <c r="H2315" s="400"/>
      <c r="I2315" s="239"/>
    </row>
    <row r="2316" spans="6:9" x14ac:dyDescent="0.35">
      <c r="F2316" s="33"/>
      <c r="G2316" s="70"/>
      <c r="H2316" s="400"/>
      <c r="I2316" s="239"/>
    </row>
    <row r="2317" spans="6:9" x14ac:dyDescent="0.35">
      <c r="F2317" s="33"/>
      <c r="G2317" s="70"/>
      <c r="H2317" s="400"/>
      <c r="I2317" s="239"/>
    </row>
    <row r="2318" spans="6:9" x14ac:dyDescent="0.35">
      <c r="F2318" s="33"/>
      <c r="G2318" s="70"/>
      <c r="H2318" s="400"/>
      <c r="I2318" s="239"/>
    </row>
    <row r="2319" spans="6:9" x14ac:dyDescent="0.35">
      <c r="F2319" s="33"/>
      <c r="G2319" s="70"/>
      <c r="H2319" s="400"/>
      <c r="I2319" s="239"/>
    </row>
    <row r="2320" spans="6:9" x14ac:dyDescent="0.35">
      <c r="F2320" s="33"/>
      <c r="G2320" s="70"/>
      <c r="H2320" s="400"/>
      <c r="I2320" s="239"/>
    </row>
    <row r="2321" spans="6:9" x14ac:dyDescent="0.35">
      <c r="F2321" s="33"/>
      <c r="G2321" s="70"/>
      <c r="H2321" s="400"/>
      <c r="I2321" s="239"/>
    </row>
    <row r="2322" spans="6:9" x14ac:dyDescent="0.35">
      <c r="F2322" s="33"/>
      <c r="G2322" s="70"/>
      <c r="H2322" s="400"/>
      <c r="I2322" s="239"/>
    </row>
    <row r="2323" spans="6:9" x14ac:dyDescent="0.35">
      <c r="F2323" s="33"/>
      <c r="G2323" s="70"/>
      <c r="H2323" s="400"/>
      <c r="I2323" s="239"/>
    </row>
    <row r="2324" spans="6:9" x14ac:dyDescent="0.35">
      <c r="F2324" s="33"/>
      <c r="G2324" s="70"/>
      <c r="H2324" s="400"/>
      <c r="I2324" s="239"/>
    </row>
    <row r="2325" spans="6:9" x14ac:dyDescent="0.35">
      <c r="F2325" s="33"/>
      <c r="G2325" s="70"/>
      <c r="H2325" s="400"/>
      <c r="I2325" s="239"/>
    </row>
    <row r="2326" spans="6:9" x14ac:dyDescent="0.35">
      <c r="F2326" s="33"/>
      <c r="G2326" s="70"/>
      <c r="H2326" s="400"/>
      <c r="I2326" s="239"/>
    </row>
    <row r="2327" spans="6:9" x14ac:dyDescent="0.35">
      <c r="F2327" s="33"/>
      <c r="G2327" s="70"/>
      <c r="H2327" s="400"/>
      <c r="I2327" s="239"/>
    </row>
    <row r="2328" spans="6:9" x14ac:dyDescent="0.35">
      <c r="F2328" s="33"/>
      <c r="G2328" s="70"/>
      <c r="H2328" s="400"/>
      <c r="I2328" s="239"/>
    </row>
    <row r="2329" spans="6:9" x14ac:dyDescent="0.35">
      <c r="F2329" s="33"/>
      <c r="G2329" s="70"/>
      <c r="H2329" s="400"/>
      <c r="I2329" s="239"/>
    </row>
    <row r="2330" spans="6:9" x14ac:dyDescent="0.35">
      <c r="F2330" s="33"/>
      <c r="G2330" s="70"/>
      <c r="H2330" s="400"/>
      <c r="I2330" s="239"/>
    </row>
    <row r="2331" spans="6:9" x14ac:dyDescent="0.35">
      <c r="F2331" s="33"/>
      <c r="G2331" s="70"/>
      <c r="H2331" s="400"/>
      <c r="I2331" s="239"/>
    </row>
    <row r="2332" spans="6:9" x14ac:dyDescent="0.35">
      <c r="F2332" s="33"/>
      <c r="G2332" s="70"/>
      <c r="H2332" s="400"/>
      <c r="I2332" s="239"/>
    </row>
    <row r="2333" spans="6:9" x14ac:dyDescent="0.35">
      <c r="F2333" s="33"/>
      <c r="G2333" s="70"/>
      <c r="H2333" s="400"/>
      <c r="I2333" s="239"/>
    </row>
    <row r="2334" spans="6:9" x14ac:dyDescent="0.35">
      <c r="F2334" s="33"/>
      <c r="G2334" s="70"/>
      <c r="H2334" s="400"/>
      <c r="I2334" s="239"/>
    </row>
    <row r="2335" spans="6:9" x14ac:dyDescent="0.35">
      <c r="F2335" s="33"/>
      <c r="G2335" s="70"/>
      <c r="H2335" s="400"/>
      <c r="I2335" s="239"/>
    </row>
    <row r="2336" spans="6:9" x14ac:dyDescent="0.35">
      <c r="F2336" s="33"/>
      <c r="G2336" s="70"/>
      <c r="H2336" s="400"/>
      <c r="I2336" s="239"/>
    </row>
    <row r="2337" spans="6:9" x14ac:dyDescent="0.35">
      <c r="F2337" s="33"/>
      <c r="G2337" s="70"/>
      <c r="H2337" s="400"/>
      <c r="I2337" s="239"/>
    </row>
    <row r="2338" spans="6:9" x14ac:dyDescent="0.35">
      <c r="F2338" s="33"/>
      <c r="G2338" s="70"/>
      <c r="H2338" s="400"/>
      <c r="I2338" s="239"/>
    </row>
    <row r="2339" spans="6:9" x14ac:dyDescent="0.35">
      <c r="F2339" s="33"/>
      <c r="G2339" s="70"/>
      <c r="H2339" s="400"/>
      <c r="I2339" s="239"/>
    </row>
    <row r="2340" spans="6:9" x14ac:dyDescent="0.35">
      <c r="F2340" s="33"/>
      <c r="G2340" s="70"/>
      <c r="H2340" s="400"/>
      <c r="I2340" s="239"/>
    </row>
    <row r="2341" spans="6:9" x14ac:dyDescent="0.35">
      <c r="F2341" s="33"/>
      <c r="G2341" s="70"/>
      <c r="H2341" s="400"/>
      <c r="I2341" s="239"/>
    </row>
    <row r="2342" spans="6:9" x14ac:dyDescent="0.35">
      <c r="F2342" s="33"/>
      <c r="G2342" s="70"/>
      <c r="H2342" s="400"/>
      <c r="I2342" s="239"/>
    </row>
    <row r="2343" spans="6:9" x14ac:dyDescent="0.35">
      <c r="F2343" s="33"/>
      <c r="G2343" s="70"/>
      <c r="H2343" s="400"/>
      <c r="I2343" s="239"/>
    </row>
    <row r="2344" spans="6:9" x14ac:dyDescent="0.35">
      <c r="F2344" s="33"/>
      <c r="G2344" s="70"/>
      <c r="H2344" s="400"/>
      <c r="I2344" s="239"/>
    </row>
    <row r="2345" spans="6:9" x14ac:dyDescent="0.35">
      <c r="F2345" s="33"/>
      <c r="G2345" s="70"/>
      <c r="H2345" s="400"/>
      <c r="I2345" s="239"/>
    </row>
    <row r="2346" spans="6:9" x14ac:dyDescent="0.35">
      <c r="F2346" s="33"/>
      <c r="G2346" s="70"/>
      <c r="H2346" s="400"/>
      <c r="I2346" s="239"/>
    </row>
    <row r="2347" spans="6:9" x14ac:dyDescent="0.35">
      <c r="F2347" s="33"/>
      <c r="G2347" s="70"/>
      <c r="H2347" s="400"/>
      <c r="I2347" s="239"/>
    </row>
    <row r="2348" spans="6:9" x14ac:dyDescent="0.35">
      <c r="F2348" s="33"/>
      <c r="G2348" s="70"/>
      <c r="H2348" s="400"/>
      <c r="I2348" s="239"/>
    </row>
    <row r="2349" spans="6:9" x14ac:dyDescent="0.35">
      <c r="F2349" s="33"/>
      <c r="G2349" s="70"/>
      <c r="H2349" s="400"/>
      <c r="I2349" s="239"/>
    </row>
    <row r="2350" spans="6:9" x14ac:dyDescent="0.35">
      <c r="F2350" s="33"/>
      <c r="G2350" s="70"/>
      <c r="H2350" s="400"/>
      <c r="I2350" s="239"/>
    </row>
    <row r="2351" spans="6:9" x14ac:dyDescent="0.35">
      <c r="F2351" s="33"/>
      <c r="G2351" s="70"/>
      <c r="H2351" s="400"/>
      <c r="I2351" s="239"/>
    </row>
    <row r="2352" spans="6:9" x14ac:dyDescent="0.35">
      <c r="F2352" s="33"/>
      <c r="G2352" s="70"/>
      <c r="H2352" s="400"/>
      <c r="I2352" s="239"/>
    </row>
    <row r="2353" spans="6:9" x14ac:dyDescent="0.35">
      <c r="F2353" s="33"/>
      <c r="G2353" s="70"/>
      <c r="H2353" s="400"/>
      <c r="I2353" s="239"/>
    </row>
    <row r="2354" spans="6:9" x14ac:dyDescent="0.35">
      <c r="F2354" s="33"/>
      <c r="G2354" s="70"/>
      <c r="H2354" s="400"/>
      <c r="I2354" s="239"/>
    </row>
    <row r="2355" spans="6:9" x14ac:dyDescent="0.35">
      <c r="F2355" s="33"/>
      <c r="G2355" s="70"/>
      <c r="H2355" s="400"/>
      <c r="I2355" s="239"/>
    </row>
    <row r="2356" spans="6:9" x14ac:dyDescent="0.35">
      <c r="F2356" s="33"/>
      <c r="G2356" s="70"/>
      <c r="H2356" s="400"/>
      <c r="I2356" s="239"/>
    </row>
    <row r="2357" spans="6:9" x14ac:dyDescent="0.35">
      <c r="F2357" s="33"/>
      <c r="G2357" s="70"/>
      <c r="H2357" s="400"/>
      <c r="I2357" s="239"/>
    </row>
    <row r="2358" spans="6:9" x14ac:dyDescent="0.35">
      <c r="F2358" s="33"/>
      <c r="G2358" s="70"/>
      <c r="H2358" s="400"/>
      <c r="I2358" s="239"/>
    </row>
    <row r="2359" spans="6:9" x14ac:dyDescent="0.35">
      <c r="F2359" s="33"/>
      <c r="G2359" s="70"/>
      <c r="H2359" s="400"/>
      <c r="I2359" s="239"/>
    </row>
    <row r="2360" spans="6:9" x14ac:dyDescent="0.35">
      <c r="F2360" s="33"/>
      <c r="G2360" s="70"/>
      <c r="H2360" s="400"/>
      <c r="I2360" s="239"/>
    </row>
    <row r="2361" spans="6:9" x14ac:dyDescent="0.35">
      <c r="F2361" s="33"/>
      <c r="G2361" s="70"/>
      <c r="H2361" s="400"/>
      <c r="I2361" s="239"/>
    </row>
    <row r="2362" spans="6:9" x14ac:dyDescent="0.35">
      <c r="F2362" s="33"/>
      <c r="G2362" s="70"/>
      <c r="H2362" s="400"/>
      <c r="I2362" s="239"/>
    </row>
    <row r="2363" spans="6:9" x14ac:dyDescent="0.35">
      <c r="F2363" s="33"/>
      <c r="G2363" s="70"/>
      <c r="H2363" s="400"/>
      <c r="I2363" s="239"/>
    </row>
    <row r="2364" spans="6:9" x14ac:dyDescent="0.35">
      <c r="F2364" s="33"/>
      <c r="G2364" s="70"/>
      <c r="H2364" s="400"/>
      <c r="I2364" s="239"/>
    </row>
    <row r="2365" spans="6:9" x14ac:dyDescent="0.35">
      <c r="F2365" s="33"/>
      <c r="G2365" s="70"/>
      <c r="H2365" s="400"/>
      <c r="I2365" s="239"/>
    </row>
    <row r="2366" spans="6:9" x14ac:dyDescent="0.35">
      <c r="F2366" s="33"/>
      <c r="G2366" s="70"/>
      <c r="H2366" s="400"/>
      <c r="I2366" s="239"/>
    </row>
    <row r="2367" spans="6:9" x14ac:dyDescent="0.35">
      <c r="F2367" s="33"/>
      <c r="G2367" s="70"/>
      <c r="H2367" s="400"/>
      <c r="I2367" s="239"/>
    </row>
    <row r="2368" spans="6:9" x14ac:dyDescent="0.35">
      <c r="F2368" s="33"/>
      <c r="G2368" s="70"/>
      <c r="H2368" s="400"/>
      <c r="I2368" s="239"/>
    </row>
    <row r="2369" spans="6:9" x14ac:dyDescent="0.35">
      <c r="F2369" s="33"/>
      <c r="G2369" s="70"/>
      <c r="H2369" s="400"/>
      <c r="I2369" s="239"/>
    </row>
    <row r="2370" spans="6:9" x14ac:dyDescent="0.35">
      <c r="F2370" s="33"/>
      <c r="G2370" s="70"/>
      <c r="H2370" s="400"/>
      <c r="I2370" s="239"/>
    </row>
    <row r="2371" spans="6:9" x14ac:dyDescent="0.35">
      <c r="F2371" s="33"/>
      <c r="G2371" s="70"/>
      <c r="H2371" s="400"/>
      <c r="I2371" s="239"/>
    </row>
    <row r="2372" spans="6:9" x14ac:dyDescent="0.35">
      <c r="F2372" s="33"/>
      <c r="G2372" s="70"/>
      <c r="H2372" s="400"/>
      <c r="I2372" s="239"/>
    </row>
    <row r="2373" spans="6:9" x14ac:dyDescent="0.35">
      <c r="F2373" s="33"/>
      <c r="G2373" s="70"/>
      <c r="H2373" s="400"/>
      <c r="I2373" s="239"/>
    </row>
    <row r="2374" spans="6:9" x14ac:dyDescent="0.35">
      <c r="F2374" s="33"/>
      <c r="G2374" s="70"/>
      <c r="H2374" s="400"/>
      <c r="I2374" s="239"/>
    </row>
    <row r="2375" spans="6:9" x14ac:dyDescent="0.35">
      <c r="F2375" s="33"/>
      <c r="G2375" s="70"/>
      <c r="H2375" s="400"/>
      <c r="I2375" s="239"/>
    </row>
    <row r="2376" spans="6:9" x14ac:dyDescent="0.35">
      <c r="F2376" s="33"/>
      <c r="G2376" s="70"/>
      <c r="H2376" s="400"/>
      <c r="I2376" s="239"/>
    </row>
    <row r="2377" spans="6:9" x14ac:dyDescent="0.35">
      <c r="F2377" s="33"/>
      <c r="G2377" s="70"/>
      <c r="H2377" s="400"/>
      <c r="I2377" s="239"/>
    </row>
    <row r="2378" spans="6:9" x14ac:dyDescent="0.35">
      <c r="F2378" s="33"/>
      <c r="G2378" s="70"/>
      <c r="H2378" s="400"/>
      <c r="I2378" s="239"/>
    </row>
    <row r="2379" spans="6:9" x14ac:dyDescent="0.35">
      <c r="F2379" s="33"/>
      <c r="G2379" s="70"/>
      <c r="H2379" s="400"/>
      <c r="I2379" s="239"/>
    </row>
    <row r="2380" spans="6:9" x14ac:dyDescent="0.35">
      <c r="F2380" s="33"/>
      <c r="G2380" s="70"/>
      <c r="H2380" s="400"/>
      <c r="I2380" s="239"/>
    </row>
    <row r="2381" spans="6:9" x14ac:dyDescent="0.35">
      <c r="F2381" s="33"/>
      <c r="G2381" s="70"/>
      <c r="H2381" s="400"/>
      <c r="I2381" s="239"/>
    </row>
    <row r="2382" spans="6:9" x14ac:dyDescent="0.35">
      <c r="F2382" s="33"/>
      <c r="G2382" s="70"/>
      <c r="H2382" s="400"/>
      <c r="I2382" s="239"/>
    </row>
    <row r="2383" spans="6:9" x14ac:dyDescent="0.35">
      <c r="F2383" s="33"/>
      <c r="G2383" s="70"/>
      <c r="H2383" s="400"/>
      <c r="I2383" s="239"/>
    </row>
    <row r="2384" spans="6:9" x14ac:dyDescent="0.35">
      <c r="F2384" s="33"/>
      <c r="G2384" s="70"/>
      <c r="H2384" s="400"/>
      <c r="I2384" s="239"/>
    </row>
    <row r="2385" spans="6:9" x14ac:dyDescent="0.35">
      <c r="F2385" s="33"/>
      <c r="G2385" s="70"/>
      <c r="H2385" s="400"/>
      <c r="I2385" s="239"/>
    </row>
    <row r="2386" spans="6:9" x14ac:dyDescent="0.35">
      <c r="F2386" s="33"/>
      <c r="G2386" s="70"/>
      <c r="H2386" s="400"/>
      <c r="I2386" s="239"/>
    </row>
    <row r="2387" spans="6:9" x14ac:dyDescent="0.35">
      <c r="F2387" s="33"/>
      <c r="G2387" s="70"/>
      <c r="H2387" s="400"/>
      <c r="I2387" s="239"/>
    </row>
    <row r="2388" spans="6:9" x14ac:dyDescent="0.35">
      <c r="F2388" s="33"/>
      <c r="G2388" s="70"/>
      <c r="H2388" s="400"/>
      <c r="I2388" s="239"/>
    </row>
    <row r="2389" spans="6:9" x14ac:dyDescent="0.35">
      <c r="F2389" s="33"/>
      <c r="G2389" s="70"/>
      <c r="H2389" s="400"/>
      <c r="I2389" s="239"/>
    </row>
    <row r="2390" spans="6:9" x14ac:dyDescent="0.35">
      <c r="F2390" s="33"/>
      <c r="G2390" s="70"/>
      <c r="H2390" s="400"/>
      <c r="I2390" s="239"/>
    </row>
    <row r="2391" spans="6:9" x14ac:dyDescent="0.35">
      <c r="F2391" s="33"/>
      <c r="G2391" s="70"/>
      <c r="H2391" s="400"/>
      <c r="I2391" s="239"/>
    </row>
    <row r="2392" spans="6:9" x14ac:dyDescent="0.35">
      <c r="F2392" s="33"/>
      <c r="G2392" s="70"/>
      <c r="H2392" s="400"/>
      <c r="I2392" s="239"/>
    </row>
    <row r="2393" spans="6:9" x14ac:dyDescent="0.35">
      <c r="F2393" s="33"/>
      <c r="G2393" s="70"/>
      <c r="H2393" s="400"/>
      <c r="I2393" s="239"/>
    </row>
    <row r="2394" spans="6:9" x14ac:dyDescent="0.35">
      <c r="F2394" s="33"/>
      <c r="G2394" s="70"/>
      <c r="H2394" s="400"/>
      <c r="I2394" s="239"/>
    </row>
    <row r="2395" spans="6:9" x14ac:dyDescent="0.35">
      <c r="F2395" s="33"/>
      <c r="G2395" s="70"/>
      <c r="H2395" s="400"/>
      <c r="I2395" s="239"/>
    </row>
    <row r="2396" spans="6:9" x14ac:dyDescent="0.35">
      <c r="F2396" s="33"/>
      <c r="G2396" s="70"/>
      <c r="H2396" s="400"/>
      <c r="I2396" s="239"/>
    </row>
    <row r="2397" spans="6:9" x14ac:dyDescent="0.35">
      <c r="F2397" s="33"/>
      <c r="G2397" s="70"/>
      <c r="H2397" s="400"/>
      <c r="I2397" s="239"/>
    </row>
    <row r="2398" spans="6:9" x14ac:dyDescent="0.35">
      <c r="F2398" s="33"/>
      <c r="G2398" s="70"/>
      <c r="H2398" s="400"/>
      <c r="I2398" s="239"/>
    </row>
    <row r="2399" spans="6:9" x14ac:dyDescent="0.35">
      <c r="F2399" s="33"/>
      <c r="G2399" s="70"/>
      <c r="H2399" s="400"/>
      <c r="I2399" s="239"/>
    </row>
    <row r="2400" spans="6:9" x14ac:dyDescent="0.35">
      <c r="F2400" s="33"/>
      <c r="G2400" s="70"/>
      <c r="H2400" s="400"/>
      <c r="I2400" s="239"/>
    </row>
    <row r="2401" spans="6:9" x14ac:dyDescent="0.35">
      <c r="F2401" s="33"/>
      <c r="G2401" s="70"/>
      <c r="H2401" s="400"/>
      <c r="I2401" s="239"/>
    </row>
    <row r="2402" spans="6:9" x14ac:dyDescent="0.35">
      <c r="F2402" s="33"/>
      <c r="G2402" s="70"/>
      <c r="H2402" s="400"/>
      <c r="I2402" s="239"/>
    </row>
    <row r="2403" spans="6:9" x14ac:dyDescent="0.35">
      <c r="F2403" s="33"/>
      <c r="G2403" s="70"/>
      <c r="H2403" s="400"/>
      <c r="I2403" s="239"/>
    </row>
    <row r="2404" spans="6:9" x14ac:dyDescent="0.35">
      <c r="F2404" s="33"/>
      <c r="G2404" s="70"/>
      <c r="H2404" s="400"/>
      <c r="I2404" s="239"/>
    </row>
    <row r="2405" spans="6:9" x14ac:dyDescent="0.35">
      <c r="F2405" s="33"/>
      <c r="G2405" s="70"/>
      <c r="H2405" s="400"/>
      <c r="I2405" s="239"/>
    </row>
    <row r="2406" spans="6:9" x14ac:dyDescent="0.35">
      <c r="F2406" s="33"/>
      <c r="G2406" s="70"/>
      <c r="H2406" s="400"/>
      <c r="I2406" s="239"/>
    </row>
    <row r="2407" spans="6:9" x14ac:dyDescent="0.35">
      <c r="F2407" s="33"/>
      <c r="G2407" s="70"/>
      <c r="H2407" s="400"/>
      <c r="I2407" s="239"/>
    </row>
    <row r="2408" spans="6:9" x14ac:dyDescent="0.35">
      <c r="F2408" s="33"/>
      <c r="G2408" s="70"/>
      <c r="H2408" s="400"/>
      <c r="I2408" s="239"/>
    </row>
    <row r="2409" spans="6:9" x14ac:dyDescent="0.35">
      <c r="F2409" s="33"/>
      <c r="G2409" s="70"/>
      <c r="H2409" s="400"/>
      <c r="I2409" s="239"/>
    </row>
    <row r="2410" spans="6:9" x14ac:dyDescent="0.35">
      <c r="F2410" s="33"/>
      <c r="G2410" s="70"/>
      <c r="H2410" s="400"/>
      <c r="I2410" s="239"/>
    </row>
    <row r="2411" spans="6:9" x14ac:dyDescent="0.35">
      <c r="F2411" s="33"/>
      <c r="G2411" s="70"/>
      <c r="H2411" s="400"/>
      <c r="I2411" s="239"/>
    </row>
    <row r="2412" spans="6:9" x14ac:dyDescent="0.35">
      <c r="F2412" s="33"/>
      <c r="G2412" s="70"/>
      <c r="H2412" s="400"/>
      <c r="I2412" s="239"/>
    </row>
    <row r="2413" spans="6:9" x14ac:dyDescent="0.35">
      <c r="F2413" s="33"/>
      <c r="G2413" s="70"/>
      <c r="H2413" s="400"/>
      <c r="I2413" s="239"/>
    </row>
    <row r="2414" spans="6:9" x14ac:dyDescent="0.35">
      <c r="F2414" s="33"/>
      <c r="G2414" s="70"/>
      <c r="H2414" s="400"/>
      <c r="I2414" s="239"/>
    </row>
    <row r="2415" spans="6:9" x14ac:dyDescent="0.35">
      <c r="F2415" s="33"/>
      <c r="G2415" s="70"/>
      <c r="H2415" s="400"/>
      <c r="I2415" s="239"/>
    </row>
    <row r="2416" spans="6:9" x14ac:dyDescent="0.35">
      <c r="F2416" s="33"/>
      <c r="G2416" s="70"/>
      <c r="H2416" s="400"/>
      <c r="I2416" s="239"/>
    </row>
    <row r="2417" spans="6:9" x14ac:dyDescent="0.35">
      <c r="F2417" s="33"/>
      <c r="G2417" s="70"/>
      <c r="H2417" s="400"/>
      <c r="I2417" s="239"/>
    </row>
    <row r="2418" spans="6:9" x14ac:dyDescent="0.35">
      <c r="F2418" s="33"/>
      <c r="G2418" s="70"/>
      <c r="H2418" s="400"/>
      <c r="I2418" s="239"/>
    </row>
    <row r="2419" spans="6:9" x14ac:dyDescent="0.35">
      <c r="F2419" s="33"/>
      <c r="G2419" s="70"/>
      <c r="H2419" s="400"/>
      <c r="I2419" s="239"/>
    </row>
    <row r="2420" spans="6:9" x14ac:dyDescent="0.35">
      <c r="F2420" s="33"/>
      <c r="G2420" s="70"/>
      <c r="H2420" s="400"/>
      <c r="I2420" s="239"/>
    </row>
    <row r="2421" spans="6:9" x14ac:dyDescent="0.35">
      <c r="F2421" s="33"/>
      <c r="G2421" s="70"/>
      <c r="H2421" s="400"/>
      <c r="I2421" s="239"/>
    </row>
    <row r="2422" spans="6:9" x14ac:dyDescent="0.35">
      <c r="F2422" s="33"/>
      <c r="G2422" s="70"/>
      <c r="H2422" s="400"/>
      <c r="I2422" s="239"/>
    </row>
    <row r="2423" spans="6:9" x14ac:dyDescent="0.35">
      <c r="F2423" s="33"/>
      <c r="G2423" s="70"/>
      <c r="H2423" s="400"/>
      <c r="I2423" s="239"/>
    </row>
    <row r="2424" spans="6:9" x14ac:dyDescent="0.35">
      <c r="F2424" s="33"/>
      <c r="G2424" s="70"/>
      <c r="H2424" s="400"/>
      <c r="I2424" s="239"/>
    </row>
    <row r="2425" spans="6:9" x14ac:dyDescent="0.35">
      <c r="F2425" s="33"/>
      <c r="G2425" s="70"/>
      <c r="H2425" s="400"/>
      <c r="I2425" s="239"/>
    </row>
    <row r="2426" spans="6:9" x14ac:dyDescent="0.35">
      <c r="F2426" s="33"/>
      <c r="G2426" s="70"/>
      <c r="H2426" s="400"/>
      <c r="I2426" s="239"/>
    </row>
    <row r="2427" spans="6:9" x14ac:dyDescent="0.35">
      <c r="F2427" s="33"/>
      <c r="G2427" s="70"/>
      <c r="H2427" s="400"/>
      <c r="I2427" s="239"/>
    </row>
    <row r="2428" spans="6:9" x14ac:dyDescent="0.35">
      <c r="F2428" s="33"/>
      <c r="G2428" s="70"/>
      <c r="H2428" s="400"/>
      <c r="I2428" s="239"/>
    </row>
    <row r="2429" spans="6:9" x14ac:dyDescent="0.35">
      <c r="F2429" s="33"/>
      <c r="G2429" s="70"/>
      <c r="H2429" s="400"/>
      <c r="I2429" s="239"/>
    </row>
    <row r="2430" spans="6:9" x14ac:dyDescent="0.35">
      <c r="F2430" s="33"/>
      <c r="G2430" s="70"/>
      <c r="H2430" s="400"/>
      <c r="I2430" s="239"/>
    </row>
    <row r="2431" spans="6:9" x14ac:dyDescent="0.35">
      <c r="F2431" s="33"/>
      <c r="G2431" s="70"/>
      <c r="H2431" s="400"/>
      <c r="I2431" s="239"/>
    </row>
    <row r="2432" spans="6:9" x14ac:dyDescent="0.35">
      <c r="F2432" s="33"/>
      <c r="G2432" s="70"/>
      <c r="H2432" s="400"/>
      <c r="I2432" s="239"/>
    </row>
    <row r="2433" spans="6:9" x14ac:dyDescent="0.35">
      <c r="F2433" s="33"/>
      <c r="G2433" s="70"/>
      <c r="H2433" s="400"/>
      <c r="I2433" s="239"/>
    </row>
    <row r="2434" spans="6:9" x14ac:dyDescent="0.35">
      <c r="F2434" s="33"/>
      <c r="G2434" s="70"/>
      <c r="H2434" s="400"/>
      <c r="I2434" s="239"/>
    </row>
    <row r="2435" spans="6:9" x14ac:dyDescent="0.35">
      <c r="F2435" s="33"/>
      <c r="G2435" s="70"/>
      <c r="H2435" s="400"/>
      <c r="I2435" s="239"/>
    </row>
    <row r="2436" spans="6:9" x14ac:dyDescent="0.35">
      <c r="F2436" s="33"/>
      <c r="G2436" s="70"/>
      <c r="H2436" s="400"/>
      <c r="I2436" s="239"/>
    </row>
    <row r="2437" spans="6:9" x14ac:dyDescent="0.35">
      <c r="F2437" s="33"/>
      <c r="G2437" s="70"/>
      <c r="H2437" s="400"/>
      <c r="I2437" s="239"/>
    </row>
    <row r="2438" spans="6:9" x14ac:dyDescent="0.35">
      <c r="F2438" s="33"/>
      <c r="G2438" s="70"/>
      <c r="H2438" s="400"/>
      <c r="I2438" s="239"/>
    </row>
    <row r="2439" spans="6:9" x14ac:dyDescent="0.35">
      <c r="F2439" s="33"/>
      <c r="G2439" s="70"/>
      <c r="H2439" s="400"/>
      <c r="I2439" s="239"/>
    </row>
    <row r="2440" spans="6:9" x14ac:dyDescent="0.35">
      <c r="F2440" s="33"/>
      <c r="G2440" s="70"/>
      <c r="H2440" s="400"/>
      <c r="I2440" s="239"/>
    </row>
    <row r="2441" spans="6:9" x14ac:dyDescent="0.35">
      <c r="F2441" s="33"/>
      <c r="G2441" s="70"/>
      <c r="H2441" s="400"/>
      <c r="I2441" s="239"/>
    </row>
    <row r="2442" spans="6:9" x14ac:dyDescent="0.35">
      <c r="F2442" s="33"/>
      <c r="G2442" s="70"/>
      <c r="H2442" s="400"/>
      <c r="I2442" s="239"/>
    </row>
    <row r="2443" spans="6:9" x14ac:dyDescent="0.35">
      <c r="F2443" s="33"/>
      <c r="G2443" s="70"/>
      <c r="H2443" s="400"/>
      <c r="I2443" s="239"/>
    </row>
    <row r="2444" spans="6:9" x14ac:dyDescent="0.35">
      <c r="F2444" s="33"/>
      <c r="G2444" s="70"/>
      <c r="H2444" s="400"/>
      <c r="I2444" s="239"/>
    </row>
    <row r="2445" spans="6:9" x14ac:dyDescent="0.35">
      <c r="F2445" s="33"/>
      <c r="G2445" s="70"/>
      <c r="H2445" s="400"/>
      <c r="I2445" s="239"/>
    </row>
    <row r="2446" spans="6:9" x14ac:dyDescent="0.35">
      <c r="F2446" s="33"/>
      <c r="G2446" s="70"/>
      <c r="H2446" s="400"/>
      <c r="I2446" s="239"/>
    </row>
    <row r="2447" spans="6:9" x14ac:dyDescent="0.35">
      <c r="F2447" s="33"/>
      <c r="G2447" s="70"/>
      <c r="H2447" s="400"/>
      <c r="I2447" s="239"/>
    </row>
    <row r="2448" spans="6:9" x14ac:dyDescent="0.35">
      <c r="F2448" s="33"/>
      <c r="G2448" s="70"/>
      <c r="H2448" s="400"/>
      <c r="I2448" s="239"/>
    </row>
    <row r="2449" spans="6:9" x14ac:dyDescent="0.35">
      <c r="F2449" s="33"/>
      <c r="G2449" s="70"/>
      <c r="H2449" s="400"/>
      <c r="I2449" s="239"/>
    </row>
    <row r="2450" spans="6:9" x14ac:dyDescent="0.35">
      <c r="F2450" s="33"/>
      <c r="G2450" s="70"/>
      <c r="H2450" s="400"/>
      <c r="I2450" s="239"/>
    </row>
    <row r="2451" spans="6:9" x14ac:dyDescent="0.35">
      <c r="F2451" s="33"/>
      <c r="G2451" s="70"/>
      <c r="H2451" s="400"/>
      <c r="I2451" s="239"/>
    </row>
    <row r="2452" spans="6:9" x14ac:dyDescent="0.35">
      <c r="F2452" s="33"/>
      <c r="G2452" s="70"/>
      <c r="H2452" s="400"/>
      <c r="I2452" s="239"/>
    </row>
    <row r="2453" spans="6:9" x14ac:dyDescent="0.35">
      <c r="F2453" s="33"/>
      <c r="G2453" s="70"/>
      <c r="H2453" s="400"/>
      <c r="I2453" s="239"/>
    </row>
    <row r="2454" spans="6:9" x14ac:dyDescent="0.35">
      <c r="F2454" s="33"/>
      <c r="G2454" s="70"/>
      <c r="H2454" s="400"/>
      <c r="I2454" s="239"/>
    </row>
    <row r="2455" spans="6:9" x14ac:dyDescent="0.35">
      <c r="F2455" s="33"/>
      <c r="G2455" s="70"/>
      <c r="H2455" s="400"/>
      <c r="I2455" s="239"/>
    </row>
    <row r="2456" spans="6:9" x14ac:dyDescent="0.35">
      <c r="F2456" s="33"/>
      <c r="G2456" s="70"/>
      <c r="H2456" s="400"/>
      <c r="I2456" s="239"/>
    </row>
    <row r="2457" spans="6:9" x14ac:dyDescent="0.35">
      <c r="F2457" s="33"/>
      <c r="G2457" s="70"/>
      <c r="H2457" s="400"/>
      <c r="I2457" s="239"/>
    </row>
    <row r="2458" spans="6:9" x14ac:dyDescent="0.35">
      <c r="F2458" s="33"/>
      <c r="G2458" s="70"/>
      <c r="H2458" s="400"/>
      <c r="I2458" s="239"/>
    </row>
    <row r="2459" spans="6:9" x14ac:dyDescent="0.35">
      <c r="F2459" s="33"/>
      <c r="G2459" s="70"/>
      <c r="H2459" s="400"/>
      <c r="I2459" s="239"/>
    </row>
    <row r="2460" spans="6:9" x14ac:dyDescent="0.35">
      <c r="F2460" s="33"/>
      <c r="G2460" s="70"/>
      <c r="H2460" s="400"/>
      <c r="I2460" s="239"/>
    </row>
    <row r="2461" spans="6:9" x14ac:dyDescent="0.35">
      <c r="F2461" s="33"/>
      <c r="G2461" s="70"/>
      <c r="H2461" s="400"/>
      <c r="I2461" s="239"/>
    </row>
    <row r="2462" spans="6:9" x14ac:dyDescent="0.35">
      <c r="F2462" s="33"/>
      <c r="G2462" s="70"/>
      <c r="H2462" s="400"/>
      <c r="I2462" s="239"/>
    </row>
    <row r="2463" spans="6:9" x14ac:dyDescent="0.35">
      <c r="F2463" s="33"/>
      <c r="G2463" s="70"/>
      <c r="H2463" s="400"/>
      <c r="I2463" s="239"/>
    </row>
    <row r="2464" spans="6:9" x14ac:dyDescent="0.35">
      <c r="F2464" s="33"/>
      <c r="G2464" s="70"/>
      <c r="H2464" s="400"/>
      <c r="I2464" s="239"/>
    </row>
    <row r="2465" spans="6:9" x14ac:dyDescent="0.35">
      <c r="F2465" s="33"/>
      <c r="G2465" s="70"/>
      <c r="H2465" s="400"/>
      <c r="I2465" s="239"/>
    </row>
    <row r="2466" spans="6:9" x14ac:dyDescent="0.35">
      <c r="F2466" s="33"/>
      <c r="G2466" s="70"/>
      <c r="H2466" s="400"/>
      <c r="I2466" s="239"/>
    </row>
    <row r="2467" spans="6:9" x14ac:dyDescent="0.35">
      <c r="F2467" s="33"/>
      <c r="G2467" s="70"/>
      <c r="H2467" s="400"/>
      <c r="I2467" s="239"/>
    </row>
    <row r="2468" spans="6:9" x14ac:dyDescent="0.35">
      <c r="F2468" s="33"/>
      <c r="G2468" s="70"/>
      <c r="H2468" s="400"/>
      <c r="I2468" s="239"/>
    </row>
    <row r="2469" spans="6:9" x14ac:dyDescent="0.35">
      <c r="F2469" s="33"/>
      <c r="G2469" s="70"/>
      <c r="H2469" s="400"/>
      <c r="I2469" s="239"/>
    </row>
    <row r="2470" spans="6:9" x14ac:dyDescent="0.35">
      <c r="F2470" s="33"/>
      <c r="G2470" s="70"/>
      <c r="H2470" s="400"/>
      <c r="I2470" s="239"/>
    </row>
    <row r="2471" spans="6:9" x14ac:dyDescent="0.35">
      <c r="F2471" s="33"/>
      <c r="G2471" s="70"/>
      <c r="H2471" s="400"/>
      <c r="I2471" s="239"/>
    </row>
    <row r="2472" spans="6:9" x14ac:dyDescent="0.35">
      <c r="F2472" s="33"/>
      <c r="G2472" s="70"/>
      <c r="H2472" s="400"/>
      <c r="I2472" s="239"/>
    </row>
    <row r="2473" spans="6:9" x14ac:dyDescent="0.35">
      <c r="F2473" s="33"/>
      <c r="G2473" s="70"/>
      <c r="H2473" s="400"/>
      <c r="I2473" s="239"/>
    </row>
    <row r="2474" spans="6:9" x14ac:dyDescent="0.35">
      <c r="F2474" s="33"/>
      <c r="G2474" s="70"/>
      <c r="H2474" s="400"/>
      <c r="I2474" s="239"/>
    </row>
    <row r="2475" spans="6:9" x14ac:dyDescent="0.35">
      <c r="F2475" s="33"/>
      <c r="G2475" s="70"/>
      <c r="H2475" s="400"/>
      <c r="I2475" s="239"/>
    </row>
    <row r="2476" spans="6:9" x14ac:dyDescent="0.35">
      <c r="F2476" s="33"/>
      <c r="G2476" s="70"/>
      <c r="H2476" s="400"/>
      <c r="I2476" s="239"/>
    </row>
    <row r="2477" spans="6:9" x14ac:dyDescent="0.35">
      <c r="F2477" s="33"/>
      <c r="G2477" s="70"/>
      <c r="H2477" s="400"/>
      <c r="I2477" s="239"/>
    </row>
    <row r="2478" spans="6:9" x14ac:dyDescent="0.35">
      <c r="F2478" s="33"/>
      <c r="G2478" s="70"/>
      <c r="H2478" s="400"/>
      <c r="I2478" s="239"/>
    </row>
    <row r="2479" spans="6:9" x14ac:dyDescent="0.35">
      <c r="F2479" s="33"/>
      <c r="G2479" s="70"/>
      <c r="H2479" s="400"/>
      <c r="I2479" s="239"/>
    </row>
    <row r="2480" spans="6:9" x14ac:dyDescent="0.35">
      <c r="F2480" s="33"/>
      <c r="G2480" s="70"/>
      <c r="H2480" s="400"/>
      <c r="I2480" s="239"/>
    </row>
    <row r="2481" spans="6:9" x14ac:dyDescent="0.35">
      <c r="F2481" s="33"/>
      <c r="G2481" s="70"/>
      <c r="H2481" s="400"/>
      <c r="I2481" s="239"/>
    </row>
    <row r="2482" spans="6:9" x14ac:dyDescent="0.35">
      <c r="F2482" s="33"/>
      <c r="G2482" s="70"/>
      <c r="H2482" s="400"/>
      <c r="I2482" s="239"/>
    </row>
    <row r="2483" spans="6:9" x14ac:dyDescent="0.35">
      <c r="F2483" s="33"/>
      <c r="G2483" s="70"/>
      <c r="H2483" s="400"/>
      <c r="I2483" s="239"/>
    </row>
    <row r="2484" spans="6:9" x14ac:dyDescent="0.35">
      <c r="F2484" s="33"/>
      <c r="G2484" s="70"/>
      <c r="H2484" s="400"/>
      <c r="I2484" s="239"/>
    </row>
    <row r="2485" spans="6:9" x14ac:dyDescent="0.35">
      <c r="F2485" s="33"/>
      <c r="G2485" s="70"/>
      <c r="H2485" s="400"/>
      <c r="I2485" s="239"/>
    </row>
    <row r="2486" spans="6:9" x14ac:dyDescent="0.35">
      <c r="F2486" s="33"/>
      <c r="G2486" s="70"/>
      <c r="H2486" s="400"/>
      <c r="I2486" s="239"/>
    </row>
    <row r="2487" spans="6:9" x14ac:dyDescent="0.35">
      <c r="F2487" s="33"/>
      <c r="G2487" s="70"/>
      <c r="H2487" s="400"/>
      <c r="I2487" s="239"/>
    </row>
    <row r="2488" spans="6:9" x14ac:dyDescent="0.35">
      <c r="F2488" s="33"/>
      <c r="G2488" s="70"/>
      <c r="H2488" s="400"/>
      <c r="I2488" s="239"/>
    </row>
    <row r="2489" spans="6:9" x14ac:dyDescent="0.35">
      <c r="F2489" s="33"/>
      <c r="G2489" s="70"/>
      <c r="H2489" s="400"/>
      <c r="I2489" s="239"/>
    </row>
    <row r="2490" spans="6:9" x14ac:dyDescent="0.35">
      <c r="F2490" s="33"/>
      <c r="G2490" s="70"/>
      <c r="H2490" s="400"/>
      <c r="I2490" s="239"/>
    </row>
    <row r="2491" spans="6:9" x14ac:dyDescent="0.35">
      <c r="F2491" s="33"/>
      <c r="G2491" s="70"/>
      <c r="H2491" s="400"/>
      <c r="I2491" s="239"/>
    </row>
    <row r="2492" spans="6:9" x14ac:dyDescent="0.35">
      <c r="F2492" s="33"/>
      <c r="G2492" s="70"/>
      <c r="H2492" s="400"/>
      <c r="I2492" s="239"/>
    </row>
    <row r="2493" spans="6:9" x14ac:dyDescent="0.35">
      <c r="F2493" s="33"/>
      <c r="G2493" s="70"/>
      <c r="H2493" s="400"/>
      <c r="I2493" s="239"/>
    </row>
    <row r="2494" spans="6:9" x14ac:dyDescent="0.35">
      <c r="F2494" s="33"/>
      <c r="G2494" s="70"/>
      <c r="H2494" s="400"/>
      <c r="I2494" s="239"/>
    </row>
    <row r="2495" spans="6:9" x14ac:dyDescent="0.35">
      <c r="F2495" s="33"/>
      <c r="G2495" s="70"/>
      <c r="H2495" s="400"/>
      <c r="I2495" s="239"/>
    </row>
    <row r="2496" spans="6:9" x14ac:dyDescent="0.35">
      <c r="F2496" s="33"/>
      <c r="G2496" s="70"/>
      <c r="H2496" s="400"/>
      <c r="I2496" s="239"/>
    </row>
    <row r="2497" spans="6:9" x14ac:dyDescent="0.35">
      <c r="F2497" s="33"/>
      <c r="G2497" s="70"/>
      <c r="H2497" s="400"/>
      <c r="I2497" s="239"/>
    </row>
    <row r="2498" spans="6:9" x14ac:dyDescent="0.35">
      <c r="F2498" s="33"/>
      <c r="G2498" s="70"/>
      <c r="H2498" s="400"/>
      <c r="I2498" s="239"/>
    </row>
    <row r="2499" spans="6:9" x14ac:dyDescent="0.35">
      <c r="F2499" s="33"/>
      <c r="G2499" s="70"/>
      <c r="H2499" s="400"/>
      <c r="I2499" s="239"/>
    </row>
    <row r="2500" spans="6:9" x14ac:dyDescent="0.35">
      <c r="F2500" s="33"/>
      <c r="G2500" s="70"/>
      <c r="H2500" s="400"/>
      <c r="I2500" s="239"/>
    </row>
    <row r="2501" spans="6:9" x14ac:dyDescent="0.35">
      <c r="F2501" s="33"/>
      <c r="G2501" s="70"/>
      <c r="H2501" s="400"/>
      <c r="I2501" s="239"/>
    </row>
    <row r="2502" spans="6:9" x14ac:dyDescent="0.35">
      <c r="F2502" s="33"/>
      <c r="G2502" s="70"/>
      <c r="H2502" s="400"/>
      <c r="I2502" s="239"/>
    </row>
    <row r="2503" spans="6:9" x14ac:dyDescent="0.35">
      <c r="F2503" s="33"/>
      <c r="G2503" s="70"/>
      <c r="H2503" s="400"/>
      <c r="I2503" s="239"/>
    </row>
    <row r="2504" spans="6:9" x14ac:dyDescent="0.35">
      <c r="F2504" s="33"/>
      <c r="G2504" s="70"/>
      <c r="H2504" s="400"/>
      <c r="I2504" s="239"/>
    </row>
    <row r="2505" spans="6:9" x14ac:dyDescent="0.35">
      <c r="F2505" s="33"/>
      <c r="G2505" s="70"/>
      <c r="H2505" s="400"/>
      <c r="I2505" s="239"/>
    </row>
    <row r="2506" spans="6:9" x14ac:dyDescent="0.35">
      <c r="F2506" s="33"/>
      <c r="G2506" s="70"/>
      <c r="H2506" s="400"/>
      <c r="I2506" s="239"/>
    </row>
    <row r="2507" spans="6:9" x14ac:dyDescent="0.35">
      <c r="F2507" s="33"/>
      <c r="G2507" s="70"/>
      <c r="H2507" s="400"/>
      <c r="I2507" s="239"/>
    </row>
    <row r="2508" spans="6:9" x14ac:dyDescent="0.35">
      <c r="F2508" s="33"/>
      <c r="G2508" s="70"/>
      <c r="H2508" s="400"/>
      <c r="I2508" s="239"/>
    </row>
    <row r="2509" spans="6:9" x14ac:dyDescent="0.35">
      <c r="F2509" s="33"/>
      <c r="G2509" s="70"/>
      <c r="H2509" s="400"/>
      <c r="I2509" s="239"/>
    </row>
    <row r="2510" spans="6:9" x14ac:dyDescent="0.35">
      <c r="F2510" s="33"/>
      <c r="G2510" s="70"/>
      <c r="H2510" s="400"/>
      <c r="I2510" s="239"/>
    </row>
    <row r="2511" spans="6:9" x14ac:dyDescent="0.35">
      <c r="F2511" s="33"/>
      <c r="G2511" s="70"/>
      <c r="H2511" s="400"/>
      <c r="I2511" s="239"/>
    </row>
    <row r="2512" spans="6:9" x14ac:dyDescent="0.35">
      <c r="F2512" s="33"/>
      <c r="G2512" s="70"/>
      <c r="H2512" s="400"/>
      <c r="I2512" s="239"/>
    </row>
    <row r="2513" spans="6:9" x14ac:dyDescent="0.35">
      <c r="F2513" s="33"/>
      <c r="G2513" s="70"/>
      <c r="H2513" s="400"/>
      <c r="I2513" s="239"/>
    </row>
    <row r="2514" spans="6:9" x14ac:dyDescent="0.35">
      <c r="F2514" s="33"/>
      <c r="G2514" s="70"/>
      <c r="H2514" s="400"/>
      <c r="I2514" s="239"/>
    </row>
    <row r="2515" spans="6:9" x14ac:dyDescent="0.35">
      <c r="F2515" s="33"/>
      <c r="G2515" s="70"/>
      <c r="H2515" s="400"/>
      <c r="I2515" s="239"/>
    </row>
    <row r="2516" spans="6:9" x14ac:dyDescent="0.35">
      <c r="F2516" s="33"/>
      <c r="G2516" s="70"/>
      <c r="H2516" s="400"/>
      <c r="I2516" s="239"/>
    </row>
    <row r="2517" spans="6:9" x14ac:dyDescent="0.35">
      <c r="F2517" s="33"/>
      <c r="G2517" s="70"/>
      <c r="H2517" s="400"/>
      <c r="I2517" s="239"/>
    </row>
    <row r="2518" spans="6:9" x14ac:dyDescent="0.35">
      <c r="F2518" s="33"/>
      <c r="G2518" s="70"/>
      <c r="H2518" s="400"/>
      <c r="I2518" s="239"/>
    </row>
    <row r="2519" spans="6:9" x14ac:dyDescent="0.35">
      <c r="F2519" s="33"/>
      <c r="G2519" s="70"/>
      <c r="H2519" s="400"/>
      <c r="I2519" s="239"/>
    </row>
    <row r="2520" spans="6:9" x14ac:dyDescent="0.35">
      <c r="F2520" s="33"/>
      <c r="G2520" s="70"/>
      <c r="H2520" s="400"/>
      <c r="I2520" s="239"/>
    </row>
    <row r="2521" spans="6:9" x14ac:dyDescent="0.35">
      <c r="F2521" s="33"/>
      <c r="G2521" s="70"/>
      <c r="H2521" s="400"/>
      <c r="I2521" s="239"/>
    </row>
    <row r="2522" spans="6:9" x14ac:dyDescent="0.35">
      <c r="F2522" s="33"/>
      <c r="G2522" s="70"/>
      <c r="H2522" s="400"/>
      <c r="I2522" s="239"/>
    </row>
    <row r="2523" spans="6:9" x14ac:dyDescent="0.35">
      <c r="F2523" s="33"/>
      <c r="G2523" s="70"/>
      <c r="H2523" s="400"/>
      <c r="I2523" s="239"/>
    </row>
    <row r="2524" spans="6:9" x14ac:dyDescent="0.35">
      <c r="F2524" s="33"/>
      <c r="G2524" s="70"/>
      <c r="H2524" s="400"/>
      <c r="I2524" s="239"/>
    </row>
    <row r="2525" spans="6:9" x14ac:dyDescent="0.35">
      <c r="F2525" s="33"/>
      <c r="G2525" s="70"/>
      <c r="H2525" s="400"/>
      <c r="I2525" s="239"/>
    </row>
    <row r="2526" spans="6:9" x14ac:dyDescent="0.35">
      <c r="F2526" s="33"/>
      <c r="G2526" s="70"/>
      <c r="H2526" s="400"/>
      <c r="I2526" s="239"/>
    </row>
    <row r="2527" spans="6:9" x14ac:dyDescent="0.35">
      <c r="F2527" s="33"/>
      <c r="G2527" s="70"/>
      <c r="H2527" s="400"/>
      <c r="I2527" s="239"/>
    </row>
    <row r="2528" spans="6:9" x14ac:dyDescent="0.35">
      <c r="F2528" s="33"/>
      <c r="G2528" s="70"/>
      <c r="H2528" s="400"/>
      <c r="I2528" s="239"/>
    </row>
    <row r="2529" spans="6:9" x14ac:dyDescent="0.35">
      <c r="F2529" s="33"/>
      <c r="G2529" s="70"/>
      <c r="H2529" s="400"/>
      <c r="I2529" s="239"/>
    </row>
    <row r="2530" spans="6:9" x14ac:dyDescent="0.35">
      <c r="F2530" s="33"/>
      <c r="G2530" s="70"/>
      <c r="H2530" s="400"/>
      <c r="I2530" s="239"/>
    </row>
    <row r="2531" spans="6:9" x14ac:dyDescent="0.35">
      <c r="F2531" s="33"/>
      <c r="G2531" s="70"/>
      <c r="H2531" s="400"/>
      <c r="I2531" s="239"/>
    </row>
    <row r="2532" spans="6:9" x14ac:dyDescent="0.35">
      <c r="F2532" s="33"/>
      <c r="G2532" s="70"/>
      <c r="H2532" s="400"/>
      <c r="I2532" s="239"/>
    </row>
    <row r="2533" spans="6:9" x14ac:dyDescent="0.35">
      <c r="F2533" s="33"/>
      <c r="G2533" s="70"/>
      <c r="H2533" s="400"/>
      <c r="I2533" s="239"/>
    </row>
    <row r="2534" spans="6:9" x14ac:dyDescent="0.35">
      <c r="F2534" s="33"/>
      <c r="G2534" s="70"/>
      <c r="H2534" s="400"/>
      <c r="I2534" s="239"/>
    </row>
    <row r="2535" spans="6:9" x14ac:dyDescent="0.35">
      <c r="F2535" s="33"/>
      <c r="G2535" s="70"/>
      <c r="H2535" s="400"/>
      <c r="I2535" s="239"/>
    </row>
    <row r="2536" spans="6:9" x14ac:dyDescent="0.35">
      <c r="F2536" s="33"/>
      <c r="G2536" s="70"/>
      <c r="H2536" s="400"/>
      <c r="I2536" s="239"/>
    </row>
    <row r="2537" spans="6:9" x14ac:dyDescent="0.35">
      <c r="F2537" s="33"/>
      <c r="G2537" s="70"/>
      <c r="H2537" s="400"/>
      <c r="I2537" s="239"/>
    </row>
    <row r="2538" spans="6:9" x14ac:dyDescent="0.35">
      <c r="F2538" s="33"/>
      <c r="G2538" s="70"/>
      <c r="H2538" s="400"/>
      <c r="I2538" s="239"/>
    </row>
    <row r="2539" spans="6:9" x14ac:dyDescent="0.35">
      <c r="F2539" s="33"/>
      <c r="G2539" s="70"/>
      <c r="H2539" s="400"/>
      <c r="I2539" s="239"/>
    </row>
    <row r="2540" spans="6:9" x14ac:dyDescent="0.35">
      <c r="F2540" s="33"/>
      <c r="G2540" s="70"/>
      <c r="H2540" s="400"/>
      <c r="I2540" s="239"/>
    </row>
    <row r="2541" spans="6:9" x14ac:dyDescent="0.35">
      <c r="F2541" s="33"/>
      <c r="G2541" s="70"/>
      <c r="H2541" s="400"/>
      <c r="I2541" s="239"/>
    </row>
    <row r="2542" spans="6:9" x14ac:dyDescent="0.35">
      <c r="F2542" s="33"/>
      <c r="G2542" s="70"/>
      <c r="H2542" s="400"/>
      <c r="I2542" s="239"/>
    </row>
    <row r="2543" spans="6:9" x14ac:dyDescent="0.35">
      <c r="F2543" s="33"/>
      <c r="G2543" s="70"/>
      <c r="H2543" s="400"/>
      <c r="I2543" s="239"/>
    </row>
    <row r="2544" spans="6:9" x14ac:dyDescent="0.35">
      <c r="F2544" s="33"/>
      <c r="G2544" s="70"/>
      <c r="H2544" s="400"/>
      <c r="I2544" s="239"/>
    </row>
    <row r="2545" spans="6:9" x14ac:dyDescent="0.35">
      <c r="F2545" s="33"/>
      <c r="G2545" s="70"/>
      <c r="H2545" s="400"/>
      <c r="I2545" s="239"/>
    </row>
    <row r="2546" spans="6:9" x14ac:dyDescent="0.35">
      <c r="F2546" s="33"/>
      <c r="G2546" s="70"/>
      <c r="H2546" s="400"/>
      <c r="I2546" s="239"/>
    </row>
    <row r="2547" spans="6:9" x14ac:dyDescent="0.35">
      <c r="F2547" s="33"/>
      <c r="G2547" s="70"/>
      <c r="H2547" s="400"/>
      <c r="I2547" s="239"/>
    </row>
    <row r="2548" spans="6:9" x14ac:dyDescent="0.35">
      <c r="F2548" s="33"/>
      <c r="G2548" s="70"/>
      <c r="H2548" s="400"/>
      <c r="I2548" s="239"/>
    </row>
    <row r="2549" spans="6:9" x14ac:dyDescent="0.35">
      <c r="F2549" s="33"/>
      <c r="G2549" s="70"/>
      <c r="H2549" s="400"/>
      <c r="I2549" s="239"/>
    </row>
    <row r="2550" spans="6:9" x14ac:dyDescent="0.35">
      <c r="F2550" s="33"/>
      <c r="G2550" s="70"/>
      <c r="H2550" s="400"/>
      <c r="I2550" s="239"/>
    </row>
    <row r="2551" spans="6:9" x14ac:dyDescent="0.35">
      <c r="F2551" s="33"/>
      <c r="G2551" s="70"/>
      <c r="H2551" s="400"/>
      <c r="I2551" s="239"/>
    </row>
    <row r="2552" spans="6:9" x14ac:dyDescent="0.35">
      <c r="F2552" s="33"/>
      <c r="G2552" s="70"/>
      <c r="H2552" s="400"/>
      <c r="I2552" s="239"/>
    </row>
    <row r="2553" spans="6:9" x14ac:dyDescent="0.35">
      <c r="F2553" s="33"/>
      <c r="G2553" s="70"/>
      <c r="H2553" s="400"/>
      <c r="I2553" s="239"/>
    </row>
    <row r="2554" spans="6:9" x14ac:dyDescent="0.35">
      <c r="F2554" s="33"/>
      <c r="G2554" s="70"/>
      <c r="H2554" s="400"/>
      <c r="I2554" s="239"/>
    </row>
    <row r="2555" spans="6:9" x14ac:dyDescent="0.35">
      <c r="F2555" s="33"/>
      <c r="G2555" s="70"/>
      <c r="H2555" s="400"/>
      <c r="I2555" s="239"/>
    </row>
    <row r="2556" spans="6:9" x14ac:dyDescent="0.35">
      <c r="F2556" s="33"/>
      <c r="G2556" s="70"/>
      <c r="H2556" s="400"/>
      <c r="I2556" s="239"/>
    </row>
    <row r="2557" spans="6:9" x14ac:dyDescent="0.35">
      <c r="F2557" s="33"/>
      <c r="G2557" s="70"/>
      <c r="H2557" s="400"/>
      <c r="I2557" s="239"/>
    </row>
    <row r="2558" spans="6:9" x14ac:dyDescent="0.35">
      <c r="F2558" s="33"/>
      <c r="G2558" s="70"/>
      <c r="H2558" s="400"/>
      <c r="I2558" s="239"/>
    </row>
    <row r="2559" spans="6:9" x14ac:dyDescent="0.35">
      <c r="F2559" s="33"/>
      <c r="G2559" s="70"/>
      <c r="H2559" s="400"/>
      <c r="I2559" s="239"/>
    </row>
    <row r="2560" spans="6:9" x14ac:dyDescent="0.35">
      <c r="F2560" s="33"/>
      <c r="G2560" s="70"/>
      <c r="H2560" s="400"/>
      <c r="I2560" s="239"/>
    </row>
    <row r="2561" spans="6:9" x14ac:dyDescent="0.35">
      <c r="F2561" s="33"/>
      <c r="G2561" s="70"/>
      <c r="H2561" s="400"/>
      <c r="I2561" s="239"/>
    </row>
    <row r="2562" spans="6:9" x14ac:dyDescent="0.35">
      <c r="F2562" s="33"/>
      <c r="G2562" s="70"/>
      <c r="H2562" s="400"/>
      <c r="I2562" s="239"/>
    </row>
    <row r="2563" spans="6:9" x14ac:dyDescent="0.35">
      <c r="F2563" s="33"/>
      <c r="G2563" s="70"/>
      <c r="H2563" s="400"/>
      <c r="I2563" s="239"/>
    </row>
    <row r="2564" spans="6:9" x14ac:dyDescent="0.35">
      <c r="F2564" s="33"/>
      <c r="G2564" s="70"/>
      <c r="H2564" s="400"/>
      <c r="I2564" s="239"/>
    </row>
    <row r="2565" spans="6:9" x14ac:dyDescent="0.35">
      <c r="F2565" s="33"/>
      <c r="G2565" s="70"/>
      <c r="H2565" s="400"/>
      <c r="I2565" s="239"/>
    </row>
    <row r="2566" spans="6:9" x14ac:dyDescent="0.35">
      <c r="F2566" s="33"/>
      <c r="G2566" s="70"/>
      <c r="H2566" s="400"/>
      <c r="I2566" s="239"/>
    </row>
    <row r="2567" spans="6:9" x14ac:dyDescent="0.35">
      <c r="F2567" s="33"/>
      <c r="G2567" s="70"/>
      <c r="H2567" s="400"/>
      <c r="I2567" s="239"/>
    </row>
    <row r="2568" spans="6:9" x14ac:dyDescent="0.35">
      <c r="F2568" s="33"/>
      <c r="G2568" s="70"/>
      <c r="H2568" s="400"/>
      <c r="I2568" s="239"/>
    </row>
    <row r="2569" spans="6:9" x14ac:dyDescent="0.35">
      <c r="F2569" s="33"/>
      <c r="G2569" s="70"/>
      <c r="H2569" s="400"/>
      <c r="I2569" s="239"/>
    </row>
    <row r="2570" spans="6:9" x14ac:dyDescent="0.35">
      <c r="F2570" s="33"/>
      <c r="G2570" s="70"/>
      <c r="H2570" s="400"/>
      <c r="I2570" s="239"/>
    </row>
    <row r="2571" spans="6:9" x14ac:dyDescent="0.35">
      <c r="F2571" s="33"/>
      <c r="G2571" s="70"/>
      <c r="H2571" s="400"/>
      <c r="I2571" s="239"/>
    </row>
    <row r="2572" spans="6:9" x14ac:dyDescent="0.35">
      <c r="F2572" s="33"/>
      <c r="G2572" s="70"/>
      <c r="H2572" s="400"/>
      <c r="I2572" s="239"/>
    </row>
    <row r="2573" spans="6:9" x14ac:dyDescent="0.35">
      <c r="F2573" s="33"/>
      <c r="G2573" s="70"/>
      <c r="H2573" s="400"/>
      <c r="I2573" s="239"/>
    </row>
    <row r="2574" spans="6:9" x14ac:dyDescent="0.35">
      <c r="F2574" s="33"/>
      <c r="G2574" s="70"/>
      <c r="H2574" s="400"/>
      <c r="I2574" s="239"/>
    </row>
    <row r="2575" spans="6:9" x14ac:dyDescent="0.35">
      <c r="F2575" s="33"/>
      <c r="G2575" s="70"/>
      <c r="H2575" s="400"/>
      <c r="I2575" s="239"/>
    </row>
    <row r="2576" spans="6:9" x14ac:dyDescent="0.35">
      <c r="F2576" s="33"/>
      <c r="G2576" s="70"/>
      <c r="H2576" s="400"/>
      <c r="I2576" s="239"/>
    </row>
    <row r="2577" spans="6:9" x14ac:dyDescent="0.35">
      <c r="F2577" s="33"/>
      <c r="G2577" s="70"/>
      <c r="H2577" s="400"/>
      <c r="I2577" s="239"/>
    </row>
    <row r="2578" spans="6:9" x14ac:dyDescent="0.35">
      <c r="F2578" s="33"/>
      <c r="G2578" s="70"/>
      <c r="H2578" s="400"/>
      <c r="I2578" s="239"/>
    </row>
    <row r="2579" spans="6:9" x14ac:dyDescent="0.35">
      <c r="F2579" s="33"/>
      <c r="G2579" s="70"/>
      <c r="H2579" s="400"/>
      <c r="I2579" s="239"/>
    </row>
    <row r="2580" spans="6:9" x14ac:dyDescent="0.35">
      <c r="F2580" s="33"/>
      <c r="G2580" s="70"/>
      <c r="H2580" s="400"/>
      <c r="I2580" s="239"/>
    </row>
    <row r="2581" spans="6:9" x14ac:dyDescent="0.35">
      <c r="F2581" s="33"/>
      <c r="G2581" s="70"/>
      <c r="H2581" s="400"/>
      <c r="I2581" s="239"/>
    </row>
    <row r="2582" spans="6:9" x14ac:dyDescent="0.35">
      <c r="F2582" s="33"/>
      <c r="G2582" s="70"/>
      <c r="H2582" s="400"/>
      <c r="I2582" s="239"/>
    </row>
    <row r="2583" spans="6:9" x14ac:dyDescent="0.35">
      <c r="F2583" s="33"/>
      <c r="G2583" s="70"/>
      <c r="H2583" s="400"/>
      <c r="I2583" s="239"/>
    </row>
    <row r="2584" spans="6:9" x14ac:dyDescent="0.35">
      <c r="F2584" s="33"/>
      <c r="G2584" s="70"/>
      <c r="H2584" s="400"/>
      <c r="I2584" s="239"/>
    </row>
    <row r="2585" spans="6:9" x14ac:dyDescent="0.35">
      <c r="F2585" s="33"/>
      <c r="G2585" s="70"/>
      <c r="H2585" s="400"/>
      <c r="I2585" s="239"/>
    </row>
    <row r="2586" spans="6:9" x14ac:dyDescent="0.35">
      <c r="F2586" s="33"/>
      <c r="G2586" s="70"/>
      <c r="H2586" s="400"/>
      <c r="I2586" s="239"/>
    </row>
    <row r="2587" spans="6:9" x14ac:dyDescent="0.35">
      <c r="F2587" s="33"/>
      <c r="G2587" s="70"/>
      <c r="H2587" s="400"/>
      <c r="I2587" s="239"/>
    </row>
    <row r="2588" spans="6:9" x14ac:dyDescent="0.35">
      <c r="F2588" s="33"/>
      <c r="G2588" s="70"/>
      <c r="H2588" s="400"/>
      <c r="I2588" s="239"/>
    </row>
    <row r="2589" spans="6:9" x14ac:dyDescent="0.35">
      <c r="F2589" s="33"/>
      <c r="G2589" s="70"/>
      <c r="H2589" s="400"/>
      <c r="I2589" s="239"/>
    </row>
    <row r="2590" spans="6:9" x14ac:dyDescent="0.35">
      <c r="F2590" s="33"/>
      <c r="G2590" s="70"/>
      <c r="H2590" s="400"/>
      <c r="I2590" s="239"/>
    </row>
    <row r="2591" spans="6:9" x14ac:dyDescent="0.35">
      <c r="F2591" s="33"/>
      <c r="G2591" s="70"/>
      <c r="H2591" s="400"/>
      <c r="I2591" s="239"/>
    </row>
    <row r="2592" spans="6:9" x14ac:dyDescent="0.35">
      <c r="F2592" s="33"/>
      <c r="G2592" s="70"/>
      <c r="H2592" s="400"/>
      <c r="I2592" s="239"/>
    </row>
    <row r="2593" spans="6:9" x14ac:dyDescent="0.35">
      <c r="F2593" s="33"/>
      <c r="G2593" s="70"/>
      <c r="H2593" s="400"/>
      <c r="I2593" s="239"/>
    </row>
    <row r="2594" spans="6:9" x14ac:dyDescent="0.35">
      <c r="F2594" s="33"/>
      <c r="G2594" s="70"/>
      <c r="H2594" s="400"/>
      <c r="I2594" s="239"/>
    </row>
    <row r="2595" spans="6:9" x14ac:dyDescent="0.35">
      <c r="F2595" s="33"/>
      <c r="G2595" s="70"/>
      <c r="H2595" s="400"/>
      <c r="I2595" s="239"/>
    </row>
    <row r="2596" spans="6:9" x14ac:dyDescent="0.35">
      <c r="F2596" s="33"/>
      <c r="G2596" s="70"/>
      <c r="H2596" s="400"/>
      <c r="I2596" s="239"/>
    </row>
    <row r="2597" spans="6:9" x14ac:dyDescent="0.35">
      <c r="F2597" s="33"/>
      <c r="G2597" s="70"/>
      <c r="H2597" s="400"/>
      <c r="I2597" s="239"/>
    </row>
    <row r="2598" spans="6:9" x14ac:dyDescent="0.35">
      <c r="F2598" s="33"/>
      <c r="G2598" s="70"/>
      <c r="H2598" s="400"/>
      <c r="I2598" s="239"/>
    </row>
    <row r="2599" spans="6:9" x14ac:dyDescent="0.35">
      <c r="F2599" s="33"/>
      <c r="G2599" s="70"/>
      <c r="H2599" s="400"/>
      <c r="I2599" s="239"/>
    </row>
    <row r="2600" spans="6:9" x14ac:dyDescent="0.35">
      <c r="F2600" s="33"/>
      <c r="G2600" s="70"/>
      <c r="H2600" s="400"/>
      <c r="I2600" s="239"/>
    </row>
    <row r="2601" spans="6:9" x14ac:dyDescent="0.35">
      <c r="F2601" s="33"/>
      <c r="G2601" s="70"/>
      <c r="H2601" s="400"/>
      <c r="I2601" s="239"/>
    </row>
    <row r="2602" spans="6:9" x14ac:dyDescent="0.35">
      <c r="F2602" s="33"/>
      <c r="G2602" s="70"/>
      <c r="H2602" s="400"/>
      <c r="I2602" s="239"/>
    </row>
    <row r="2603" spans="6:9" x14ac:dyDescent="0.35">
      <c r="F2603" s="33"/>
      <c r="G2603" s="70"/>
      <c r="H2603" s="400"/>
      <c r="I2603" s="239"/>
    </row>
    <row r="2604" spans="6:9" x14ac:dyDescent="0.35">
      <c r="F2604" s="33"/>
      <c r="G2604" s="70"/>
      <c r="H2604" s="400"/>
      <c r="I2604" s="239"/>
    </row>
    <row r="2605" spans="6:9" x14ac:dyDescent="0.35">
      <c r="F2605" s="33"/>
      <c r="G2605" s="70"/>
      <c r="H2605" s="400"/>
      <c r="I2605" s="239"/>
    </row>
    <row r="2606" spans="6:9" x14ac:dyDescent="0.35">
      <c r="F2606" s="33"/>
      <c r="G2606" s="70"/>
      <c r="H2606" s="400"/>
      <c r="I2606" s="239"/>
    </row>
    <row r="2607" spans="6:9" x14ac:dyDescent="0.35">
      <c r="F2607" s="33"/>
      <c r="G2607" s="70"/>
      <c r="H2607" s="400"/>
      <c r="I2607" s="239"/>
    </row>
    <row r="2608" spans="6:9" x14ac:dyDescent="0.35">
      <c r="F2608" s="33"/>
      <c r="G2608" s="70"/>
      <c r="H2608" s="400"/>
      <c r="I2608" s="239"/>
    </row>
    <row r="2609" spans="6:9" x14ac:dyDescent="0.35">
      <c r="F2609" s="33"/>
      <c r="G2609" s="70"/>
      <c r="H2609" s="400"/>
      <c r="I2609" s="239"/>
    </row>
    <row r="2610" spans="6:9" x14ac:dyDescent="0.35">
      <c r="F2610" s="33"/>
      <c r="G2610" s="70"/>
      <c r="H2610" s="400"/>
      <c r="I2610" s="239"/>
    </row>
    <row r="2611" spans="6:9" x14ac:dyDescent="0.35">
      <c r="F2611" s="33"/>
      <c r="G2611" s="70"/>
      <c r="H2611" s="400"/>
      <c r="I2611" s="239"/>
    </row>
    <row r="2612" spans="6:9" x14ac:dyDescent="0.35">
      <c r="F2612" s="33"/>
      <c r="G2612" s="70"/>
      <c r="H2612" s="400"/>
      <c r="I2612" s="239"/>
    </row>
    <row r="2613" spans="6:9" x14ac:dyDescent="0.35">
      <c r="F2613" s="33"/>
      <c r="G2613" s="70"/>
      <c r="H2613" s="400"/>
      <c r="I2613" s="239"/>
    </row>
    <row r="2614" spans="6:9" x14ac:dyDescent="0.35">
      <c r="F2614" s="33"/>
      <c r="G2614" s="70"/>
      <c r="H2614" s="400"/>
      <c r="I2614" s="239"/>
    </row>
    <row r="2615" spans="6:9" x14ac:dyDescent="0.35">
      <c r="F2615" s="33"/>
      <c r="G2615" s="70"/>
      <c r="H2615" s="400"/>
      <c r="I2615" s="239"/>
    </row>
    <row r="2616" spans="6:9" x14ac:dyDescent="0.35">
      <c r="F2616" s="33"/>
      <c r="G2616" s="70"/>
      <c r="H2616" s="400"/>
      <c r="I2616" s="239"/>
    </row>
    <row r="2617" spans="6:9" x14ac:dyDescent="0.35">
      <c r="F2617" s="33"/>
      <c r="G2617" s="70"/>
      <c r="H2617" s="400"/>
      <c r="I2617" s="239"/>
    </row>
    <row r="2618" spans="6:9" x14ac:dyDescent="0.35">
      <c r="F2618" s="33"/>
      <c r="G2618" s="70"/>
      <c r="H2618" s="400"/>
      <c r="I2618" s="239"/>
    </row>
    <row r="2619" spans="6:9" x14ac:dyDescent="0.35">
      <c r="F2619" s="33"/>
      <c r="G2619" s="70"/>
      <c r="H2619" s="400"/>
      <c r="I2619" s="239"/>
    </row>
    <row r="2620" spans="6:9" x14ac:dyDescent="0.35">
      <c r="F2620" s="33"/>
      <c r="G2620" s="70"/>
      <c r="H2620" s="400"/>
      <c r="I2620" s="239"/>
    </row>
    <row r="2621" spans="6:9" x14ac:dyDescent="0.35">
      <c r="F2621" s="33"/>
      <c r="G2621" s="70"/>
      <c r="H2621" s="400"/>
      <c r="I2621" s="239"/>
    </row>
    <row r="2622" spans="6:9" x14ac:dyDescent="0.35">
      <c r="F2622" s="33"/>
      <c r="G2622" s="70"/>
      <c r="H2622" s="400"/>
      <c r="I2622" s="239"/>
    </row>
    <row r="2623" spans="6:9" x14ac:dyDescent="0.35">
      <c r="F2623" s="33"/>
      <c r="G2623" s="70"/>
      <c r="H2623" s="400"/>
      <c r="I2623" s="239"/>
    </row>
    <row r="2624" spans="6:9" x14ac:dyDescent="0.35">
      <c r="F2624" s="33"/>
      <c r="G2624" s="70"/>
      <c r="H2624" s="400"/>
      <c r="I2624" s="239"/>
    </row>
    <row r="2625" spans="6:9" x14ac:dyDescent="0.35">
      <c r="F2625" s="33"/>
      <c r="G2625" s="70"/>
      <c r="H2625" s="400"/>
      <c r="I2625" s="239"/>
    </row>
    <row r="2626" spans="6:9" x14ac:dyDescent="0.35">
      <c r="F2626" s="33"/>
      <c r="G2626" s="70"/>
      <c r="H2626" s="400"/>
      <c r="I2626" s="239"/>
    </row>
    <row r="2627" spans="6:9" x14ac:dyDescent="0.35">
      <c r="F2627" s="33"/>
      <c r="G2627" s="70"/>
      <c r="H2627" s="400"/>
      <c r="I2627" s="239"/>
    </row>
    <row r="2628" spans="6:9" x14ac:dyDescent="0.35">
      <c r="F2628" s="33"/>
      <c r="G2628" s="70"/>
      <c r="H2628" s="400"/>
      <c r="I2628" s="239"/>
    </row>
    <row r="2629" spans="6:9" x14ac:dyDescent="0.35">
      <c r="F2629" s="33"/>
      <c r="G2629" s="70"/>
      <c r="H2629" s="400"/>
      <c r="I2629" s="239"/>
    </row>
    <row r="2630" spans="6:9" x14ac:dyDescent="0.35">
      <c r="F2630" s="33"/>
      <c r="G2630" s="70"/>
      <c r="H2630" s="400"/>
      <c r="I2630" s="239"/>
    </row>
    <row r="2631" spans="6:9" x14ac:dyDescent="0.35">
      <c r="F2631" s="33"/>
      <c r="G2631" s="70"/>
      <c r="H2631" s="400"/>
      <c r="I2631" s="239"/>
    </row>
    <row r="2632" spans="6:9" x14ac:dyDescent="0.35">
      <c r="F2632" s="33"/>
      <c r="G2632" s="70"/>
      <c r="H2632" s="400"/>
      <c r="I2632" s="239"/>
    </row>
    <row r="2633" spans="6:9" x14ac:dyDescent="0.35">
      <c r="F2633" s="33"/>
      <c r="G2633" s="70"/>
      <c r="H2633" s="400"/>
      <c r="I2633" s="239"/>
    </row>
    <row r="2634" spans="6:9" x14ac:dyDescent="0.35">
      <c r="F2634" s="33"/>
      <c r="G2634" s="70"/>
      <c r="H2634" s="400"/>
      <c r="I2634" s="239"/>
    </row>
    <row r="2635" spans="6:9" x14ac:dyDescent="0.35">
      <c r="F2635" s="33"/>
      <c r="G2635" s="70"/>
      <c r="H2635" s="400"/>
      <c r="I2635" s="239"/>
    </row>
    <row r="2636" spans="6:9" x14ac:dyDescent="0.35">
      <c r="F2636" s="33"/>
      <c r="G2636" s="70"/>
      <c r="H2636" s="400"/>
      <c r="I2636" s="239"/>
    </row>
    <row r="2637" spans="6:9" x14ac:dyDescent="0.35">
      <c r="F2637" s="33"/>
      <c r="G2637" s="70"/>
      <c r="H2637" s="400"/>
      <c r="I2637" s="239"/>
    </row>
    <row r="2638" spans="6:9" x14ac:dyDescent="0.35">
      <c r="F2638" s="33"/>
      <c r="G2638" s="70"/>
      <c r="H2638" s="400"/>
      <c r="I2638" s="239"/>
    </row>
    <row r="2639" spans="6:9" x14ac:dyDescent="0.35">
      <c r="F2639" s="33"/>
      <c r="G2639" s="70"/>
      <c r="H2639" s="400"/>
      <c r="I2639" s="239"/>
    </row>
    <row r="2640" spans="6:9" x14ac:dyDescent="0.35">
      <c r="F2640" s="33"/>
      <c r="G2640" s="70"/>
      <c r="H2640" s="400"/>
      <c r="I2640" s="239"/>
    </row>
    <row r="2641" spans="6:9" x14ac:dyDescent="0.35">
      <c r="F2641" s="33"/>
      <c r="G2641" s="70"/>
      <c r="H2641" s="400"/>
      <c r="I2641" s="239"/>
    </row>
    <row r="2642" spans="6:9" x14ac:dyDescent="0.35">
      <c r="F2642" s="33"/>
      <c r="G2642" s="70"/>
      <c r="H2642" s="400"/>
      <c r="I2642" s="239"/>
    </row>
    <row r="2643" spans="6:9" x14ac:dyDescent="0.35">
      <c r="F2643" s="33"/>
      <c r="G2643" s="70"/>
      <c r="H2643" s="400"/>
      <c r="I2643" s="239"/>
    </row>
    <row r="2644" spans="6:9" x14ac:dyDescent="0.35">
      <c r="F2644" s="33"/>
      <c r="G2644" s="70"/>
      <c r="H2644" s="400"/>
      <c r="I2644" s="239"/>
    </row>
    <row r="2645" spans="6:9" x14ac:dyDescent="0.35">
      <c r="F2645" s="33"/>
      <c r="G2645" s="70"/>
      <c r="H2645" s="400"/>
      <c r="I2645" s="239"/>
    </row>
    <row r="2646" spans="6:9" x14ac:dyDescent="0.35">
      <c r="F2646" s="33"/>
      <c r="G2646" s="70"/>
      <c r="H2646" s="400"/>
      <c r="I2646" s="239"/>
    </row>
    <row r="2647" spans="6:9" x14ac:dyDescent="0.35">
      <c r="F2647" s="33"/>
      <c r="G2647" s="70"/>
      <c r="H2647" s="400"/>
      <c r="I2647" s="239"/>
    </row>
    <row r="2648" spans="6:9" x14ac:dyDescent="0.35">
      <c r="F2648" s="33"/>
      <c r="G2648" s="70"/>
      <c r="H2648" s="400"/>
      <c r="I2648" s="239"/>
    </row>
    <row r="2649" spans="6:9" x14ac:dyDescent="0.35">
      <c r="F2649" s="33"/>
      <c r="G2649" s="70"/>
      <c r="H2649" s="400"/>
      <c r="I2649" s="239"/>
    </row>
    <row r="2650" spans="6:9" x14ac:dyDescent="0.35">
      <c r="F2650" s="33"/>
      <c r="G2650" s="70"/>
      <c r="H2650" s="400"/>
      <c r="I2650" s="239"/>
    </row>
    <row r="2651" spans="6:9" x14ac:dyDescent="0.35">
      <c r="F2651" s="33"/>
      <c r="G2651" s="70"/>
      <c r="H2651" s="400"/>
      <c r="I2651" s="239"/>
    </row>
    <row r="2652" spans="6:9" x14ac:dyDescent="0.35">
      <c r="F2652" s="33"/>
      <c r="G2652" s="70"/>
      <c r="H2652" s="400"/>
      <c r="I2652" s="239"/>
    </row>
    <row r="2653" spans="6:9" x14ac:dyDescent="0.35">
      <c r="F2653" s="33"/>
      <c r="G2653" s="70"/>
      <c r="H2653" s="400"/>
      <c r="I2653" s="239"/>
    </row>
    <row r="2654" spans="6:9" x14ac:dyDescent="0.35">
      <c r="F2654" s="33"/>
      <c r="G2654" s="70"/>
      <c r="H2654" s="400"/>
      <c r="I2654" s="239"/>
    </row>
    <row r="2655" spans="6:9" x14ac:dyDescent="0.35">
      <c r="F2655" s="33"/>
      <c r="G2655" s="70"/>
      <c r="H2655" s="400"/>
      <c r="I2655" s="239"/>
    </row>
    <row r="2656" spans="6:9" x14ac:dyDescent="0.35">
      <c r="F2656" s="33"/>
      <c r="G2656" s="70"/>
      <c r="H2656" s="400"/>
      <c r="I2656" s="239"/>
    </row>
    <row r="2657" spans="6:9" x14ac:dyDescent="0.35">
      <c r="F2657" s="33"/>
      <c r="G2657" s="70"/>
      <c r="H2657" s="400"/>
      <c r="I2657" s="239"/>
    </row>
    <row r="2658" spans="6:9" x14ac:dyDescent="0.35">
      <c r="F2658" s="33"/>
      <c r="G2658" s="70"/>
      <c r="H2658" s="400"/>
      <c r="I2658" s="239"/>
    </row>
    <row r="2659" spans="6:9" x14ac:dyDescent="0.35">
      <c r="F2659" s="33"/>
      <c r="G2659" s="70"/>
      <c r="H2659" s="400"/>
      <c r="I2659" s="239"/>
    </row>
    <row r="2660" spans="6:9" x14ac:dyDescent="0.35">
      <c r="F2660" s="33"/>
      <c r="G2660" s="70"/>
      <c r="H2660" s="400"/>
      <c r="I2660" s="239"/>
    </row>
    <row r="2661" spans="6:9" x14ac:dyDescent="0.35">
      <c r="F2661" s="33"/>
      <c r="G2661" s="70"/>
      <c r="H2661" s="400"/>
      <c r="I2661" s="239"/>
    </row>
    <row r="2662" spans="6:9" x14ac:dyDescent="0.35">
      <c r="F2662" s="33"/>
      <c r="G2662" s="70"/>
      <c r="H2662" s="400"/>
      <c r="I2662" s="239"/>
    </row>
    <row r="2663" spans="6:9" x14ac:dyDescent="0.35">
      <c r="F2663" s="33"/>
      <c r="G2663" s="70"/>
      <c r="H2663" s="400"/>
      <c r="I2663" s="239"/>
    </row>
    <row r="2664" spans="6:9" x14ac:dyDescent="0.35">
      <c r="F2664" s="33"/>
      <c r="G2664" s="70"/>
      <c r="H2664" s="400"/>
      <c r="I2664" s="239"/>
    </row>
    <row r="2665" spans="6:9" x14ac:dyDescent="0.35">
      <c r="F2665" s="33"/>
      <c r="G2665" s="70"/>
      <c r="H2665" s="400"/>
      <c r="I2665" s="239"/>
    </row>
    <row r="2666" spans="6:9" x14ac:dyDescent="0.35">
      <c r="F2666" s="33"/>
      <c r="G2666" s="70"/>
      <c r="H2666" s="400"/>
      <c r="I2666" s="239"/>
    </row>
    <row r="2667" spans="6:9" x14ac:dyDescent="0.35">
      <c r="F2667" s="33"/>
      <c r="G2667" s="70"/>
      <c r="H2667" s="400"/>
      <c r="I2667" s="239"/>
    </row>
    <row r="2668" spans="6:9" x14ac:dyDescent="0.35">
      <c r="F2668" s="33"/>
      <c r="G2668" s="70"/>
      <c r="H2668" s="400"/>
      <c r="I2668" s="239"/>
    </row>
    <row r="2669" spans="6:9" x14ac:dyDescent="0.35">
      <c r="F2669" s="33"/>
      <c r="G2669" s="70"/>
      <c r="H2669" s="400"/>
      <c r="I2669" s="239"/>
    </row>
    <row r="2670" spans="6:9" x14ac:dyDescent="0.35">
      <c r="F2670" s="33"/>
      <c r="G2670" s="70"/>
      <c r="H2670" s="400"/>
      <c r="I2670" s="239"/>
    </row>
    <row r="2671" spans="6:9" x14ac:dyDescent="0.35">
      <c r="F2671" s="33"/>
      <c r="G2671" s="70"/>
      <c r="H2671" s="400"/>
      <c r="I2671" s="239"/>
    </row>
    <row r="2672" spans="6:9" x14ac:dyDescent="0.35">
      <c r="F2672" s="33"/>
      <c r="G2672" s="70"/>
      <c r="H2672" s="400"/>
      <c r="I2672" s="239"/>
    </row>
    <row r="2673" spans="6:9" x14ac:dyDescent="0.35">
      <c r="F2673" s="33"/>
      <c r="G2673" s="70"/>
      <c r="H2673" s="400"/>
      <c r="I2673" s="239"/>
    </row>
    <row r="2674" spans="6:9" x14ac:dyDescent="0.35">
      <c r="F2674" s="33"/>
      <c r="G2674" s="70"/>
      <c r="H2674" s="400"/>
      <c r="I2674" s="239"/>
    </row>
    <row r="2675" spans="6:9" x14ac:dyDescent="0.35">
      <c r="F2675" s="33"/>
      <c r="G2675" s="70"/>
      <c r="H2675" s="400"/>
      <c r="I2675" s="239"/>
    </row>
    <row r="2676" spans="6:9" x14ac:dyDescent="0.35">
      <c r="F2676" s="33"/>
      <c r="G2676" s="70"/>
      <c r="H2676" s="400"/>
      <c r="I2676" s="239"/>
    </row>
    <row r="2677" spans="6:9" x14ac:dyDescent="0.35">
      <c r="F2677" s="33"/>
      <c r="G2677" s="70"/>
      <c r="H2677" s="400"/>
      <c r="I2677" s="239"/>
    </row>
    <row r="2678" spans="6:9" x14ac:dyDescent="0.35">
      <c r="F2678" s="33"/>
      <c r="G2678" s="70"/>
      <c r="H2678" s="400"/>
      <c r="I2678" s="239"/>
    </row>
    <row r="2679" spans="6:9" x14ac:dyDescent="0.35">
      <c r="F2679" s="33"/>
      <c r="G2679" s="70"/>
      <c r="H2679" s="400"/>
      <c r="I2679" s="239"/>
    </row>
    <row r="2680" spans="6:9" x14ac:dyDescent="0.35">
      <c r="F2680" s="33"/>
      <c r="G2680" s="70"/>
      <c r="H2680" s="400"/>
      <c r="I2680" s="239"/>
    </row>
    <row r="2681" spans="6:9" x14ac:dyDescent="0.35">
      <c r="F2681" s="33"/>
      <c r="G2681" s="70"/>
      <c r="H2681" s="400"/>
      <c r="I2681" s="239"/>
    </row>
    <row r="2682" spans="6:9" x14ac:dyDescent="0.35">
      <c r="F2682" s="33"/>
      <c r="G2682" s="70"/>
      <c r="H2682" s="400"/>
      <c r="I2682" s="239"/>
    </row>
    <row r="2683" spans="6:9" x14ac:dyDescent="0.35">
      <c r="F2683" s="33"/>
      <c r="G2683" s="70"/>
      <c r="H2683" s="400"/>
      <c r="I2683" s="239"/>
    </row>
    <row r="2684" spans="6:9" x14ac:dyDescent="0.35">
      <c r="F2684" s="33"/>
      <c r="G2684" s="70"/>
      <c r="H2684" s="400"/>
      <c r="I2684" s="239"/>
    </row>
    <row r="2685" spans="6:9" x14ac:dyDescent="0.35">
      <c r="F2685" s="33"/>
      <c r="G2685" s="70"/>
      <c r="H2685" s="400"/>
      <c r="I2685" s="239"/>
    </row>
    <row r="2686" spans="6:9" x14ac:dyDescent="0.35">
      <c r="F2686" s="33"/>
      <c r="G2686" s="70"/>
      <c r="H2686" s="400"/>
      <c r="I2686" s="239"/>
    </row>
    <row r="2687" spans="6:9" x14ac:dyDescent="0.35">
      <c r="F2687" s="33"/>
      <c r="G2687" s="70"/>
      <c r="H2687" s="400"/>
      <c r="I2687" s="239"/>
    </row>
    <row r="2688" spans="6:9" x14ac:dyDescent="0.35">
      <c r="F2688" s="33"/>
      <c r="G2688" s="70"/>
      <c r="H2688" s="400"/>
      <c r="I2688" s="239"/>
    </row>
    <row r="2689" spans="6:9" x14ac:dyDescent="0.35">
      <c r="F2689" s="33"/>
      <c r="G2689" s="70"/>
      <c r="H2689" s="400"/>
      <c r="I2689" s="239"/>
    </row>
    <row r="2690" spans="6:9" x14ac:dyDescent="0.35">
      <c r="F2690" s="33"/>
      <c r="G2690" s="70"/>
      <c r="H2690" s="400"/>
      <c r="I2690" s="239"/>
    </row>
    <row r="2691" spans="6:9" x14ac:dyDescent="0.35">
      <c r="F2691" s="33"/>
      <c r="G2691" s="70"/>
      <c r="H2691" s="400"/>
      <c r="I2691" s="239"/>
    </row>
    <row r="2692" spans="6:9" x14ac:dyDescent="0.35">
      <c r="F2692" s="33"/>
      <c r="G2692" s="70"/>
      <c r="H2692" s="400"/>
      <c r="I2692" s="239"/>
    </row>
    <row r="2693" spans="6:9" x14ac:dyDescent="0.35">
      <c r="F2693" s="33"/>
      <c r="G2693" s="70"/>
      <c r="H2693" s="400"/>
      <c r="I2693" s="239"/>
    </row>
    <row r="2694" spans="6:9" x14ac:dyDescent="0.35">
      <c r="F2694" s="33"/>
      <c r="G2694" s="70"/>
      <c r="H2694" s="400"/>
      <c r="I2694" s="239"/>
    </row>
    <row r="2695" spans="6:9" x14ac:dyDescent="0.35">
      <c r="F2695" s="33"/>
      <c r="G2695" s="70"/>
      <c r="H2695" s="400"/>
      <c r="I2695" s="239"/>
    </row>
    <row r="2696" spans="6:9" x14ac:dyDescent="0.35">
      <c r="F2696" s="33"/>
      <c r="G2696" s="70"/>
      <c r="H2696" s="400"/>
      <c r="I2696" s="239"/>
    </row>
    <row r="2697" spans="6:9" x14ac:dyDescent="0.35">
      <c r="F2697" s="33"/>
      <c r="G2697" s="70"/>
      <c r="H2697" s="400"/>
      <c r="I2697" s="239"/>
    </row>
    <row r="2698" spans="6:9" x14ac:dyDescent="0.35">
      <c r="F2698" s="33"/>
      <c r="G2698" s="70"/>
      <c r="H2698" s="400"/>
      <c r="I2698" s="239"/>
    </row>
    <row r="2699" spans="6:9" x14ac:dyDescent="0.35">
      <c r="F2699" s="33"/>
      <c r="G2699" s="70"/>
      <c r="H2699" s="400"/>
      <c r="I2699" s="239"/>
    </row>
    <row r="2700" spans="6:9" x14ac:dyDescent="0.35">
      <c r="F2700" s="33"/>
      <c r="G2700" s="70"/>
      <c r="H2700" s="400"/>
      <c r="I2700" s="239"/>
    </row>
    <row r="2701" spans="6:9" x14ac:dyDescent="0.35">
      <c r="F2701" s="33"/>
      <c r="G2701" s="70"/>
      <c r="H2701" s="400"/>
      <c r="I2701" s="239"/>
    </row>
    <row r="2702" spans="6:9" x14ac:dyDescent="0.35">
      <c r="F2702" s="33"/>
      <c r="G2702" s="70"/>
      <c r="H2702" s="400"/>
      <c r="I2702" s="239"/>
    </row>
    <row r="2703" spans="6:9" x14ac:dyDescent="0.35">
      <c r="F2703" s="33"/>
      <c r="G2703" s="70"/>
      <c r="H2703" s="400"/>
      <c r="I2703" s="239"/>
    </row>
    <row r="2704" spans="6:9" x14ac:dyDescent="0.35">
      <c r="F2704" s="33"/>
      <c r="G2704" s="70"/>
      <c r="H2704" s="400"/>
      <c r="I2704" s="239"/>
    </row>
    <row r="2705" spans="6:9" x14ac:dyDescent="0.35">
      <c r="F2705" s="33"/>
      <c r="G2705" s="70"/>
      <c r="H2705" s="400"/>
      <c r="I2705" s="239"/>
    </row>
    <row r="2706" spans="6:9" x14ac:dyDescent="0.35">
      <c r="F2706" s="33"/>
      <c r="G2706" s="70"/>
      <c r="H2706" s="400"/>
      <c r="I2706" s="239"/>
    </row>
    <row r="2707" spans="6:9" x14ac:dyDescent="0.35">
      <c r="F2707" s="33"/>
      <c r="G2707" s="70"/>
      <c r="H2707" s="400"/>
      <c r="I2707" s="239"/>
    </row>
    <row r="2708" spans="6:9" x14ac:dyDescent="0.35">
      <c r="F2708" s="33"/>
      <c r="G2708" s="70"/>
      <c r="H2708" s="400"/>
      <c r="I2708" s="239"/>
    </row>
    <row r="2709" spans="6:9" x14ac:dyDescent="0.35">
      <c r="F2709" s="33"/>
      <c r="G2709" s="70"/>
      <c r="H2709" s="400"/>
      <c r="I2709" s="239"/>
    </row>
    <row r="2710" spans="6:9" x14ac:dyDescent="0.35">
      <c r="F2710" s="33"/>
      <c r="G2710" s="70"/>
      <c r="H2710" s="400"/>
      <c r="I2710" s="239"/>
    </row>
    <row r="2711" spans="6:9" x14ac:dyDescent="0.35">
      <c r="F2711" s="33"/>
      <c r="G2711" s="70"/>
      <c r="H2711" s="400"/>
      <c r="I2711" s="239"/>
    </row>
    <row r="2712" spans="6:9" x14ac:dyDescent="0.35">
      <c r="F2712" s="33"/>
      <c r="G2712" s="70"/>
      <c r="H2712" s="400"/>
      <c r="I2712" s="239"/>
    </row>
    <row r="2713" spans="6:9" x14ac:dyDescent="0.35">
      <c r="F2713" s="33"/>
      <c r="G2713" s="70"/>
      <c r="H2713" s="400"/>
      <c r="I2713" s="239"/>
    </row>
    <row r="2714" spans="6:9" x14ac:dyDescent="0.35">
      <c r="F2714" s="33"/>
      <c r="G2714" s="70"/>
      <c r="H2714" s="400"/>
      <c r="I2714" s="239"/>
    </row>
    <row r="2715" spans="6:9" x14ac:dyDescent="0.35">
      <c r="F2715" s="33"/>
      <c r="G2715" s="70"/>
      <c r="H2715" s="400"/>
      <c r="I2715" s="239"/>
    </row>
    <row r="2716" spans="6:9" x14ac:dyDescent="0.35">
      <c r="F2716" s="33"/>
      <c r="G2716" s="70"/>
      <c r="H2716" s="400"/>
      <c r="I2716" s="239"/>
    </row>
    <row r="2717" spans="6:9" x14ac:dyDescent="0.35">
      <c r="F2717" s="33"/>
      <c r="G2717" s="70"/>
      <c r="H2717" s="400"/>
      <c r="I2717" s="239"/>
    </row>
    <row r="2718" spans="6:9" x14ac:dyDescent="0.35">
      <c r="F2718" s="33"/>
      <c r="G2718" s="70"/>
      <c r="H2718" s="400"/>
      <c r="I2718" s="239"/>
    </row>
    <row r="2719" spans="6:9" x14ac:dyDescent="0.35">
      <c r="F2719" s="33"/>
      <c r="G2719" s="70"/>
      <c r="H2719" s="400"/>
      <c r="I2719" s="239"/>
    </row>
    <row r="2720" spans="6:9" x14ac:dyDescent="0.35">
      <c r="F2720" s="33"/>
      <c r="G2720" s="70"/>
      <c r="H2720" s="400"/>
      <c r="I2720" s="239"/>
    </row>
    <row r="2721" spans="6:9" x14ac:dyDescent="0.35">
      <c r="F2721" s="33"/>
      <c r="G2721" s="70"/>
      <c r="H2721" s="400"/>
      <c r="I2721" s="239"/>
    </row>
    <row r="2722" spans="6:9" x14ac:dyDescent="0.35">
      <c r="F2722" s="33"/>
      <c r="G2722" s="70"/>
      <c r="H2722" s="400"/>
      <c r="I2722" s="239"/>
    </row>
    <row r="2723" spans="6:9" x14ac:dyDescent="0.35">
      <c r="F2723" s="33"/>
      <c r="G2723" s="70"/>
      <c r="H2723" s="400"/>
      <c r="I2723" s="239"/>
    </row>
    <row r="2724" spans="6:9" x14ac:dyDescent="0.35">
      <c r="F2724" s="33"/>
      <c r="G2724" s="70"/>
      <c r="H2724" s="400"/>
      <c r="I2724" s="239"/>
    </row>
    <row r="2725" spans="6:9" x14ac:dyDescent="0.35">
      <c r="F2725" s="33"/>
      <c r="G2725" s="70"/>
      <c r="H2725" s="400"/>
      <c r="I2725" s="239"/>
    </row>
    <row r="2726" spans="6:9" x14ac:dyDescent="0.35">
      <c r="F2726" s="33"/>
      <c r="G2726" s="70"/>
      <c r="H2726" s="400"/>
      <c r="I2726" s="239"/>
    </row>
    <row r="2727" spans="6:9" x14ac:dyDescent="0.35">
      <c r="F2727" s="33"/>
      <c r="G2727" s="70"/>
      <c r="H2727" s="400"/>
      <c r="I2727" s="239"/>
    </row>
    <row r="2728" spans="6:9" x14ac:dyDescent="0.35">
      <c r="F2728" s="33"/>
      <c r="G2728" s="70"/>
      <c r="H2728" s="400"/>
      <c r="I2728" s="239"/>
    </row>
    <row r="2729" spans="6:9" x14ac:dyDescent="0.35">
      <c r="F2729" s="33"/>
      <c r="G2729" s="70"/>
      <c r="H2729" s="400"/>
      <c r="I2729" s="239"/>
    </row>
    <row r="2730" spans="6:9" x14ac:dyDescent="0.35">
      <c r="F2730" s="33"/>
      <c r="G2730" s="70"/>
      <c r="H2730" s="400"/>
      <c r="I2730" s="239"/>
    </row>
    <row r="2731" spans="6:9" x14ac:dyDescent="0.35">
      <c r="F2731" s="33"/>
      <c r="G2731" s="70"/>
      <c r="H2731" s="400"/>
      <c r="I2731" s="239"/>
    </row>
    <row r="2732" spans="6:9" x14ac:dyDescent="0.35">
      <c r="F2732" s="33"/>
      <c r="G2732" s="70"/>
      <c r="H2732" s="400"/>
      <c r="I2732" s="239"/>
    </row>
    <row r="2733" spans="6:9" x14ac:dyDescent="0.35">
      <c r="F2733" s="33"/>
      <c r="G2733" s="70"/>
      <c r="H2733" s="400"/>
      <c r="I2733" s="239"/>
    </row>
    <row r="2734" spans="6:9" x14ac:dyDescent="0.35">
      <c r="F2734" s="33"/>
      <c r="G2734" s="70"/>
      <c r="H2734" s="400"/>
      <c r="I2734" s="239"/>
    </row>
    <row r="2735" spans="6:9" x14ac:dyDescent="0.35">
      <c r="F2735" s="33"/>
      <c r="G2735" s="70"/>
      <c r="H2735" s="400"/>
      <c r="I2735" s="239"/>
    </row>
    <row r="2736" spans="6:9" x14ac:dyDescent="0.35">
      <c r="F2736" s="33"/>
      <c r="G2736" s="70"/>
      <c r="H2736" s="400"/>
      <c r="I2736" s="239"/>
    </row>
    <row r="2737" spans="6:9" x14ac:dyDescent="0.35">
      <c r="F2737" s="33"/>
      <c r="G2737" s="70"/>
      <c r="H2737" s="400"/>
      <c r="I2737" s="239"/>
    </row>
    <row r="2738" spans="6:9" x14ac:dyDescent="0.35">
      <c r="F2738" s="33"/>
      <c r="G2738" s="70"/>
      <c r="H2738" s="400"/>
      <c r="I2738" s="239"/>
    </row>
    <row r="2739" spans="6:9" x14ac:dyDescent="0.35">
      <c r="F2739" s="33"/>
      <c r="G2739" s="70"/>
      <c r="H2739" s="400"/>
      <c r="I2739" s="239"/>
    </row>
    <row r="2740" spans="6:9" x14ac:dyDescent="0.35">
      <c r="F2740" s="33"/>
      <c r="G2740" s="70"/>
      <c r="H2740" s="400"/>
      <c r="I2740" s="239"/>
    </row>
    <row r="2741" spans="6:9" x14ac:dyDescent="0.35">
      <c r="F2741" s="33"/>
      <c r="G2741" s="70"/>
      <c r="H2741" s="400"/>
      <c r="I2741" s="239"/>
    </row>
    <row r="2742" spans="6:9" x14ac:dyDescent="0.35">
      <c r="F2742" s="33"/>
      <c r="G2742" s="70"/>
      <c r="H2742" s="400"/>
      <c r="I2742" s="239"/>
    </row>
    <row r="2743" spans="6:9" x14ac:dyDescent="0.35">
      <c r="F2743" s="33"/>
      <c r="G2743" s="70"/>
      <c r="H2743" s="400"/>
      <c r="I2743" s="239"/>
    </row>
    <row r="2744" spans="6:9" x14ac:dyDescent="0.35">
      <c r="F2744" s="33"/>
      <c r="G2744" s="70"/>
      <c r="H2744" s="400"/>
      <c r="I2744" s="239"/>
    </row>
    <row r="2745" spans="6:9" x14ac:dyDescent="0.35">
      <c r="F2745" s="33"/>
      <c r="G2745" s="70"/>
      <c r="H2745" s="400"/>
      <c r="I2745" s="239"/>
    </row>
    <row r="2746" spans="6:9" x14ac:dyDescent="0.35">
      <c r="F2746" s="33"/>
      <c r="G2746" s="70"/>
      <c r="H2746" s="400"/>
      <c r="I2746" s="239"/>
    </row>
    <row r="2747" spans="6:9" x14ac:dyDescent="0.35">
      <c r="F2747" s="33"/>
      <c r="G2747" s="70"/>
      <c r="H2747" s="400"/>
      <c r="I2747" s="239"/>
    </row>
    <row r="2748" spans="6:9" x14ac:dyDescent="0.35">
      <c r="F2748" s="33"/>
      <c r="G2748" s="70"/>
      <c r="H2748" s="400"/>
      <c r="I2748" s="239"/>
    </row>
    <row r="2749" spans="6:9" x14ac:dyDescent="0.35">
      <c r="F2749" s="33"/>
      <c r="G2749" s="70"/>
      <c r="H2749" s="400"/>
      <c r="I2749" s="239"/>
    </row>
    <row r="2750" spans="6:9" x14ac:dyDescent="0.35">
      <c r="F2750" s="33"/>
      <c r="G2750" s="70"/>
      <c r="H2750" s="400"/>
      <c r="I2750" s="239"/>
    </row>
    <row r="2751" spans="6:9" x14ac:dyDescent="0.35">
      <c r="F2751" s="33"/>
      <c r="G2751" s="70"/>
      <c r="H2751" s="400"/>
      <c r="I2751" s="239"/>
    </row>
    <row r="2752" spans="6:9" x14ac:dyDescent="0.35">
      <c r="F2752" s="33"/>
      <c r="G2752" s="70"/>
      <c r="H2752" s="400"/>
      <c r="I2752" s="239"/>
    </row>
    <row r="2753" spans="6:9" x14ac:dyDescent="0.35">
      <c r="F2753" s="33"/>
      <c r="G2753" s="70"/>
      <c r="H2753" s="400"/>
      <c r="I2753" s="239"/>
    </row>
    <row r="2754" spans="6:9" x14ac:dyDescent="0.35">
      <c r="F2754" s="33"/>
      <c r="G2754" s="70"/>
      <c r="H2754" s="400"/>
      <c r="I2754" s="239"/>
    </row>
    <row r="2755" spans="6:9" x14ac:dyDescent="0.35">
      <c r="F2755" s="33"/>
      <c r="G2755" s="70"/>
      <c r="H2755" s="400"/>
      <c r="I2755" s="239"/>
    </row>
    <row r="2756" spans="6:9" x14ac:dyDescent="0.35">
      <c r="F2756" s="33"/>
      <c r="G2756" s="70"/>
      <c r="H2756" s="400"/>
      <c r="I2756" s="239"/>
    </row>
    <row r="2757" spans="6:9" x14ac:dyDescent="0.35">
      <c r="F2757" s="33"/>
      <c r="G2757" s="70"/>
      <c r="H2757" s="400"/>
      <c r="I2757" s="239"/>
    </row>
    <row r="2758" spans="6:9" x14ac:dyDescent="0.35">
      <c r="F2758" s="33"/>
      <c r="G2758" s="70"/>
      <c r="H2758" s="400"/>
      <c r="I2758" s="239"/>
    </row>
    <row r="2759" spans="6:9" x14ac:dyDescent="0.35">
      <c r="F2759" s="33"/>
      <c r="G2759" s="70"/>
      <c r="H2759" s="400"/>
      <c r="I2759" s="239"/>
    </row>
    <row r="2760" spans="6:9" x14ac:dyDescent="0.35">
      <c r="F2760" s="33"/>
      <c r="G2760" s="70"/>
      <c r="H2760" s="400"/>
      <c r="I2760" s="239"/>
    </row>
    <row r="2761" spans="6:9" x14ac:dyDescent="0.35">
      <c r="F2761" s="33"/>
      <c r="G2761" s="70"/>
      <c r="H2761" s="400"/>
      <c r="I2761" s="239"/>
    </row>
    <row r="2762" spans="6:9" x14ac:dyDescent="0.35">
      <c r="F2762" s="33"/>
      <c r="G2762" s="70"/>
      <c r="H2762" s="400"/>
      <c r="I2762" s="239"/>
    </row>
    <row r="2763" spans="6:9" x14ac:dyDescent="0.35">
      <c r="F2763" s="33"/>
      <c r="G2763" s="70"/>
      <c r="H2763" s="400"/>
      <c r="I2763" s="239"/>
    </row>
    <row r="2764" spans="6:9" x14ac:dyDescent="0.35">
      <c r="F2764" s="33"/>
      <c r="G2764" s="70"/>
      <c r="H2764" s="400"/>
      <c r="I2764" s="239"/>
    </row>
    <row r="2765" spans="6:9" x14ac:dyDescent="0.35">
      <c r="F2765" s="33"/>
      <c r="G2765" s="70"/>
      <c r="H2765" s="400"/>
      <c r="I2765" s="239"/>
    </row>
    <row r="2766" spans="6:9" x14ac:dyDescent="0.35">
      <c r="F2766" s="33"/>
      <c r="G2766" s="70"/>
      <c r="H2766" s="400"/>
      <c r="I2766" s="239"/>
    </row>
    <row r="2767" spans="6:9" x14ac:dyDescent="0.35">
      <c r="F2767" s="33"/>
      <c r="G2767" s="70"/>
      <c r="H2767" s="400"/>
      <c r="I2767" s="239"/>
    </row>
    <row r="2768" spans="6:9" x14ac:dyDescent="0.35">
      <c r="F2768" s="33"/>
      <c r="G2768" s="70"/>
      <c r="H2768" s="400"/>
      <c r="I2768" s="239"/>
    </row>
    <row r="2769" spans="6:9" x14ac:dyDescent="0.35">
      <c r="F2769" s="33"/>
      <c r="G2769" s="70"/>
      <c r="H2769" s="400"/>
      <c r="I2769" s="239"/>
    </row>
    <row r="2770" spans="6:9" x14ac:dyDescent="0.35">
      <c r="F2770" s="33"/>
      <c r="G2770" s="70"/>
      <c r="H2770" s="400"/>
      <c r="I2770" s="239"/>
    </row>
    <row r="2771" spans="6:9" x14ac:dyDescent="0.35">
      <c r="F2771" s="33"/>
      <c r="G2771" s="70"/>
      <c r="H2771" s="400"/>
      <c r="I2771" s="239"/>
    </row>
    <row r="2772" spans="6:9" x14ac:dyDescent="0.35">
      <c r="F2772" s="33"/>
      <c r="G2772" s="70"/>
      <c r="H2772" s="400"/>
      <c r="I2772" s="239"/>
    </row>
    <row r="2773" spans="6:9" x14ac:dyDescent="0.35">
      <c r="F2773" s="33"/>
      <c r="G2773" s="70"/>
      <c r="H2773" s="400"/>
      <c r="I2773" s="239"/>
    </row>
    <row r="2774" spans="6:9" x14ac:dyDescent="0.35">
      <c r="F2774" s="33"/>
      <c r="G2774" s="70"/>
      <c r="H2774" s="400"/>
      <c r="I2774" s="239"/>
    </row>
    <row r="2775" spans="6:9" x14ac:dyDescent="0.35">
      <c r="F2775" s="33"/>
      <c r="G2775" s="70"/>
      <c r="H2775" s="400"/>
      <c r="I2775" s="239"/>
    </row>
    <row r="2776" spans="6:9" x14ac:dyDescent="0.35">
      <c r="F2776" s="33"/>
      <c r="G2776" s="70"/>
      <c r="H2776" s="400"/>
      <c r="I2776" s="239"/>
    </row>
    <row r="2777" spans="6:9" x14ac:dyDescent="0.35">
      <c r="F2777" s="33"/>
      <c r="G2777" s="70"/>
      <c r="H2777" s="400"/>
      <c r="I2777" s="239"/>
    </row>
    <row r="2778" spans="6:9" x14ac:dyDescent="0.35">
      <c r="F2778" s="33"/>
      <c r="G2778" s="70"/>
      <c r="H2778" s="400"/>
      <c r="I2778" s="239"/>
    </row>
    <row r="2779" spans="6:9" x14ac:dyDescent="0.35">
      <c r="F2779" s="33"/>
      <c r="G2779" s="70"/>
      <c r="H2779" s="400"/>
      <c r="I2779" s="239"/>
    </row>
    <row r="2780" spans="6:9" x14ac:dyDescent="0.35">
      <c r="F2780" s="33"/>
      <c r="G2780" s="70"/>
      <c r="H2780" s="400"/>
      <c r="I2780" s="239"/>
    </row>
    <row r="2781" spans="6:9" x14ac:dyDescent="0.35">
      <c r="F2781" s="33"/>
      <c r="G2781" s="70"/>
      <c r="H2781" s="400"/>
      <c r="I2781" s="239"/>
    </row>
    <row r="2782" spans="6:9" x14ac:dyDescent="0.35">
      <c r="F2782" s="33"/>
      <c r="G2782" s="70"/>
      <c r="H2782" s="400"/>
      <c r="I2782" s="239"/>
    </row>
    <row r="2783" spans="6:9" x14ac:dyDescent="0.35">
      <c r="F2783" s="33"/>
      <c r="G2783" s="70"/>
      <c r="H2783" s="400"/>
      <c r="I2783" s="239"/>
    </row>
    <row r="2784" spans="6:9" x14ac:dyDescent="0.35">
      <c r="F2784" s="33"/>
      <c r="G2784" s="70"/>
      <c r="H2784" s="400"/>
      <c r="I2784" s="239"/>
    </row>
    <row r="2785" spans="6:9" x14ac:dyDescent="0.35">
      <c r="F2785" s="33"/>
      <c r="G2785" s="70"/>
      <c r="H2785" s="400"/>
      <c r="I2785" s="239"/>
    </row>
    <row r="2786" spans="6:9" x14ac:dyDescent="0.35">
      <c r="F2786" s="33"/>
      <c r="G2786" s="70"/>
      <c r="H2786" s="400"/>
      <c r="I2786" s="239"/>
    </row>
    <row r="2787" spans="6:9" x14ac:dyDescent="0.35">
      <c r="F2787" s="33"/>
      <c r="G2787" s="70"/>
      <c r="H2787" s="400"/>
      <c r="I2787" s="239"/>
    </row>
    <row r="2788" spans="6:9" x14ac:dyDescent="0.35">
      <c r="F2788" s="33"/>
      <c r="G2788" s="70"/>
      <c r="H2788" s="400"/>
      <c r="I2788" s="239"/>
    </row>
    <row r="2789" spans="6:9" x14ac:dyDescent="0.35">
      <c r="F2789" s="33"/>
      <c r="G2789" s="70"/>
      <c r="H2789" s="400"/>
      <c r="I2789" s="239"/>
    </row>
    <row r="2790" spans="6:9" x14ac:dyDescent="0.35">
      <c r="F2790" s="33"/>
      <c r="G2790" s="70"/>
      <c r="H2790" s="400"/>
      <c r="I2790" s="239"/>
    </row>
    <row r="2791" spans="6:9" x14ac:dyDescent="0.35">
      <c r="F2791" s="33"/>
      <c r="G2791" s="70"/>
      <c r="H2791" s="400"/>
      <c r="I2791" s="239"/>
    </row>
    <row r="2792" spans="6:9" x14ac:dyDescent="0.35">
      <c r="F2792" s="33"/>
      <c r="G2792" s="70"/>
      <c r="H2792" s="400"/>
      <c r="I2792" s="239"/>
    </row>
    <row r="2793" spans="6:9" x14ac:dyDescent="0.35">
      <c r="F2793" s="33"/>
      <c r="G2793" s="70"/>
      <c r="H2793" s="400"/>
      <c r="I2793" s="239"/>
    </row>
    <row r="2794" spans="6:9" x14ac:dyDescent="0.35">
      <c r="F2794" s="33"/>
      <c r="G2794" s="70"/>
      <c r="H2794" s="400"/>
      <c r="I2794" s="239"/>
    </row>
    <row r="2795" spans="6:9" x14ac:dyDescent="0.35">
      <c r="F2795" s="33"/>
      <c r="G2795" s="70"/>
      <c r="H2795" s="400"/>
      <c r="I2795" s="239"/>
    </row>
    <row r="2796" spans="6:9" x14ac:dyDescent="0.35">
      <c r="F2796" s="33"/>
      <c r="G2796" s="70"/>
      <c r="H2796" s="400"/>
      <c r="I2796" s="239"/>
    </row>
    <row r="2797" spans="6:9" x14ac:dyDescent="0.35">
      <c r="F2797" s="33"/>
      <c r="G2797" s="70"/>
      <c r="H2797" s="400"/>
      <c r="I2797" s="239"/>
    </row>
    <row r="2798" spans="6:9" x14ac:dyDescent="0.35">
      <c r="F2798" s="33"/>
      <c r="G2798" s="70"/>
      <c r="H2798" s="400"/>
      <c r="I2798" s="239"/>
    </row>
    <row r="2799" spans="6:9" x14ac:dyDescent="0.35">
      <c r="F2799" s="33"/>
      <c r="G2799" s="70"/>
      <c r="H2799" s="400"/>
      <c r="I2799" s="239"/>
    </row>
    <row r="2800" spans="6:9" x14ac:dyDescent="0.35">
      <c r="F2800" s="33"/>
      <c r="G2800" s="70"/>
      <c r="H2800" s="400"/>
      <c r="I2800" s="239"/>
    </row>
    <row r="2801" spans="6:9" x14ac:dyDescent="0.35">
      <c r="F2801" s="33"/>
      <c r="G2801" s="70"/>
      <c r="H2801" s="400"/>
      <c r="I2801" s="239"/>
    </row>
    <row r="2802" spans="6:9" x14ac:dyDescent="0.35">
      <c r="F2802" s="33"/>
      <c r="G2802" s="70"/>
      <c r="H2802" s="400"/>
      <c r="I2802" s="239"/>
    </row>
    <row r="2803" spans="6:9" x14ac:dyDescent="0.35">
      <c r="F2803" s="33"/>
      <c r="G2803" s="70"/>
      <c r="H2803" s="400"/>
      <c r="I2803" s="239"/>
    </row>
    <row r="2804" spans="6:9" x14ac:dyDescent="0.35">
      <c r="F2804" s="33"/>
      <c r="G2804" s="70"/>
      <c r="H2804" s="400"/>
      <c r="I2804" s="239"/>
    </row>
    <row r="2805" spans="6:9" x14ac:dyDescent="0.35">
      <c r="F2805" s="33"/>
      <c r="G2805" s="70"/>
      <c r="H2805" s="400"/>
      <c r="I2805" s="239"/>
    </row>
    <row r="2806" spans="6:9" x14ac:dyDescent="0.35">
      <c r="F2806" s="33"/>
      <c r="G2806" s="70"/>
      <c r="H2806" s="400"/>
      <c r="I2806" s="239"/>
    </row>
    <row r="2807" spans="6:9" x14ac:dyDescent="0.35">
      <c r="F2807" s="33"/>
      <c r="G2807" s="70"/>
      <c r="H2807" s="400"/>
      <c r="I2807" s="239"/>
    </row>
    <row r="2808" spans="6:9" x14ac:dyDescent="0.35">
      <c r="F2808" s="33"/>
      <c r="G2808" s="70"/>
      <c r="H2808" s="400"/>
      <c r="I2808" s="239"/>
    </row>
    <row r="2809" spans="6:9" x14ac:dyDescent="0.35">
      <c r="F2809" s="33"/>
      <c r="G2809" s="70"/>
      <c r="H2809" s="400"/>
      <c r="I2809" s="239"/>
    </row>
    <row r="2810" spans="6:9" x14ac:dyDescent="0.35">
      <c r="F2810" s="33"/>
      <c r="G2810" s="70"/>
      <c r="H2810" s="400"/>
      <c r="I2810" s="239"/>
    </row>
    <row r="2811" spans="6:9" x14ac:dyDescent="0.35">
      <c r="F2811" s="33"/>
      <c r="G2811" s="70"/>
      <c r="H2811" s="400"/>
      <c r="I2811" s="239"/>
    </row>
    <row r="2812" spans="6:9" x14ac:dyDescent="0.35">
      <c r="F2812" s="33"/>
      <c r="G2812" s="70"/>
      <c r="H2812" s="400"/>
      <c r="I2812" s="239"/>
    </row>
    <row r="2813" spans="6:9" x14ac:dyDescent="0.35">
      <c r="F2813" s="33"/>
      <c r="G2813" s="70"/>
      <c r="H2813" s="400"/>
      <c r="I2813" s="239"/>
    </row>
    <row r="2814" spans="6:9" x14ac:dyDescent="0.35">
      <c r="F2814" s="33"/>
      <c r="G2814" s="70"/>
      <c r="H2814" s="400"/>
      <c r="I2814" s="239"/>
    </row>
    <row r="2815" spans="6:9" x14ac:dyDescent="0.35">
      <c r="F2815" s="33"/>
      <c r="G2815" s="70"/>
      <c r="H2815" s="400"/>
      <c r="I2815" s="239"/>
    </row>
    <row r="2816" spans="6:9" x14ac:dyDescent="0.35">
      <c r="F2816" s="33"/>
      <c r="G2816" s="70"/>
      <c r="H2816" s="400"/>
      <c r="I2816" s="239"/>
    </row>
    <row r="2817" spans="6:9" x14ac:dyDescent="0.35">
      <c r="F2817" s="33"/>
      <c r="G2817" s="70"/>
      <c r="H2817" s="400"/>
      <c r="I2817" s="239"/>
    </row>
    <row r="2818" spans="6:9" x14ac:dyDescent="0.35">
      <c r="F2818" s="33"/>
      <c r="G2818" s="70"/>
      <c r="H2818" s="400"/>
      <c r="I2818" s="239"/>
    </row>
    <row r="2819" spans="6:9" x14ac:dyDescent="0.35">
      <c r="F2819" s="33"/>
      <c r="G2819" s="70"/>
      <c r="H2819" s="400"/>
      <c r="I2819" s="239"/>
    </row>
    <row r="2820" spans="6:9" x14ac:dyDescent="0.35">
      <c r="F2820" s="33"/>
      <c r="G2820" s="70"/>
      <c r="H2820" s="400"/>
      <c r="I2820" s="239"/>
    </row>
    <row r="2821" spans="6:9" x14ac:dyDescent="0.35">
      <c r="F2821" s="33"/>
      <c r="G2821" s="70"/>
      <c r="H2821" s="400"/>
      <c r="I2821" s="239"/>
    </row>
    <row r="2822" spans="6:9" x14ac:dyDescent="0.35">
      <c r="F2822" s="33"/>
      <c r="G2822" s="70"/>
      <c r="H2822" s="400"/>
      <c r="I2822" s="239"/>
    </row>
    <row r="2823" spans="6:9" x14ac:dyDescent="0.35">
      <c r="F2823" s="33"/>
      <c r="G2823" s="70"/>
      <c r="H2823" s="400"/>
      <c r="I2823" s="239"/>
    </row>
    <row r="2824" spans="6:9" x14ac:dyDescent="0.35">
      <c r="F2824" s="33"/>
      <c r="G2824" s="70"/>
      <c r="H2824" s="400"/>
      <c r="I2824" s="239"/>
    </row>
    <row r="2825" spans="6:9" x14ac:dyDescent="0.35">
      <c r="F2825" s="33"/>
      <c r="G2825" s="70"/>
      <c r="H2825" s="400"/>
      <c r="I2825" s="239"/>
    </row>
    <row r="2826" spans="6:9" x14ac:dyDescent="0.35">
      <c r="F2826" s="33"/>
      <c r="G2826" s="70"/>
      <c r="H2826" s="400"/>
      <c r="I2826" s="239"/>
    </row>
    <row r="2827" spans="6:9" x14ac:dyDescent="0.35">
      <c r="F2827" s="33"/>
      <c r="G2827" s="70"/>
      <c r="H2827" s="400"/>
      <c r="I2827" s="239"/>
    </row>
    <row r="2828" spans="6:9" x14ac:dyDescent="0.35">
      <c r="F2828" s="33"/>
      <c r="G2828" s="70"/>
      <c r="H2828" s="400"/>
      <c r="I2828" s="239"/>
    </row>
    <row r="2829" spans="6:9" x14ac:dyDescent="0.35">
      <c r="F2829" s="33"/>
      <c r="G2829" s="70"/>
      <c r="H2829" s="400"/>
      <c r="I2829" s="239"/>
    </row>
    <row r="2830" spans="6:9" x14ac:dyDescent="0.35">
      <c r="F2830" s="33"/>
      <c r="G2830" s="70"/>
      <c r="H2830" s="400"/>
      <c r="I2830" s="239"/>
    </row>
    <row r="2831" spans="6:9" x14ac:dyDescent="0.35">
      <c r="F2831" s="33"/>
      <c r="G2831" s="70"/>
      <c r="H2831" s="400"/>
      <c r="I2831" s="239"/>
    </row>
    <row r="2832" spans="6:9" x14ac:dyDescent="0.35">
      <c r="F2832" s="33"/>
      <c r="G2832" s="70"/>
      <c r="H2832" s="400"/>
      <c r="I2832" s="239"/>
    </row>
    <row r="2833" spans="6:9" x14ac:dyDescent="0.35">
      <c r="F2833" s="33"/>
      <c r="G2833" s="70"/>
      <c r="H2833" s="400"/>
      <c r="I2833" s="239"/>
    </row>
    <row r="2834" spans="6:9" x14ac:dyDescent="0.35">
      <c r="F2834" s="33"/>
      <c r="G2834" s="70"/>
      <c r="H2834" s="400"/>
      <c r="I2834" s="239"/>
    </row>
    <row r="2835" spans="6:9" x14ac:dyDescent="0.35">
      <c r="F2835" s="33"/>
      <c r="G2835" s="70"/>
      <c r="H2835" s="400"/>
      <c r="I2835" s="239"/>
    </row>
    <row r="2836" spans="6:9" x14ac:dyDescent="0.35">
      <c r="F2836" s="33"/>
      <c r="G2836" s="70"/>
      <c r="H2836" s="400"/>
      <c r="I2836" s="239"/>
    </row>
    <row r="2837" spans="6:9" x14ac:dyDescent="0.35">
      <c r="F2837" s="33"/>
      <c r="G2837" s="70"/>
      <c r="H2837" s="400"/>
      <c r="I2837" s="239"/>
    </row>
    <row r="2838" spans="6:9" x14ac:dyDescent="0.35">
      <c r="F2838" s="33"/>
      <c r="G2838" s="70"/>
      <c r="H2838" s="400"/>
      <c r="I2838" s="239"/>
    </row>
    <row r="2839" spans="6:9" x14ac:dyDescent="0.35">
      <c r="F2839" s="33"/>
      <c r="G2839" s="70"/>
      <c r="H2839" s="400"/>
      <c r="I2839" s="239"/>
    </row>
    <row r="2840" spans="6:9" x14ac:dyDescent="0.35">
      <c r="F2840" s="33"/>
      <c r="G2840" s="70"/>
      <c r="H2840" s="400"/>
      <c r="I2840" s="239"/>
    </row>
    <row r="2841" spans="6:9" x14ac:dyDescent="0.35">
      <c r="F2841" s="33"/>
      <c r="G2841" s="70"/>
      <c r="H2841" s="400"/>
      <c r="I2841" s="239"/>
    </row>
    <row r="2842" spans="6:9" x14ac:dyDescent="0.35">
      <c r="F2842" s="33"/>
      <c r="G2842" s="70"/>
      <c r="H2842" s="400"/>
      <c r="I2842" s="239"/>
    </row>
    <row r="2843" spans="6:9" x14ac:dyDescent="0.35">
      <c r="F2843" s="33"/>
      <c r="G2843" s="70"/>
      <c r="H2843" s="400"/>
      <c r="I2843" s="239"/>
    </row>
    <row r="2844" spans="6:9" x14ac:dyDescent="0.35">
      <c r="F2844" s="33"/>
      <c r="G2844" s="70"/>
      <c r="H2844" s="400"/>
      <c r="I2844" s="239"/>
    </row>
    <row r="2845" spans="6:9" x14ac:dyDescent="0.35">
      <c r="F2845" s="33"/>
      <c r="G2845" s="70"/>
      <c r="H2845" s="400"/>
      <c r="I2845" s="239"/>
    </row>
    <row r="2846" spans="6:9" x14ac:dyDescent="0.35">
      <c r="F2846" s="33"/>
      <c r="G2846" s="70"/>
      <c r="H2846" s="400"/>
      <c r="I2846" s="239"/>
    </row>
    <row r="2847" spans="6:9" x14ac:dyDescent="0.35">
      <c r="F2847" s="33"/>
      <c r="G2847" s="70"/>
      <c r="H2847" s="400"/>
      <c r="I2847" s="239"/>
    </row>
    <row r="2848" spans="6:9" x14ac:dyDescent="0.35">
      <c r="F2848" s="33"/>
      <c r="G2848" s="70"/>
      <c r="H2848" s="400"/>
      <c r="I2848" s="239"/>
    </row>
    <row r="2849" spans="6:9" x14ac:dyDescent="0.35">
      <c r="F2849" s="33"/>
      <c r="G2849" s="70"/>
      <c r="H2849" s="400"/>
      <c r="I2849" s="239"/>
    </row>
    <row r="2850" spans="6:9" x14ac:dyDescent="0.35">
      <c r="F2850" s="33"/>
      <c r="G2850" s="70"/>
      <c r="H2850" s="400"/>
      <c r="I2850" s="239"/>
    </row>
    <row r="2851" spans="6:9" x14ac:dyDescent="0.35">
      <c r="F2851" s="33"/>
      <c r="G2851" s="70"/>
      <c r="H2851" s="400"/>
      <c r="I2851" s="239"/>
    </row>
    <row r="2852" spans="6:9" x14ac:dyDescent="0.35">
      <c r="F2852" s="33"/>
      <c r="G2852" s="70"/>
      <c r="H2852" s="400"/>
      <c r="I2852" s="239"/>
    </row>
    <row r="2853" spans="6:9" x14ac:dyDescent="0.35">
      <c r="F2853" s="33"/>
      <c r="G2853" s="70"/>
      <c r="H2853" s="400"/>
      <c r="I2853" s="239"/>
    </row>
    <row r="2854" spans="6:9" x14ac:dyDescent="0.35">
      <c r="F2854" s="33"/>
      <c r="G2854" s="70"/>
      <c r="H2854" s="400"/>
      <c r="I2854" s="239"/>
    </row>
    <row r="2855" spans="6:9" x14ac:dyDescent="0.35">
      <c r="F2855" s="33"/>
      <c r="G2855" s="70"/>
      <c r="H2855" s="400"/>
      <c r="I2855" s="239"/>
    </row>
    <row r="2856" spans="6:9" x14ac:dyDescent="0.35">
      <c r="F2856" s="33"/>
      <c r="G2856" s="70"/>
      <c r="H2856" s="400"/>
      <c r="I2856" s="239"/>
    </row>
    <row r="2857" spans="6:9" x14ac:dyDescent="0.35">
      <c r="F2857" s="33"/>
      <c r="G2857" s="70"/>
      <c r="H2857" s="400"/>
      <c r="I2857" s="239"/>
    </row>
    <row r="2858" spans="6:9" x14ac:dyDescent="0.35">
      <c r="F2858" s="33"/>
      <c r="G2858" s="70"/>
      <c r="H2858" s="400"/>
      <c r="I2858" s="239"/>
    </row>
    <row r="2859" spans="6:9" x14ac:dyDescent="0.35">
      <c r="F2859" s="33"/>
      <c r="G2859" s="70"/>
      <c r="H2859" s="400"/>
      <c r="I2859" s="239"/>
    </row>
    <row r="2860" spans="6:9" x14ac:dyDescent="0.35">
      <c r="F2860" s="33"/>
      <c r="G2860" s="70"/>
      <c r="H2860" s="400"/>
      <c r="I2860" s="239"/>
    </row>
    <row r="2861" spans="6:9" x14ac:dyDescent="0.35">
      <c r="F2861" s="33"/>
      <c r="G2861" s="70"/>
      <c r="H2861" s="400"/>
      <c r="I2861" s="239"/>
    </row>
    <row r="2862" spans="6:9" x14ac:dyDescent="0.35">
      <c r="F2862" s="33"/>
      <c r="G2862" s="70"/>
      <c r="H2862" s="400"/>
      <c r="I2862" s="239"/>
    </row>
    <row r="2863" spans="6:9" x14ac:dyDescent="0.35">
      <c r="F2863" s="33"/>
      <c r="G2863" s="70"/>
      <c r="H2863" s="400"/>
      <c r="I2863" s="239"/>
    </row>
    <row r="2864" spans="6:9" x14ac:dyDescent="0.35">
      <c r="F2864" s="33"/>
      <c r="G2864" s="70"/>
      <c r="H2864" s="400"/>
      <c r="I2864" s="239"/>
    </row>
    <row r="2865" spans="6:9" x14ac:dyDescent="0.35">
      <c r="F2865" s="33"/>
      <c r="G2865" s="70"/>
      <c r="H2865" s="400"/>
      <c r="I2865" s="239"/>
    </row>
    <row r="2866" spans="6:9" x14ac:dyDescent="0.35">
      <c r="F2866" s="33"/>
      <c r="G2866" s="70"/>
      <c r="H2866" s="400"/>
      <c r="I2866" s="239"/>
    </row>
    <row r="2867" spans="6:9" x14ac:dyDescent="0.35">
      <c r="F2867" s="33"/>
      <c r="G2867" s="70"/>
      <c r="H2867" s="400"/>
      <c r="I2867" s="239"/>
    </row>
    <row r="2868" spans="6:9" x14ac:dyDescent="0.35">
      <c r="F2868" s="33"/>
      <c r="G2868" s="70"/>
      <c r="H2868" s="400"/>
      <c r="I2868" s="239"/>
    </row>
    <row r="2869" spans="6:9" x14ac:dyDescent="0.35">
      <c r="F2869" s="33"/>
      <c r="G2869" s="70"/>
      <c r="H2869" s="400"/>
      <c r="I2869" s="239"/>
    </row>
    <row r="2870" spans="6:9" x14ac:dyDescent="0.35">
      <c r="F2870" s="33"/>
      <c r="G2870" s="70"/>
      <c r="H2870" s="400"/>
      <c r="I2870" s="239"/>
    </row>
    <row r="2871" spans="6:9" x14ac:dyDescent="0.35">
      <c r="F2871" s="33"/>
      <c r="G2871" s="70"/>
      <c r="H2871" s="400"/>
      <c r="I2871" s="239"/>
    </row>
    <row r="2872" spans="6:9" x14ac:dyDescent="0.35">
      <c r="F2872" s="33"/>
      <c r="G2872" s="70"/>
      <c r="H2872" s="400"/>
      <c r="I2872" s="239"/>
    </row>
    <row r="2873" spans="6:9" x14ac:dyDescent="0.35">
      <c r="F2873" s="33"/>
      <c r="G2873" s="70"/>
      <c r="H2873" s="400"/>
      <c r="I2873" s="239"/>
    </row>
    <row r="2874" spans="6:9" x14ac:dyDescent="0.35">
      <c r="F2874" s="33"/>
      <c r="G2874" s="70"/>
      <c r="H2874" s="400"/>
      <c r="I2874" s="239"/>
    </row>
    <row r="2875" spans="6:9" x14ac:dyDescent="0.35">
      <c r="F2875" s="33"/>
      <c r="G2875" s="70"/>
      <c r="H2875" s="400"/>
      <c r="I2875" s="239"/>
    </row>
    <row r="2876" spans="6:9" x14ac:dyDescent="0.35">
      <c r="F2876" s="33"/>
      <c r="G2876" s="70"/>
      <c r="H2876" s="400"/>
      <c r="I2876" s="239"/>
    </row>
    <row r="2877" spans="6:9" x14ac:dyDescent="0.35">
      <c r="F2877" s="33"/>
      <c r="G2877" s="70"/>
      <c r="H2877" s="400"/>
      <c r="I2877" s="239"/>
    </row>
    <row r="2878" spans="6:9" x14ac:dyDescent="0.35">
      <c r="F2878" s="33"/>
      <c r="G2878" s="70"/>
      <c r="H2878" s="400"/>
      <c r="I2878" s="239"/>
    </row>
    <row r="2879" spans="6:9" x14ac:dyDescent="0.35">
      <c r="F2879" s="33"/>
      <c r="G2879" s="70"/>
      <c r="H2879" s="400"/>
      <c r="I2879" s="239"/>
    </row>
    <row r="2880" spans="6:9" x14ac:dyDescent="0.35">
      <c r="F2880" s="33"/>
      <c r="G2880" s="70"/>
      <c r="H2880" s="400"/>
      <c r="I2880" s="239"/>
    </row>
    <row r="2881" spans="6:9" x14ac:dyDescent="0.35">
      <c r="F2881" s="33"/>
      <c r="G2881" s="70"/>
      <c r="H2881" s="400"/>
      <c r="I2881" s="239"/>
    </row>
    <row r="2882" spans="6:9" x14ac:dyDescent="0.35">
      <c r="F2882" s="33"/>
      <c r="G2882" s="70"/>
      <c r="H2882" s="400"/>
      <c r="I2882" s="239"/>
    </row>
    <row r="2883" spans="6:9" x14ac:dyDescent="0.35">
      <c r="F2883" s="33"/>
      <c r="G2883" s="70"/>
      <c r="H2883" s="400"/>
      <c r="I2883" s="239"/>
    </row>
    <row r="2884" spans="6:9" x14ac:dyDescent="0.35">
      <c r="F2884" s="33"/>
      <c r="G2884" s="70"/>
      <c r="H2884" s="400"/>
      <c r="I2884" s="239"/>
    </row>
    <row r="2885" spans="6:9" x14ac:dyDescent="0.35">
      <c r="F2885" s="33"/>
      <c r="G2885" s="70"/>
      <c r="H2885" s="400"/>
      <c r="I2885" s="239"/>
    </row>
    <row r="2886" spans="6:9" x14ac:dyDescent="0.35">
      <c r="F2886" s="33"/>
      <c r="G2886" s="70"/>
      <c r="H2886" s="400"/>
      <c r="I2886" s="239"/>
    </row>
    <row r="2887" spans="6:9" x14ac:dyDescent="0.35">
      <c r="F2887" s="33"/>
      <c r="G2887" s="70"/>
      <c r="H2887" s="400"/>
      <c r="I2887" s="239"/>
    </row>
    <row r="2888" spans="6:9" x14ac:dyDescent="0.35">
      <c r="F2888" s="33"/>
      <c r="G2888" s="70"/>
      <c r="H2888" s="400"/>
      <c r="I2888" s="239"/>
    </row>
    <row r="2889" spans="6:9" x14ac:dyDescent="0.35">
      <c r="F2889" s="33"/>
      <c r="G2889" s="70"/>
      <c r="H2889" s="400"/>
      <c r="I2889" s="239"/>
    </row>
    <row r="2890" spans="6:9" x14ac:dyDescent="0.35">
      <c r="F2890" s="33"/>
      <c r="G2890" s="70"/>
      <c r="H2890" s="400"/>
      <c r="I2890" s="239"/>
    </row>
    <row r="2891" spans="6:9" x14ac:dyDescent="0.35">
      <c r="F2891" s="33"/>
      <c r="G2891" s="70"/>
      <c r="H2891" s="400"/>
      <c r="I2891" s="239"/>
    </row>
    <row r="2892" spans="6:9" x14ac:dyDescent="0.35">
      <c r="F2892" s="33"/>
      <c r="G2892" s="70"/>
      <c r="H2892" s="400"/>
      <c r="I2892" s="239"/>
    </row>
    <row r="2893" spans="6:9" x14ac:dyDescent="0.35">
      <c r="F2893" s="33"/>
      <c r="G2893" s="70"/>
      <c r="H2893" s="400"/>
      <c r="I2893" s="239"/>
    </row>
    <row r="2894" spans="6:9" x14ac:dyDescent="0.35">
      <c r="F2894" s="33"/>
      <c r="G2894" s="70"/>
      <c r="H2894" s="400"/>
      <c r="I2894" s="239"/>
    </row>
    <row r="2895" spans="6:9" x14ac:dyDescent="0.35">
      <c r="F2895" s="33"/>
      <c r="G2895" s="70"/>
      <c r="H2895" s="400"/>
      <c r="I2895" s="239"/>
    </row>
    <row r="2896" spans="6:9" x14ac:dyDescent="0.35">
      <c r="F2896" s="33"/>
      <c r="G2896" s="70"/>
      <c r="H2896" s="400"/>
      <c r="I2896" s="239"/>
    </row>
    <row r="2897" spans="6:9" x14ac:dyDescent="0.35">
      <c r="F2897" s="33"/>
      <c r="G2897" s="70"/>
      <c r="H2897" s="400"/>
      <c r="I2897" s="239"/>
    </row>
    <row r="2898" spans="6:9" x14ac:dyDescent="0.35">
      <c r="F2898" s="33"/>
      <c r="G2898" s="70"/>
      <c r="H2898" s="400"/>
      <c r="I2898" s="239"/>
    </row>
    <row r="2899" spans="6:9" x14ac:dyDescent="0.35">
      <c r="F2899" s="33"/>
      <c r="G2899" s="70"/>
      <c r="H2899" s="400"/>
      <c r="I2899" s="239"/>
    </row>
    <row r="2900" spans="6:9" x14ac:dyDescent="0.35">
      <c r="F2900" s="33"/>
      <c r="G2900" s="70"/>
      <c r="H2900" s="400"/>
      <c r="I2900" s="239"/>
    </row>
    <row r="2901" spans="6:9" x14ac:dyDescent="0.35">
      <c r="F2901" s="33"/>
      <c r="G2901" s="70"/>
      <c r="H2901" s="400"/>
      <c r="I2901" s="239"/>
    </row>
    <row r="2902" spans="6:9" x14ac:dyDescent="0.35">
      <c r="F2902" s="33"/>
      <c r="G2902" s="70"/>
      <c r="H2902" s="400"/>
      <c r="I2902" s="239"/>
    </row>
    <row r="2903" spans="6:9" x14ac:dyDescent="0.35">
      <c r="F2903" s="33"/>
      <c r="G2903" s="70"/>
      <c r="H2903" s="400"/>
      <c r="I2903" s="239"/>
    </row>
    <row r="2904" spans="6:9" x14ac:dyDescent="0.35">
      <c r="F2904" s="33"/>
      <c r="G2904" s="70"/>
      <c r="H2904" s="400"/>
      <c r="I2904" s="239"/>
    </row>
    <row r="2905" spans="6:9" x14ac:dyDescent="0.35">
      <c r="F2905" s="33"/>
      <c r="G2905" s="70"/>
      <c r="H2905" s="400"/>
      <c r="I2905" s="239"/>
    </row>
    <row r="2906" spans="6:9" x14ac:dyDescent="0.35">
      <c r="F2906" s="33"/>
      <c r="G2906" s="70"/>
      <c r="H2906" s="400"/>
      <c r="I2906" s="239"/>
    </row>
    <row r="2907" spans="6:9" x14ac:dyDescent="0.35">
      <c r="F2907" s="33"/>
      <c r="G2907" s="70"/>
      <c r="H2907" s="400"/>
      <c r="I2907" s="239"/>
    </row>
    <row r="2908" spans="6:9" x14ac:dyDescent="0.35">
      <c r="F2908" s="33"/>
      <c r="G2908" s="70"/>
      <c r="H2908" s="400"/>
      <c r="I2908" s="239"/>
    </row>
    <row r="2909" spans="6:9" x14ac:dyDescent="0.35">
      <c r="F2909" s="33"/>
      <c r="G2909" s="70"/>
      <c r="H2909" s="400"/>
      <c r="I2909" s="239"/>
    </row>
    <row r="2910" spans="6:9" x14ac:dyDescent="0.35">
      <c r="F2910" s="33"/>
      <c r="G2910" s="70"/>
      <c r="H2910" s="400"/>
      <c r="I2910" s="239"/>
    </row>
    <row r="2911" spans="6:9" x14ac:dyDescent="0.35">
      <c r="F2911" s="33"/>
      <c r="G2911" s="70"/>
      <c r="H2911" s="400"/>
      <c r="I2911" s="239"/>
    </row>
    <row r="2912" spans="6:9" x14ac:dyDescent="0.35">
      <c r="F2912" s="33"/>
      <c r="G2912" s="70"/>
      <c r="H2912" s="400"/>
      <c r="I2912" s="239"/>
    </row>
    <row r="2913" spans="6:9" x14ac:dyDescent="0.35">
      <c r="F2913" s="33"/>
      <c r="G2913" s="70"/>
      <c r="H2913" s="400"/>
      <c r="I2913" s="239"/>
    </row>
    <row r="2914" spans="6:9" x14ac:dyDescent="0.35">
      <c r="F2914" s="33"/>
      <c r="G2914" s="70"/>
      <c r="H2914" s="400"/>
      <c r="I2914" s="239"/>
    </row>
    <row r="2915" spans="6:9" x14ac:dyDescent="0.35">
      <c r="F2915" s="33"/>
      <c r="G2915" s="70"/>
      <c r="H2915" s="400"/>
      <c r="I2915" s="239"/>
    </row>
    <row r="2916" spans="6:9" x14ac:dyDescent="0.35">
      <c r="F2916" s="33"/>
      <c r="G2916" s="70"/>
      <c r="H2916" s="400"/>
      <c r="I2916" s="239"/>
    </row>
    <row r="2917" spans="6:9" x14ac:dyDescent="0.35">
      <c r="F2917" s="33"/>
      <c r="G2917" s="70"/>
      <c r="H2917" s="400"/>
      <c r="I2917" s="239"/>
    </row>
    <row r="2918" spans="6:9" x14ac:dyDescent="0.35">
      <c r="F2918" s="33"/>
      <c r="G2918" s="70"/>
      <c r="H2918" s="400"/>
      <c r="I2918" s="239"/>
    </row>
    <row r="2919" spans="6:9" x14ac:dyDescent="0.35">
      <c r="F2919" s="33"/>
      <c r="G2919" s="70"/>
      <c r="H2919" s="400"/>
      <c r="I2919" s="239"/>
    </row>
    <row r="2920" spans="6:9" x14ac:dyDescent="0.35">
      <c r="F2920" s="33"/>
      <c r="G2920" s="70"/>
      <c r="H2920" s="400"/>
      <c r="I2920" s="239"/>
    </row>
    <row r="2921" spans="6:9" x14ac:dyDescent="0.35">
      <c r="F2921" s="33"/>
      <c r="G2921" s="70"/>
      <c r="H2921" s="400"/>
      <c r="I2921" s="239"/>
    </row>
    <row r="2922" spans="6:9" x14ac:dyDescent="0.35">
      <c r="F2922" s="33"/>
      <c r="G2922" s="70"/>
      <c r="H2922" s="400"/>
      <c r="I2922" s="239"/>
    </row>
    <row r="2923" spans="6:9" x14ac:dyDescent="0.35">
      <c r="F2923" s="33"/>
      <c r="G2923" s="70"/>
      <c r="H2923" s="400"/>
      <c r="I2923" s="239"/>
    </row>
    <row r="2924" spans="6:9" x14ac:dyDescent="0.35">
      <c r="F2924" s="33"/>
      <c r="G2924" s="70"/>
      <c r="H2924" s="400"/>
      <c r="I2924" s="239"/>
    </row>
    <row r="2925" spans="6:9" x14ac:dyDescent="0.35">
      <c r="F2925" s="33"/>
      <c r="G2925" s="70"/>
      <c r="H2925" s="400"/>
      <c r="I2925" s="239"/>
    </row>
    <row r="2926" spans="6:9" x14ac:dyDescent="0.35">
      <c r="F2926" s="33"/>
      <c r="G2926" s="70"/>
      <c r="H2926" s="400"/>
      <c r="I2926" s="239"/>
    </row>
    <row r="2927" spans="6:9" x14ac:dyDescent="0.35">
      <c r="F2927" s="33"/>
      <c r="G2927" s="70"/>
      <c r="H2927" s="400"/>
      <c r="I2927" s="239"/>
    </row>
    <row r="2928" spans="6:9" x14ac:dyDescent="0.35">
      <c r="F2928" s="33"/>
      <c r="G2928" s="70"/>
      <c r="H2928" s="400"/>
      <c r="I2928" s="239"/>
    </row>
    <row r="2929" spans="6:9" x14ac:dyDescent="0.35">
      <c r="F2929" s="33"/>
      <c r="G2929" s="70"/>
      <c r="H2929" s="400"/>
      <c r="I2929" s="239"/>
    </row>
    <row r="2930" spans="6:9" x14ac:dyDescent="0.35">
      <c r="F2930" s="33"/>
      <c r="G2930" s="70"/>
      <c r="H2930" s="400"/>
      <c r="I2930" s="239"/>
    </row>
    <row r="2931" spans="6:9" x14ac:dyDescent="0.35">
      <c r="F2931" s="33"/>
      <c r="G2931" s="70"/>
      <c r="H2931" s="400"/>
      <c r="I2931" s="239"/>
    </row>
    <row r="2932" spans="6:9" x14ac:dyDescent="0.35">
      <c r="F2932" s="33"/>
      <c r="G2932" s="70"/>
      <c r="H2932" s="400"/>
      <c r="I2932" s="239"/>
    </row>
    <row r="2933" spans="6:9" x14ac:dyDescent="0.35">
      <c r="F2933" s="33"/>
      <c r="G2933" s="70"/>
      <c r="H2933" s="400"/>
      <c r="I2933" s="239"/>
    </row>
    <row r="2934" spans="6:9" x14ac:dyDescent="0.35">
      <c r="F2934" s="33"/>
      <c r="G2934" s="70"/>
      <c r="H2934" s="400"/>
      <c r="I2934" s="239"/>
    </row>
    <row r="2935" spans="6:9" x14ac:dyDescent="0.35">
      <c r="F2935" s="33"/>
      <c r="G2935" s="70"/>
      <c r="H2935" s="400"/>
      <c r="I2935" s="239"/>
    </row>
    <row r="2936" spans="6:9" x14ac:dyDescent="0.35">
      <c r="F2936" s="33"/>
      <c r="G2936" s="70"/>
      <c r="H2936" s="400"/>
      <c r="I2936" s="239"/>
    </row>
    <row r="2937" spans="6:9" x14ac:dyDescent="0.35">
      <c r="F2937" s="33"/>
      <c r="G2937" s="70"/>
      <c r="H2937" s="400"/>
      <c r="I2937" s="239"/>
    </row>
    <row r="2938" spans="6:9" x14ac:dyDescent="0.35">
      <c r="F2938" s="33"/>
      <c r="G2938" s="70"/>
      <c r="H2938" s="400"/>
      <c r="I2938" s="239"/>
    </row>
    <row r="2939" spans="6:9" x14ac:dyDescent="0.35">
      <c r="F2939" s="33"/>
      <c r="G2939" s="70"/>
      <c r="H2939" s="400"/>
      <c r="I2939" s="239"/>
    </row>
    <row r="2940" spans="6:9" x14ac:dyDescent="0.35">
      <c r="F2940" s="33"/>
      <c r="G2940" s="70"/>
      <c r="H2940" s="400"/>
      <c r="I2940" s="239"/>
    </row>
    <row r="2941" spans="6:9" x14ac:dyDescent="0.35">
      <c r="F2941" s="33"/>
      <c r="G2941" s="70"/>
      <c r="H2941" s="400"/>
      <c r="I2941" s="239"/>
    </row>
    <row r="2942" spans="6:9" x14ac:dyDescent="0.35">
      <c r="F2942" s="33"/>
      <c r="G2942" s="70"/>
      <c r="H2942" s="400"/>
      <c r="I2942" s="239"/>
    </row>
    <row r="2943" spans="6:9" x14ac:dyDescent="0.35">
      <c r="F2943" s="33"/>
      <c r="G2943" s="70"/>
      <c r="H2943" s="400"/>
      <c r="I2943" s="239"/>
    </row>
    <row r="2944" spans="6:9" x14ac:dyDescent="0.35">
      <c r="F2944" s="33"/>
      <c r="G2944" s="70"/>
      <c r="H2944" s="400"/>
      <c r="I2944" s="239"/>
    </row>
    <row r="2945" spans="6:9" x14ac:dyDescent="0.35">
      <c r="F2945" s="33"/>
      <c r="G2945" s="70"/>
      <c r="H2945" s="400"/>
      <c r="I2945" s="239"/>
    </row>
    <row r="2946" spans="6:9" x14ac:dyDescent="0.35">
      <c r="F2946" s="33"/>
      <c r="G2946" s="70"/>
      <c r="H2946" s="400"/>
      <c r="I2946" s="239"/>
    </row>
    <row r="2947" spans="6:9" x14ac:dyDescent="0.35">
      <c r="F2947" s="33"/>
      <c r="G2947" s="70"/>
      <c r="H2947" s="400"/>
      <c r="I2947" s="239"/>
    </row>
    <row r="2948" spans="6:9" x14ac:dyDescent="0.35">
      <c r="F2948" s="33"/>
      <c r="G2948" s="70"/>
      <c r="H2948" s="400"/>
      <c r="I2948" s="239"/>
    </row>
    <row r="2949" spans="6:9" x14ac:dyDescent="0.35">
      <c r="F2949" s="33"/>
      <c r="G2949" s="70"/>
      <c r="H2949" s="400"/>
      <c r="I2949" s="239"/>
    </row>
    <row r="2950" spans="6:9" x14ac:dyDescent="0.35">
      <c r="F2950" s="33"/>
      <c r="G2950" s="70"/>
      <c r="H2950" s="400"/>
      <c r="I2950" s="239"/>
    </row>
    <row r="2951" spans="6:9" x14ac:dyDescent="0.35">
      <c r="F2951" s="33"/>
      <c r="G2951" s="70"/>
      <c r="H2951" s="400"/>
      <c r="I2951" s="239"/>
    </row>
    <row r="2952" spans="6:9" x14ac:dyDescent="0.35">
      <c r="F2952" s="33"/>
      <c r="G2952" s="70"/>
      <c r="H2952" s="400"/>
      <c r="I2952" s="239"/>
    </row>
    <row r="2953" spans="6:9" x14ac:dyDescent="0.35">
      <c r="F2953" s="33"/>
      <c r="G2953" s="70"/>
      <c r="H2953" s="400"/>
      <c r="I2953" s="239"/>
    </row>
    <row r="2954" spans="6:9" x14ac:dyDescent="0.35">
      <c r="F2954" s="33"/>
      <c r="G2954" s="70"/>
      <c r="H2954" s="400"/>
      <c r="I2954" s="239"/>
    </row>
    <row r="2955" spans="6:9" x14ac:dyDescent="0.35">
      <c r="F2955" s="33"/>
      <c r="G2955" s="70"/>
      <c r="H2955" s="400"/>
      <c r="I2955" s="239"/>
    </row>
    <row r="2956" spans="6:9" x14ac:dyDescent="0.35">
      <c r="F2956" s="33"/>
      <c r="G2956" s="70"/>
      <c r="H2956" s="400"/>
      <c r="I2956" s="239"/>
    </row>
    <row r="2957" spans="6:9" x14ac:dyDescent="0.35">
      <c r="F2957" s="33"/>
      <c r="G2957" s="70"/>
      <c r="H2957" s="400"/>
      <c r="I2957" s="239"/>
    </row>
    <row r="2958" spans="6:9" x14ac:dyDescent="0.35">
      <c r="F2958" s="33"/>
      <c r="G2958" s="70"/>
      <c r="H2958" s="400"/>
      <c r="I2958" s="239"/>
    </row>
    <row r="2959" spans="6:9" x14ac:dyDescent="0.35">
      <c r="F2959" s="33"/>
      <c r="G2959" s="70"/>
      <c r="H2959" s="400"/>
      <c r="I2959" s="239"/>
    </row>
    <row r="2960" spans="6:9" x14ac:dyDescent="0.35">
      <c r="F2960" s="33"/>
      <c r="G2960" s="70"/>
      <c r="H2960" s="400"/>
      <c r="I2960" s="239"/>
    </row>
    <row r="2961" spans="6:9" x14ac:dyDescent="0.35">
      <c r="F2961" s="33"/>
      <c r="G2961" s="70"/>
      <c r="H2961" s="400"/>
      <c r="I2961" s="239"/>
    </row>
    <row r="2962" spans="6:9" x14ac:dyDescent="0.35">
      <c r="F2962" s="33"/>
      <c r="G2962" s="70"/>
      <c r="H2962" s="400"/>
      <c r="I2962" s="239"/>
    </row>
    <row r="2963" spans="6:9" x14ac:dyDescent="0.35">
      <c r="F2963" s="33"/>
      <c r="G2963" s="70"/>
      <c r="H2963" s="400"/>
      <c r="I2963" s="239"/>
    </row>
    <row r="2964" spans="6:9" x14ac:dyDescent="0.35">
      <c r="F2964" s="33"/>
      <c r="G2964" s="70"/>
      <c r="H2964" s="400"/>
      <c r="I2964" s="239"/>
    </row>
    <row r="2965" spans="6:9" x14ac:dyDescent="0.35">
      <c r="F2965" s="33"/>
      <c r="G2965" s="70"/>
      <c r="H2965" s="400"/>
      <c r="I2965" s="239"/>
    </row>
    <row r="2966" spans="6:9" x14ac:dyDescent="0.35">
      <c r="F2966" s="33"/>
      <c r="G2966" s="70"/>
      <c r="H2966" s="400"/>
      <c r="I2966" s="239"/>
    </row>
    <row r="2967" spans="6:9" x14ac:dyDescent="0.35">
      <c r="F2967" s="33"/>
      <c r="G2967" s="70"/>
      <c r="H2967" s="400"/>
      <c r="I2967" s="239"/>
    </row>
    <row r="2968" spans="6:9" x14ac:dyDescent="0.35">
      <c r="F2968" s="33"/>
      <c r="G2968" s="70"/>
      <c r="H2968" s="400"/>
      <c r="I2968" s="239"/>
    </row>
    <row r="2969" spans="6:9" x14ac:dyDescent="0.35">
      <c r="F2969" s="33"/>
      <c r="G2969" s="70"/>
      <c r="H2969" s="400"/>
      <c r="I2969" s="239"/>
    </row>
    <row r="2970" spans="6:9" x14ac:dyDescent="0.35">
      <c r="F2970" s="33"/>
      <c r="G2970" s="70"/>
      <c r="H2970" s="400"/>
      <c r="I2970" s="239"/>
    </row>
    <row r="2971" spans="6:9" x14ac:dyDescent="0.35">
      <c r="F2971" s="33"/>
      <c r="G2971" s="70"/>
      <c r="H2971" s="400"/>
      <c r="I2971" s="239"/>
    </row>
    <row r="2972" spans="6:9" x14ac:dyDescent="0.35">
      <c r="F2972" s="33"/>
      <c r="G2972" s="70"/>
      <c r="H2972" s="400"/>
      <c r="I2972" s="239"/>
    </row>
    <row r="2973" spans="6:9" x14ac:dyDescent="0.35">
      <c r="F2973" s="33"/>
      <c r="G2973" s="70"/>
      <c r="H2973" s="400"/>
      <c r="I2973" s="239"/>
    </row>
    <row r="2974" spans="6:9" x14ac:dyDescent="0.35">
      <c r="F2974" s="33"/>
      <c r="G2974" s="70"/>
      <c r="H2974" s="400"/>
      <c r="I2974" s="239"/>
    </row>
    <row r="2975" spans="6:9" x14ac:dyDescent="0.35">
      <c r="F2975" s="33"/>
      <c r="G2975" s="70"/>
      <c r="H2975" s="400"/>
      <c r="I2975" s="239"/>
    </row>
    <row r="2976" spans="6:9" x14ac:dyDescent="0.35">
      <c r="F2976" s="33"/>
      <c r="G2976" s="70"/>
      <c r="H2976" s="400"/>
      <c r="I2976" s="239"/>
    </row>
    <row r="2977" spans="6:9" x14ac:dyDescent="0.35">
      <c r="F2977" s="33"/>
      <c r="G2977" s="70"/>
      <c r="H2977" s="400"/>
      <c r="I2977" s="239"/>
    </row>
    <row r="2978" spans="6:9" x14ac:dyDescent="0.35">
      <c r="F2978" s="33"/>
      <c r="G2978" s="70"/>
      <c r="H2978" s="400"/>
      <c r="I2978" s="239"/>
    </row>
    <row r="2979" spans="6:9" x14ac:dyDescent="0.35">
      <c r="F2979" s="33"/>
      <c r="G2979" s="70"/>
      <c r="H2979" s="400"/>
      <c r="I2979" s="239"/>
    </row>
    <row r="2980" spans="6:9" x14ac:dyDescent="0.35">
      <c r="F2980" s="33"/>
      <c r="G2980" s="70"/>
      <c r="H2980" s="400"/>
      <c r="I2980" s="239"/>
    </row>
    <row r="2981" spans="6:9" x14ac:dyDescent="0.35">
      <c r="F2981" s="33"/>
      <c r="G2981" s="70"/>
      <c r="H2981" s="400"/>
      <c r="I2981" s="239"/>
    </row>
    <row r="2982" spans="6:9" x14ac:dyDescent="0.35">
      <c r="F2982" s="33"/>
      <c r="G2982" s="70"/>
      <c r="H2982" s="400"/>
      <c r="I2982" s="239"/>
    </row>
    <row r="2983" spans="6:9" x14ac:dyDescent="0.35">
      <c r="F2983" s="33"/>
      <c r="G2983" s="70"/>
      <c r="H2983" s="400"/>
      <c r="I2983" s="239"/>
    </row>
    <row r="2984" spans="6:9" x14ac:dyDescent="0.35">
      <c r="F2984" s="33"/>
      <c r="G2984" s="70"/>
      <c r="H2984" s="400"/>
      <c r="I2984" s="239"/>
    </row>
    <row r="2985" spans="6:9" x14ac:dyDescent="0.35">
      <c r="F2985" s="33"/>
      <c r="G2985" s="70"/>
      <c r="H2985" s="400"/>
      <c r="I2985" s="239"/>
    </row>
    <row r="2986" spans="6:9" x14ac:dyDescent="0.35">
      <c r="F2986" s="33"/>
      <c r="G2986" s="70"/>
      <c r="H2986" s="400"/>
      <c r="I2986" s="239"/>
    </row>
    <row r="2987" spans="6:9" x14ac:dyDescent="0.35">
      <c r="F2987" s="33"/>
      <c r="G2987" s="70"/>
      <c r="H2987" s="400"/>
      <c r="I2987" s="239"/>
    </row>
    <row r="2988" spans="6:9" x14ac:dyDescent="0.35">
      <c r="F2988" s="33"/>
      <c r="G2988" s="70"/>
      <c r="H2988" s="400"/>
      <c r="I2988" s="239"/>
    </row>
    <row r="2989" spans="6:9" x14ac:dyDescent="0.35">
      <c r="F2989" s="33"/>
      <c r="G2989" s="70"/>
      <c r="H2989" s="400"/>
      <c r="I2989" s="239"/>
    </row>
    <row r="2990" spans="6:9" x14ac:dyDescent="0.35">
      <c r="F2990" s="33"/>
      <c r="G2990" s="70"/>
      <c r="H2990" s="400"/>
      <c r="I2990" s="239"/>
    </row>
    <row r="2991" spans="6:9" x14ac:dyDescent="0.35">
      <c r="F2991" s="33"/>
      <c r="G2991" s="70"/>
      <c r="H2991" s="400"/>
      <c r="I2991" s="239"/>
    </row>
    <row r="2992" spans="6:9" x14ac:dyDescent="0.35">
      <c r="F2992" s="33"/>
      <c r="G2992" s="70"/>
      <c r="H2992" s="400"/>
      <c r="I2992" s="239"/>
    </row>
    <row r="2993" spans="6:9" x14ac:dyDescent="0.35">
      <c r="F2993" s="33"/>
      <c r="G2993" s="70"/>
      <c r="H2993" s="400"/>
      <c r="I2993" s="239"/>
    </row>
    <row r="2994" spans="6:9" x14ac:dyDescent="0.35">
      <c r="F2994" s="33"/>
      <c r="G2994" s="70"/>
      <c r="H2994" s="400"/>
      <c r="I2994" s="239"/>
    </row>
    <row r="2995" spans="6:9" x14ac:dyDescent="0.35">
      <c r="F2995" s="33"/>
      <c r="G2995" s="70"/>
      <c r="H2995" s="400"/>
      <c r="I2995" s="239"/>
    </row>
    <row r="2996" spans="6:9" x14ac:dyDescent="0.35">
      <c r="F2996" s="33"/>
      <c r="G2996" s="70"/>
      <c r="H2996" s="400"/>
      <c r="I2996" s="239"/>
    </row>
    <row r="2997" spans="6:9" x14ac:dyDescent="0.35">
      <c r="F2997" s="33"/>
      <c r="G2997" s="70"/>
      <c r="H2997" s="400"/>
      <c r="I2997" s="239"/>
    </row>
    <row r="2998" spans="6:9" x14ac:dyDescent="0.35">
      <c r="F2998" s="33"/>
      <c r="G2998" s="70"/>
      <c r="H2998" s="400"/>
      <c r="I2998" s="239"/>
    </row>
    <row r="2999" spans="6:9" x14ac:dyDescent="0.35">
      <c r="F2999" s="33"/>
      <c r="G2999" s="70"/>
      <c r="H2999" s="400"/>
      <c r="I2999" s="239"/>
    </row>
    <row r="3000" spans="6:9" x14ac:dyDescent="0.35">
      <c r="F3000" s="33"/>
      <c r="G3000" s="70"/>
      <c r="H3000" s="400"/>
      <c r="I3000" s="239"/>
    </row>
    <row r="3001" spans="6:9" x14ac:dyDescent="0.35">
      <c r="F3001" s="33"/>
      <c r="G3001" s="70"/>
      <c r="H3001" s="400"/>
      <c r="I3001" s="239"/>
    </row>
    <row r="3002" spans="6:9" x14ac:dyDescent="0.35">
      <c r="F3002" s="33"/>
      <c r="G3002" s="70"/>
      <c r="H3002" s="400"/>
      <c r="I3002" s="239"/>
    </row>
    <row r="3003" spans="6:9" x14ac:dyDescent="0.35">
      <c r="F3003" s="33"/>
      <c r="G3003" s="70"/>
      <c r="H3003" s="400"/>
      <c r="I3003" s="239"/>
    </row>
    <row r="3004" spans="6:9" x14ac:dyDescent="0.35">
      <c r="F3004" s="33"/>
      <c r="G3004" s="70"/>
      <c r="H3004" s="400"/>
      <c r="I3004" s="239"/>
    </row>
    <row r="3005" spans="6:9" x14ac:dyDescent="0.35">
      <c r="F3005" s="33"/>
      <c r="G3005" s="70"/>
      <c r="H3005" s="400"/>
      <c r="I3005" s="239"/>
    </row>
    <row r="3006" spans="6:9" x14ac:dyDescent="0.35">
      <c r="F3006" s="33"/>
      <c r="G3006" s="70"/>
      <c r="H3006" s="400"/>
      <c r="I3006" s="239"/>
    </row>
    <row r="3007" spans="6:9" x14ac:dyDescent="0.35">
      <c r="F3007" s="33"/>
      <c r="G3007" s="70"/>
      <c r="H3007" s="400"/>
      <c r="I3007" s="239"/>
    </row>
    <row r="3008" spans="6:9" x14ac:dyDescent="0.35">
      <c r="F3008" s="33"/>
      <c r="G3008" s="70"/>
      <c r="H3008" s="400"/>
      <c r="I3008" s="239"/>
    </row>
    <row r="3009" spans="6:9" x14ac:dyDescent="0.35">
      <c r="F3009" s="33"/>
      <c r="G3009" s="70"/>
      <c r="H3009" s="400"/>
      <c r="I3009" s="239"/>
    </row>
    <row r="3010" spans="6:9" x14ac:dyDescent="0.35">
      <c r="F3010" s="33"/>
      <c r="G3010" s="70"/>
      <c r="H3010" s="400"/>
      <c r="I3010" s="239"/>
    </row>
    <row r="3011" spans="6:9" x14ac:dyDescent="0.35">
      <c r="F3011" s="33"/>
      <c r="G3011" s="70"/>
      <c r="H3011" s="400"/>
      <c r="I3011" s="239"/>
    </row>
    <row r="3012" spans="6:9" x14ac:dyDescent="0.35">
      <c r="F3012" s="33"/>
      <c r="G3012" s="70"/>
      <c r="H3012" s="400"/>
      <c r="I3012" s="239"/>
    </row>
    <row r="3013" spans="6:9" x14ac:dyDescent="0.35">
      <c r="F3013" s="33"/>
      <c r="G3013" s="70"/>
      <c r="H3013" s="400"/>
      <c r="I3013" s="239"/>
    </row>
    <row r="3014" spans="6:9" x14ac:dyDescent="0.35">
      <c r="F3014" s="33"/>
      <c r="G3014" s="70"/>
      <c r="H3014" s="400"/>
      <c r="I3014" s="239"/>
    </row>
    <row r="3015" spans="6:9" x14ac:dyDescent="0.35">
      <c r="F3015" s="33"/>
      <c r="G3015" s="70"/>
      <c r="H3015" s="400"/>
      <c r="I3015" s="239"/>
    </row>
    <row r="3016" spans="6:9" x14ac:dyDescent="0.35">
      <c r="F3016" s="33"/>
      <c r="G3016" s="70"/>
      <c r="H3016" s="400"/>
      <c r="I3016" s="239"/>
    </row>
    <row r="3017" spans="6:9" x14ac:dyDescent="0.35">
      <c r="F3017" s="33"/>
      <c r="G3017" s="70"/>
      <c r="H3017" s="400"/>
      <c r="I3017" s="239"/>
    </row>
    <row r="3018" spans="6:9" x14ac:dyDescent="0.35">
      <c r="F3018" s="33"/>
      <c r="G3018" s="70"/>
      <c r="H3018" s="400"/>
      <c r="I3018" s="239"/>
    </row>
    <row r="3019" spans="6:9" x14ac:dyDescent="0.35">
      <c r="F3019" s="33"/>
      <c r="G3019" s="70"/>
      <c r="H3019" s="400"/>
      <c r="I3019" s="239"/>
    </row>
    <row r="3020" spans="6:9" x14ac:dyDescent="0.35">
      <c r="F3020" s="33"/>
      <c r="G3020" s="70"/>
      <c r="H3020" s="400"/>
      <c r="I3020" s="239"/>
    </row>
    <row r="3021" spans="6:9" x14ac:dyDescent="0.35">
      <c r="F3021" s="33"/>
      <c r="G3021" s="70"/>
      <c r="H3021" s="400"/>
      <c r="I3021" s="239"/>
    </row>
    <row r="3022" spans="6:9" x14ac:dyDescent="0.35">
      <c r="F3022" s="33"/>
      <c r="G3022" s="70"/>
      <c r="H3022" s="400"/>
      <c r="I3022" s="239"/>
    </row>
    <row r="3023" spans="6:9" x14ac:dyDescent="0.35">
      <c r="F3023" s="33"/>
      <c r="G3023" s="70"/>
      <c r="H3023" s="400"/>
      <c r="I3023" s="239"/>
    </row>
    <row r="3024" spans="6:9" x14ac:dyDescent="0.35">
      <c r="F3024" s="33"/>
      <c r="G3024" s="70"/>
      <c r="H3024" s="400"/>
      <c r="I3024" s="239"/>
    </row>
    <row r="3025" spans="6:9" x14ac:dyDescent="0.35">
      <c r="F3025" s="33"/>
      <c r="G3025" s="70"/>
      <c r="H3025" s="400"/>
      <c r="I3025" s="239"/>
    </row>
    <row r="3026" spans="6:9" x14ac:dyDescent="0.35">
      <c r="F3026" s="33"/>
      <c r="G3026" s="70"/>
      <c r="H3026" s="400"/>
      <c r="I3026" s="239"/>
    </row>
    <row r="3027" spans="6:9" x14ac:dyDescent="0.35">
      <c r="F3027" s="33"/>
      <c r="G3027" s="70"/>
      <c r="H3027" s="400"/>
      <c r="I3027" s="239"/>
    </row>
    <row r="3028" spans="6:9" x14ac:dyDescent="0.35">
      <c r="F3028" s="33"/>
      <c r="G3028" s="70"/>
      <c r="H3028" s="400"/>
      <c r="I3028" s="239"/>
    </row>
    <row r="3029" spans="6:9" x14ac:dyDescent="0.35">
      <c r="F3029" s="33"/>
      <c r="G3029" s="70"/>
      <c r="H3029" s="400"/>
      <c r="I3029" s="239"/>
    </row>
    <row r="3030" spans="6:9" x14ac:dyDescent="0.35">
      <c r="F3030" s="33"/>
      <c r="G3030" s="70"/>
      <c r="H3030" s="400"/>
      <c r="I3030" s="239"/>
    </row>
    <row r="3031" spans="6:9" x14ac:dyDescent="0.35">
      <c r="F3031" s="33"/>
      <c r="G3031" s="70"/>
      <c r="H3031" s="400"/>
      <c r="I3031" s="239"/>
    </row>
    <row r="3032" spans="6:9" x14ac:dyDescent="0.35">
      <c r="F3032" s="33"/>
      <c r="G3032" s="70"/>
      <c r="H3032" s="400"/>
      <c r="I3032" s="239"/>
    </row>
    <row r="3033" spans="6:9" x14ac:dyDescent="0.35">
      <c r="F3033" s="33"/>
      <c r="G3033" s="70"/>
      <c r="H3033" s="400"/>
      <c r="I3033" s="239"/>
    </row>
    <row r="3034" spans="6:9" x14ac:dyDescent="0.35">
      <c r="F3034" s="33"/>
      <c r="G3034" s="70"/>
      <c r="H3034" s="400"/>
      <c r="I3034" s="239"/>
    </row>
    <row r="3035" spans="6:9" x14ac:dyDescent="0.35">
      <c r="F3035" s="33"/>
      <c r="G3035" s="70"/>
      <c r="H3035" s="400"/>
      <c r="I3035" s="239"/>
    </row>
    <row r="3036" spans="6:9" x14ac:dyDescent="0.35">
      <c r="F3036" s="33"/>
      <c r="G3036" s="70"/>
      <c r="H3036" s="400"/>
      <c r="I3036" s="239"/>
    </row>
    <row r="3037" spans="6:9" x14ac:dyDescent="0.35">
      <c r="F3037" s="33"/>
      <c r="G3037" s="70"/>
      <c r="H3037" s="400"/>
      <c r="I3037" s="239"/>
    </row>
    <row r="3038" spans="6:9" x14ac:dyDescent="0.35">
      <c r="F3038" s="33"/>
      <c r="G3038" s="70"/>
      <c r="H3038" s="400"/>
      <c r="I3038" s="239"/>
    </row>
    <row r="3039" spans="6:9" x14ac:dyDescent="0.35">
      <c r="F3039" s="33"/>
      <c r="G3039" s="70"/>
      <c r="H3039" s="400"/>
      <c r="I3039" s="239"/>
    </row>
    <row r="3040" spans="6:9" x14ac:dyDescent="0.35">
      <c r="F3040" s="33"/>
      <c r="G3040" s="70"/>
      <c r="H3040" s="400"/>
      <c r="I3040" s="239"/>
    </row>
    <row r="3041" spans="6:9" x14ac:dyDescent="0.35">
      <c r="F3041" s="33"/>
      <c r="G3041" s="70"/>
      <c r="H3041" s="400"/>
      <c r="I3041" s="239"/>
    </row>
    <row r="3042" spans="6:9" x14ac:dyDescent="0.35">
      <c r="F3042" s="33"/>
      <c r="G3042" s="70"/>
      <c r="H3042" s="400"/>
      <c r="I3042" s="239"/>
    </row>
    <row r="3043" spans="6:9" x14ac:dyDescent="0.35">
      <c r="F3043" s="33"/>
      <c r="G3043" s="70"/>
      <c r="H3043" s="400"/>
      <c r="I3043" s="239"/>
    </row>
    <row r="3044" spans="6:9" x14ac:dyDescent="0.35">
      <c r="F3044" s="33"/>
      <c r="G3044" s="70"/>
      <c r="H3044" s="400"/>
      <c r="I3044" s="239"/>
    </row>
    <row r="3045" spans="6:9" x14ac:dyDescent="0.35">
      <c r="F3045" s="33"/>
      <c r="G3045" s="70"/>
      <c r="H3045" s="400"/>
      <c r="I3045" s="239"/>
    </row>
    <row r="3046" spans="6:9" x14ac:dyDescent="0.35">
      <c r="F3046" s="33"/>
      <c r="G3046" s="70"/>
      <c r="H3046" s="400"/>
      <c r="I3046" s="239"/>
    </row>
    <row r="3047" spans="6:9" x14ac:dyDescent="0.35">
      <c r="F3047" s="33"/>
      <c r="G3047" s="70"/>
      <c r="H3047" s="400"/>
      <c r="I3047" s="239"/>
    </row>
    <row r="3048" spans="6:9" x14ac:dyDescent="0.35">
      <c r="F3048" s="33"/>
      <c r="G3048" s="70"/>
      <c r="H3048" s="400"/>
      <c r="I3048" s="239"/>
    </row>
    <row r="3049" spans="6:9" x14ac:dyDescent="0.35">
      <c r="F3049" s="33"/>
      <c r="G3049" s="70"/>
      <c r="H3049" s="400"/>
      <c r="I3049" s="239"/>
    </row>
    <row r="3050" spans="6:9" x14ac:dyDescent="0.35">
      <c r="F3050" s="33"/>
      <c r="G3050" s="70"/>
      <c r="H3050" s="400"/>
      <c r="I3050" s="239"/>
    </row>
    <row r="3051" spans="6:9" x14ac:dyDescent="0.35">
      <c r="F3051" s="33"/>
      <c r="G3051" s="70"/>
      <c r="H3051" s="400"/>
      <c r="I3051" s="239"/>
    </row>
    <row r="3052" spans="6:9" x14ac:dyDescent="0.35">
      <c r="F3052" s="33"/>
      <c r="G3052" s="70"/>
      <c r="H3052" s="400"/>
      <c r="I3052" s="239"/>
    </row>
    <row r="3053" spans="6:9" x14ac:dyDescent="0.35">
      <c r="F3053" s="33"/>
      <c r="G3053" s="70"/>
      <c r="H3053" s="400"/>
      <c r="I3053" s="239"/>
    </row>
    <row r="3054" spans="6:9" x14ac:dyDescent="0.35">
      <c r="F3054" s="33"/>
      <c r="G3054" s="70"/>
      <c r="H3054" s="400"/>
      <c r="I3054" s="239"/>
    </row>
    <row r="3055" spans="6:9" x14ac:dyDescent="0.35">
      <c r="F3055" s="33"/>
      <c r="G3055" s="70"/>
      <c r="H3055" s="400"/>
      <c r="I3055" s="239"/>
    </row>
    <row r="3056" spans="6:9" x14ac:dyDescent="0.35">
      <c r="F3056" s="33"/>
      <c r="G3056" s="70"/>
      <c r="H3056" s="400"/>
      <c r="I3056" s="239"/>
    </row>
    <row r="3057" spans="6:9" x14ac:dyDescent="0.35">
      <c r="F3057" s="33"/>
      <c r="G3057" s="70"/>
      <c r="H3057" s="400"/>
      <c r="I3057" s="239"/>
    </row>
    <row r="3058" spans="6:9" x14ac:dyDescent="0.35">
      <c r="F3058" s="33"/>
      <c r="G3058" s="70"/>
      <c r="H3058" s="400"/>
      <c r="I3058" s="239"/>
    </row>
    <row r="3059" spans="6:9" x14ac:dyDescent="0.35">
      <c r="F3059" s="33"/>
      <c r="G3059" s="70"/>
      <c r="H3059" s="400"/>
      <c r="I3059" s="239"/>
    </row>
    <row r="3060" spans="6:9" x14ac:dyDescent="0.35">
      <c r="F3060" s="33"/>
      <c r="G3060" s="70"/>
      <c r="H3060" s="400"/>
      <c r="I3060" s="239"/>
    </row>
    <row r="3061" spans="6:9" x14ac:dyDescent="0.35">
      <c r="F3061" s="33"/>
      <c r="G3061" s="70"/>
      <c r="H3061" s="400"/>
      <c r="I3061" s="239"/>
    </row>
    <row r="3062" spans="6:9" x14ac:dyDescent="0.35">
      <c r="F3062" s="33"/>
      <c r="G3062" s="70"/>
      <c r="H3062" s="400"/>
      <c r="I3062" s="239"/>
    </row>
    <row r="3063" spans="6:9" x14ac:dyDescent="0.35">
      <c r="F3063" s="33"/>
      <c r="G3063" s="70"/>
      <c r="H3063" s="400"/>
      <c r="I3063" s="239"/>
    </row>
    <row r="3064" spans="6:9" x14ac:dyDescent="0.35">
      <c r="F3064" s="33"/>
      <c r="G3064" s="70"/>
      <c r="H3064" s="400"/>
      <c r="I3064" s="239"/>
    </row>
    <row r="3065" spans="6:9" x14ac:dyDescent="0.35">
      <c r="F3065" s="33"/>
      <c r="G3065" s="70"/>
      <c r="H3065" s="400"/>
      <c r="I3065" s="239"/>
    </row>
    <row r="3066" spans="6:9" x14ac:dyDescent="0.35">
      <c r="F3066" s="33"/>
      <c r="G3066" s="70"/>
      <c r="H3066" s="400"/>
      <c r="I3066" s="239"/>
    </row>
    <row r="3067" spans="6:9" x14ac:dyDescent="0.35">
      <c r="F3067" s="33"/>
      <c r="G3067" s="70"/>
      <c r="H3067" s="400"/>
      <c r="I3067" s="239"/>
    </row>
    <row r="3068" spans="6:9" x14ac:dyDescent="0.35">
      <c r="F3068" s="33"/>
      <c r="G3068" s="70"/>
      <c r="H3068" s="400"/>
      <c r="I3068" s="239"/>
    </row>
    <row r="3069" spans="6:9" x14ac:dyDescent="0.35">
      <c r="F3069" s="33"/>
      <c r="G3069" s="70"/>
      <c r="H3069" s="400"/>
      <c r="I3069" s="239"/>
    </row>
    <row r="3070" spans="6:9" x14ac:dyDescent="0.35">
      <c r="F3070" s="33"/>
      <c r="G3070" s="70"/>
      <c r="H3070" s="400"/>
      <c r="I3070" s="239"/>
    </row>
    <row r="3071" spans="6:9" x14ac:dyDescent="0.35">
      <c r="F3071" s="33"/>
      <c r="G3071" s="70"/>
      <c r="H3071" s="400"/>
      <c r="I3071" s="239"/>
    </row>
    <row r="3072" spans="6:9" x14ac:dyDescent="0.35">
      <c r="F3072" s="33"/>
      <c r="G3072" s="70"/>
      <c r="H3072" s="400"/>
      <c r="I3072" s="239"/>
    </row>
    <row r="3073" spans="6:9" x14ac:dyDescent="0.35">
      <c r="F3073" s="33"/>
      <c r="G3073" s="70"/>
      <c r="H3073" s="400"/>
      <c r="I3073" s="239"/>
    </row>
    <row r="3074" spans="6:9" x14ac:dyDescent="0.35">
      <c r="F3074" s="33"/>
      <c r="G3074" s="70"/>
      <c r="H3074" s="400"/>
      <c r="I3074" s="239"/>
    </row>
    <row r="3075" spans="6:9" x14ac:dyDescent="0.35">
      <c r="F3075" s="33"/>
      <c r="G3075" s="70"/>
      <c r="H3075" s="400"/>
      <c r="I3075" s="239"/>
    </row>
    <row r="3076" spans="6:9" x14ac:dyDescent="0.35">
      <c r="F3076" s="33"/>
      <c r="G3076" s="70"/>
      <c r="H3076" s="400"/>
      <c r="I3076" s="239"/>
    </row>
    <row r="3077" spans="6:9" x14ac:dyDescent="0.35">
      <c r="F3077" s="33"/>
      <c r="G3077" s="70"/>
      <c r="H3077" s="400"/>
      <c r="I3077" s="239"/>
    </row>
    <row r="3078" spans="6:9" x14ac:dyDescent="0.35">
      <c r="F3078" s="33"/>
      <c r="G3078" s="70"/>
      <c r="H3078" s="400"/>
      <c r="I3078" s="239"/>
    </row>
    <row r="3079" spans="6:9" x14ac:dyDescent="0.35">
      <c r="F3079" s="33"/>
      <c r="G3079" s="70"/>
      <c r="H3079" s="400"/>
      <c r="I3079" s="239"/>
    </row>
    <row r="3080" spans="6:9" x14ac:dyDescent="0.35">
      <c r="F3080" s="33"/>
      <c r="G3080" s="70"/>
      <c r="H3080" s="400"/>
      <c r="I3080" s="239"/>
    </row>
    <row r="3081" spans="6:9" x14ac:dyDescent="0.35">
      <c r="F3081" s="33"/>
      <c r="G3081" s="70"/>
      <c r="H3081" s="400"/>
      <c r="I3081" s="239"/>
    </row>
    <row r="3082" spans="6:9" x14ac:dyDescent="0.35">
      <c r="F3082" s="33"/>
      <c r="G3082" s="70"/>
      <c r="H3082" s="400"/>
      <c r="I3082" s="239"/>
    </row>
    <row r="3083" spans="6:9" x14ac:dyDescent="0.35">
      <c r="F3083" s="33"/>
      <c r="G3083" s="70"/>
      <c r="H3083" s="400"/>
      <c r="I3083" s="239"/>
    </row>
    <row r="3084" spans="6:9" x14ac:dyDescent="0.35">
      <c r="F3084" s="33"/>
      <c r="G3084" s="70"/>
      <c r="H3084" s="400"/>
      <c r="I3084" s="239"/>
    </row>
    <row r="3085" spans="6:9" x14ac:dyDescent="0.35">
      <c r="F3085" s="33"/>
      <c r="G3085" s="70"/>
      <c r="H3085" s="400"/>
      <c r="I3085" s="239"/>
    </row>
    <row r="3086" spans="6:9" x14ac:dyDescent="0.35">
      <c r="F3086" s="33"/>
      <c r="G3086" s="70"/>
      <c r="H3086" s="400"/>
      <c r="I3086" s="239"/>
    </row>
    <row r="3087" spans="6:9" x14ac:dyDescent="0.35">
      <c r="F3087" s="33"/>
      <c r="G3087" s="70"/>
      <c r="H3087" s="400"/>
      <c r="I3087" s="239"/>
    </row>
    <row r="3088" spans="6:9" x14ac:dyDescent="0.35">
      <c r="F3088" s="33"/>
      <c r="G3088" s="70"/>
      <c r="H3088" s="400"/>
      <c r="I3088" s="239"/>
    </row>
    <row r="3089" spans="6:9" x14ac:dyDescent="0.35">
      <c r="F3089" s="33"/>
      <c r="G3089" s="70"/>
      <c r="H3089" s="400"/>
      <c r="I3089" s="239"/>
    </row>
    <row r="3090" spans="6:9" x14ac:dyDescent="0.35">
      <c r="F3090" s="33"/>
      <c r="G3090" s="70"/>
      <c r="H3090" s="400"/>
      <c r="I3090" s="239"/>
    </row>
    <row r="3091" spans="6:9" x14ac:dyDescent="0.35">
      <c r="F3091" s="33"/>
      <c r="G3091" s="70"/>
      <c r="H3091" s="400"/>
      <c r="I3091" s="239"/>
    </row>
    <row r="3092" spans="6:9" x14ac:dyDescent="0.35">
      <c r="F3092" s="33"/>
      <c r="G3092" s="70"/>
      <c r="H3092" s="400"/>
      <c r="I3092" s="239"/>
    </row>
    <row r="3093" spans="6:9" x14ac:dyDescent="0.35">
      <c r="F3093" s="33"/>
      <c r="G3093" s="70"/>
      <c r="H3093" s="400"/>
      <c r="I3093" s="239"/>
    </row>
    <row r="3094" spans="6:9" x14ac:dyDescent="0.35">
      <c r="F3094" s="33"/>
      <c r="G3094" s="70"/>
      <c r="H3094" s="400"/>
      <c r="I3094" s="239"/>
    </row>
    <row r="3095" spans="6:9" x14ac:dyDescent="0.35">
      <c r="F3095" s="33"/>
      <c r="G3095" s="70"/>
      <c r="H3095" s="400"/>
      <c r="I3095" s="239"/>
    </row>
    <row r="3096" spans="6:9" x14ac:dyDescent="0.35">
      <c r="F3096" s="33"/>
      <c r="G3096" s="70"/>
      <c r="H3096" s="400"/>
      <c r="I3096" s="239"/>
    </row>
    <row r="3097" spans="6:9" x14ac:dyDescent="0.35">
      <c r="F3097" s="33"/>
      <c r="G3097" s="70"/>
      <c r="H3097" s="400"/>
      <c r="I3097" s="239"/>
    </row>
    <row r="3098" spans="6:9" x14ac:dyDescent="0.35">
      <c r="F3098" s="33"/>
      <c r="G3098" s="70"/>
      <c r="H3098" s="400"/>
      <c r="I3098" s="239"/>
    </row>
    <row r="3099" spans="6:9" x14ac:dyDescent="0.35">
      <c r="F3099" s="33"/>
      <c r="G3099" s="70"/>
      <c r="H3099" s="400"/>
      <c r="I3099" s="239"/>
    </row>
    <row r="3100" spans="6:9" x14ac:dyDescent="0.35">
      <c r="F3100" s="33"/>
      <c r="G3100" s="70"/>
      <c r="H3100" s="400"/>
      <c r="I3100" s="239"/>
    </row>
    <row r="3101" spans="6:9" x14ac:dyDescent="0.35">
      <c r="F3101" s="33"/>
      <c r="G3101" s="70"/>
      <c r="H3101" s="400"/>
      <c r="I3101" s="239"/>
    </row>
    <row r="3102" spans="6:9" x14ac:dyDescent="0.35">
      <c r="F3102" s="33"/>
      <c r="G3102" s="70"/>
      <c r="H3102" s="400"/>
      <c r="I3102" s="239"/>
    </row>
    <row r="3103" spans="6:9" x14ac:dyDescent="0.35">
      <c r="F3103" s="33"/>
      <c r="G3103" s="70"/>
      <c r="H3103" s="400"/>
      <c r="I3103" s="239"/>
    </row>
    <row r="3104" spans="6:9" x14ac:dyDescent="0.35">
      <c r="F3104" s="33"/>
      <c r="G3104" s="70"/>
      <c r="H3104" s="400"/>
      <c r="I3104" s="239"/>
    </row>
    <row r="3105" spans="6:9" x14ac:dyDescent="0.35">
      <c r="F3105" s="33"/>
      <c r="G3105" s="70"/>
      <c r="H3105" s="400"/>
      <c r="I3105" s="239"/>
    </row>
    <row r="3106" spans="6:9" x14ac:dyDescent="0.35">
      <c r="F3106" s="33"/>
      <c r="G3106" s="70"/>
      <c r="H3106" s="400"/>
      <c r="I3106" s="239"/>
    </row>
    <row r="3107" spans="6:9" x14ac:dyDescent="0.35">
      <c r="F3107" s="33"/>
      <c r="G3107" s="70"/>
      <c r="H3107" s="400"/>
      <c r="I3107" s="239"/>
    </row>
    <row r="3108" spans="6:9" x14ac:dyDescent="0.35">
      <c r="F3108" s="33"/>
      <c r="G3108" s="70"/>
      <c r="H3108" s="400"/>
      <c r="I3108" s="239"/>
    </row>
    <row r="3109" spans="6:9" x14ac:dyDescent="0.35">
      <c r="F3109" s="33"/>
      <c r="G3109" s="70"/>
      <c r="H3109" s="400"/>
      <c r="I3109" s="239"/>
    </row>
    <row r="3110" spans="6:9" x14ac:dyDescent="0.35">
      <c r="F3110" s="33"/>
      <c r="G3110" s="70"/>
      <c r="H3110" s="400"/>
      <c r="I3110" s="239"/>
    </row>
    <row r="3111" spans="6:9" x14ac:dyDescent="0.35">
      <c r="F3111" s="33"/>
      <c r="G3111" s="70"/>
      <c r="H3111" s="400"/>
      <c r="I3111" s="239"/>
    </row>
    <row r="3112" spans="6:9" x14ac:dyDescent="0.35">
      <c r="F3112" s="33"/>
      <c r="G3112" s="70"/>
      <c r="H3112" s="400"/>
      <c r="I3112" s="239"/>
    </row>
    <row r="3113" spans="6:9" x14ac:dyDescent="0.35">
      <c r="F3113" s="33"/>
      <c r="G3113" s="70"/>
      <c r="H3113" s="400"/>
      <c r="I3113" s="239"/>
    </row>
    <row r="3114" spans="6:9" x14ac:dyDescent="0.35">
      <c r="F3114" s="33"/>
      <c r="G3114" s="70"/>
      <c r="H3114" s="400"/>
      <c r="I3114" s="239"/>
    </row>
    <row r="3115" spans="6:9" x14ac:dyDescent="0.35">
      <c r="F3115" s="33"/>
      <c r="G3115" s="70"/>
      <c r="H3115" s="400"/>
      <c r="I3115" s="239"/>
    </row>
    <row r="3116" spans="6:9" x14ac:dyDescent="0.35">
      <c r="F3116" s="33"/>
      <c r="G3116" s="70"/>
      <c r="H3116" s="400"/>
      <c r="I3116" s="239"/>
    </row>
    <row r="3117" spans="6:9" x14ac:dyDescent="0.35">
      <c r="F3117" s="33"/>
      <c r="G3117" s="70"/>
      <c r="H3117" s="400"/>
      <c r="I3117" s="239"/>
    </row>
    <row r="3118" spans="6:9" x14ac:dyDescent="0.35">
      <c r="F3118" s="33"/>
      <c r="G3118" s="70"/>
      <c r="H3118" s="400"/>
      <c r="I3118" s="239"/>
    </row>
    <row r="3119" spans="6:9" x14ac:dyDescent="0.35">
      <c r="F3119" s="33"/>
      <c r="G3119" s="70"/>
      <c r="H3119" s="400"/>
      <c r="I3119" s="239"/>
    </row>
    <row r="3120" spans="6:9" x14ac:dyDescent="0.35">
      <c r="F3120" s="33"/>
      <c r="G3120" s="70"/>
      <c r="H3120" s="400"/>
      <c r="I3120" s="239"/>
    </row>
    <row r="3121" spans="6:9" x14ac:dyDescent="0.35">
      <c r="F3121" s="33"/>
      <c r="G3121" s="70"/>
      <c r="H3121" s="400"/>
      <c r="I3121" s="239"/>
    </row>
    <row r="3122" spans="6:9" x14ac:dyDescent="0.35">
      <c r="F3122" s="33"/>
      <c r="G3122" s="70"/>
      <c r="H3122" s="400"/>
      <c r="I3122" s="239"/>
    </row>
    <row r="3123" spans="6:9" x14ac:dyDescent="0.35">
      <c r="F3123" s="33"/>
      <c r="G3123" s="70"/>
      <c r="H3123" s="400"/>
      <c r="I3123" s="239"/>
    </row>
    <row r="3124" spans="6:9" x14ac:dyDescent="0.35">
      <c r="F3124" s="33"/>
      <c r="G3124" s="70"/>
      <c r="H3124" s="400"/>
      <c r="I3124" s="239"/>
    </row>
    <row r="3125" spans="6:9" x14ac:dyDescent="0.35">
      <c r="F3125" s="33"/>
      <c r="G3125" s="70"/>
      <c r="H3125" s="400"/>
      <c r="I3125" s="239"/>
    </row>
    <row r="3126" spans="6:9" x14ac:dyDescent="0.35">
      <c r="F3126" s="33"/>
      <c r="G3126" s="70"/>
      <c r="H3126" s="400"/>
      <c r="I3126" s="239"/>
    </row>
    <row r="3127" spans="6:9" x14ac:dyDescent="0.35">
      <c r="F3127" s="33"/>
      <c r="G3127" s="70"/>
      <c r="H3127" s="400"/>
      <c r="I3127" s="239"/>
    </row>
    <row r="3128" spans="6:9" x14ac:dyDescent="0.35">
      <c r="F3128" s="33"/>
      <c r="G3128" s="70"/>
      <c r="H3128" s="400"/>
      <c r="I3128" s="239"/>
    </row>
    <row r="3129" spans="6:9" x14ac:dyDescent="0.35">
      <c r="F3129" s="33"/>
      <c r="G3129" s="70"/>
      <c r="H3129" s="400"/>
      <c r="I3129" s="239"/>
    </row>
    <row r="3130" spans="6:9" x14ac:dyDescent="0.35">
      <c r="F3130" s="33"/>
      <c r="G3130" s="70"/>
      <c r="H3130" s="400"/>
      <c r="I3130" s="239"/>
    </row>
    <row r="3131" spans="6:9" x14ac:dyDescent="0.35">
      <c r="F3131" s="33"/>
      <c r="G3131" s="70"/>
      <c r="H3131" s="400"/>
      <c r="I3131" s="239"/>
    </row>
    <row r="3132" spans="6:9" x14ac:dyDescent="0.35">
      <c r="F3132" s="33"/>
      <c r="G3132" s="70"/>
      <c r="H3132" s="400"/>
      <c r="I3132" s="239"/>
    </row>
    <row r="3133" spans="6:9" x14ac:dyDescent="0.35">
      <c r="F3133" s="33"/>
      <c r="G3133" s="70"/>
      <c r="H3133" s="400"/>
      <c r="I3133" s="239"/>
    </row>
    <row r="3134" spans="6:9" x14ac:dyDescent="0.35">
      <c r="F3134" s="33"/>
      <c r="G3134" s="70"/>
      <c r="H3134" s="400"/>
      <c r="I3134" s="239"/>
    </row>
    <row r="3135" spans="6:9" x14ac:dyDescent="0.35">
      <c r="F3135" s="33"/>
      <c r="G3135" s="70"/>
      <c r="H3135" s="400"/>
      <c r="I3135" s="239"/>
    </row>
    <row r="3136" spans="6:9" x14ac:dyDescent="0.35">
      <c r="F3136" s="33"/>
      <c r="G3136" s="70"/>
      <c r="H3136" s="400"/>
      <c r="I3136" s="239"/>
    </row>
    <row r="3137" spans="6:9" x14ac:dyDescent="0.35">
      <c r="F3137" s="33"/>
      <c r="G3137" s="70"/>
      <c r="H3137" s="400"/>
      <c r="I3137" s="239"/>
    </row>
    <row r="3138" spans="6:9" x14ac:dyDescent="0.35">
      <c r="F3138" s="33"/>
      <c r="G3138" s="70"/>
      <c r="H3138" s="400"/>
      <c r="I3138" s="239"/>
    </row>
    <row r="3139" spans="6:9" x14ac:dyDescent="0.35">
      <c r="F3139" s="33"/>
      <c r="G3139" s="70"/>
      <c r="H3139" s="400"/>
      <c r="I3139" s="239"/>
    </row>
    <row r="3140" spans="6:9" x14ac:dyDescent="0.35">
      <c r="F3140" s="33"/>
      <c r="G3140" s="70"/>
      <c r="H3140" s="400"/>
      <c r="I3140" s="239"/>
    </row>
    <row r="3141" spans="6:9" x14ac:dyDescent="0.35">
      <c r="F3141" s="33"/>
      <c r="G3141" s="70"/>
      <c r="H3141" s="400"/>
      <c r="I3141" s="239"/>
    </row>
    <row r="3142" spans="6:9" x14ac:dyDescent="0.35">
      <c r="F3142" s="33"/>
      <c r="G3142" s="70"/>
      <c r="H3142" s="400"/>
      <c r="I3142" s="239"/>
    </row>
    <row r="3143" spans="6:9" x14ac:dyDescent="0.35">
      <c r="F3143" s="33"/>
      <c r="G3143" s="70"/>
      <c r="H3143" s="400"/>
      <c r="I3143" s="239"/>
    </row>
    <row r="3144" spans="6:9" x14ac:dyDescent="0.35">
      <c r="F3144" s="33"/>
      <c r="G3144" s="70"/>
      <c r="H3144" s="400"/>
      <c r="I3144" s="239"/>
    </row>
    <row r="3145" spans="6:9" x14ac:dyDescent="0.35">
      <c r="F3145" s="33"/>
      <c r="G3145" s="70"/>
      <c r="H3145" s="400"/>
      <c r="I3145" s="239"/>
    </row>
    <row r="3146" spans="6:9" x14ac:dyDescent="0.35">
      <c r="F3146" s="33"/>
      <c r="G3146" s="70"/>
      <c r="H3146" s="400"/>
      <c r="I3146" s="239"/>
    </row>
    <row r="3147" spans="6:9" x14ac:dyDescent="0.35">
      <c r="F3147" s="33"/>
      <c r="G3147" s="70"/>
      <c r="H3147" s="400"/>
      <c r="I3147" s="239"/>
    </row>
    <row r="3148" spans="6:9" x14ac:dyDescent="0.35">
      <c r="F3148" s="33"/>
      <c r="G3148" s="70"/>
      <c r="H3148" s="400"/>
      <c r="I3148" s="239"/>
    </row>
    <row r="3149" spans="6:9" x14ac:dyDescent="0.35">
      <c r="F3149" s="33"/>
      <c r="G3149" s="70"/>
      <c r="H3149" s="400"/>
      <c r="I3149" s="239"/>
    </row>
    <row r="3150" spans="6:9" x14ac:dyDescent="0.35">
      <c r="F3150" s="33"/>
      <c r="G3150" s="70"/>
      <c r="H3150" s="400"/>
      <c r="I3150" s="239"/>
    </row>
    <row r="3151" spans="6:9" x14ac:dyDescent="0.35">
      <c r="F3151" s="33"/>
      <c r="G3151" s="70"/>
      <c r="H3151" s="400"/>
      <c r="I3151" s="239"/>
    </row>
    <row r="3152" spans="6:9" x14ac:dyDescent="0.35">
      <c r="F3152" s="33"/>
      <c r="G3152" s="70"/>
      <c r="H3152" s="400"/>
      <c r="I3152" s="239"/>
    </row>
    <row r="3153" spans="6:9" x14ac:dyDescent="0.35">
      <c r="F3153" s="33"/>
      <c r="G3153" s="70"/>
      <c r="H3153" s="400"/>
      <c r="I3153" s="239"/>
    </row>
    <row r="3154" spans="6:9" x14ac:dyDescent="0.35">
      <c r="F3154" s="33"/>
      <c r="G3154" s="70"/>
      <c r="H3154" s="400"/>
      <c r="I3154" s="239"/>
    </row>
    <row r="3155" spans="6:9" x14ac:dyDescent="0.35">
      <c r="F3155" s="33"/>
      <c r="G3155" s="70"/>
      <c r="H3155" s="400"/>
      <c r="I3155" s="239"/>
    </row>
    <row r="3156" spans="6:9" x14ac:dyDescent="0.35">
      <c r="F3156" s="33"/>
      <c r="G3156" s="70"/>
      <c r="H3156" s="400"/>
      <c r="I3156" s="239"/>
    </row>
    <row r="3157" spans="6:9" x14ac:dyDescent="0.35">
      <c r="F3157" s="33"/>
      <c r="G3157" s="70"/>
      <c r="H3157" s="400"/>
      <c r="I3157" s="239"/>
    </row>
    <row r="3158" spans="6:9" x14ac:dyDescent="0.35">
      <c r="F3158" s="33"/>
      <c r="G3158" s="70"/>
      <c r="H3158" s="400"/>
      <c r="I3158" s="239"/>
    </row>
    <row r="3159" spans="6:9" x14ac:dyDescent="0.35">
      <c r="F3159" s="33"/>
      <c r="G3159" s="70"/>
      <c r="H3159" s="400"/>
      <c r="I3159" s="239"/>
    </row>
    <row r="3160" spans="6:9" x14ac:dyDescent="0.35">
      <c r="F3160" s="33"/>
      <c r="G3160" s="70"/>
      <c r="H3160" s="400"/>
      <c r="I3160" s="239"/>
    </row>
    <row r="3161" spans="6:9" x14ac:dyDescent="0.35">
      <c r="F3161" s="33"/>
      <c r="G3161" s="70"/>
      <c r="H3161" s="400"/>
      <c r="I3161" s="239"/>
    </row>
    <row r="3162" spans="6:9" x14ac:dyDescent="0.35">
      <c r="F3162" s="33"/>
      <c r="G3162" s="70"/>
      <c r="H3162" s="400"/>
      <c r="I3162" s="239"/>
    </row>
    <row r="3163" spans="6:9" x14ac:dyDescent="0.35">
      <c r="F3163" s="33"/>
      <c r="G3163" s="70"/>
      <c r="H3163" s="400"/>
      <c r="I3163" s="239"/>
    </row>
    <row r="3164" spans="6:9" x14ac:dyDescent="0.35">
      <c r="F3164" s="33"/>
      <c r="G3164" s="70"/>
      <c r="H3164" s="400"/>
      <c r="I3164" s="239"/>
    </row>
    <row r="3165" spans="6:9" x14ac:dyDescent="0.35">
      <c r="F3165" s="33"/>
      <c r="G3165" s="70"/>
      <c r="H3165" s="400"/>
      <c r="I3165" s="239"/>
    </row>
    <row r="3166" spans="6:9" x14ac:dyDescent="0.35">
      <c r="F3166" s="33"/>
      <c r="G3166" s="70"/>
      <c r="H3166" s="400"/>
      <c r="I3166" s="239"/>
    </row>
    <row r="3167" spans="6:9" x14ac:dyDescent="0.35">
      <c r="F3167" s="33"/>
      <c r="G3167" s="70"/>
      <c r="H3167" s="400"/>
      <c r="I3167" s="239"/>
    </row>
    <row r="3168" spans="6:9" x14ac:dyDescent="0.35">
      <c r="F3168" s="33"/>
      <c r="G3168" s="70"/>
      <c r="H3168" s="400"/>
      <c r="I3168" s="239"/>
    </row>
    <row r="3169" spans="6:9" x14ac:dyDescent="0.35">
      <c r="F3169" s="33"/>
      <c r="G3169" s="70"/>
      <c r="H3169" s="400"/>
      <c r="I3169" s="239"/>
    </row>
    <row r="3170" spans="6:9" x14ac:dyDescent="0.35">
      <c r="F3170" s="33"/>
      <c r="G3170" s="70"/>
      <c r="H3170" s="400"/>
      <c r="I3170" s="239"/>
    </row>
    <row r="3171" spans="6:9" x14ac:dyDescent="0.35">
      <c r="F3171" s="33"/>
      <c r="G3171" s="70"/>
      <c r="H3171" s="400"/>
      <c r="I3171" s="239"/>
    </row>
    <row r="3172" spans="6:9" x14ac:dyDescent="0.35">
      <c r="F3172" s="33"/>
      <c r="G3172" s="70"/>
      <c r="H3172" s="400"/>
      <c r="I3172" s="239"/>
    </row>
    <row r="3173" spans="6:9" x14ac:dyDescent="0.35">
      <c r="F3173" s="33"/>
      <c r="G3173" s="70"/>
      <c r="H3173" s="400"/>
      <c r="I3173" s="239"/>
    </row>
    <row r="3174" spans="6:9" x14ac:dyDescent="0.35">
      <c r="F3174" s="33"/>
      <c r="G3174" s="70"/>
      <c r="H3174" s="400"/>
      <c r="I3174" s="239"/>
    </row>
    <row r="3175" spans="6:9" x14ac:dyDescent="0.35">
      <c r="F3175" s="33"/>
      <c r="G3175" s="70"/>
      <c r="H3175" s="400"/>
      <c r="I3175" s="239"/>
    </row>
    <row r="3176" spans="6:9" x14ac:dyDescent="0.35">
      <c r="F3176" s="33"/>
      <c r="G3176" s="70"/>
      <c r="H3176" s="400"/>
      <c r="I3176" s="239"/>
    </row>
    <row r="3177" spans="6:9" x14ac:dyDescent="0.35">
      <c r="F3177" s="33"/>
      <c r="G3177" s="70"/>
      <c r="H3177" s="400"/>
      <c r="I3177" s="239"/>
    </row>
    <row r="3178" spans="6:9" x14ac:dyDescent="0.35">
      <c r="F3178" s="33"/>
      <c r="G3178" s="70"/>
      <c r="H3178" s="400"/>
      <c r="I3178" s="239"/>
    </row>
    <row r="3179" spans="6:9" x14ac:dyDescent="0.35">
      <c r="F3179" s="33"/>
      <c r="G3179" s="70"/>
      <c r="H3179" s="400"/>
      <c r="I3179" s="239"/>
    </row>
    <row r="3180" spans="6:9" x14ac:dyDescent="0.35">
      <c r="F3180" s="33"/>
      <c r="G3180" s="70"/>
      <c r="H3180" s="400"/>
      <c r="I3180" s="239"/>
    </row>
    <row r="3181" spans="6:9" x14ac:dyDescent="0.35">
      <c r="F3181" s="33"/>
      <c r="G3181" s="70"/>
      <c r="H3181" s="400"/>
      <c r="I3181" s="239"/>
    </row>
    <row r="3182" spans="6:9" x14ac:dyDescent="0.35">
      <c r="F3182" s="33"/>
      <c r="G3182" s="70"/>
      <c r="H3182" s="400"/>
      <c r="I3182" s="239"/>
    </row>
    <row r="3183" spans="6:9" x14ac:dyDescent="0.35">
      <c r="F3183" s="33"/>
      <c r="G3183" s="70"/>
      <c r="H3183" s="400"/>
      <c r="I3183" s="239"/>
    </row>
    <row r="3184" spans="6:9" x14ac:dyDescent="0.35">
      <c r="F3184" s="33"/>
      <c r="G3184" s="70"/>
      <c r="H3184" s="400"/>
      <c r="I3184" s="239"/>
    </row>
    <row r="3185" spans="6:9" x14ac:dyDescent="0.35">
      <c r="F3185" s="33"/>
      <c r="G3185" s="70"/>
      <c r="H3185" s="400"/>
      <c r="I3185" s="239"/>
    </row>
    <row r="3186" spans="6:9" x14ac:dyDescent="0.35">
      <c r="F3186" s="33"/>
      <c r="G3186" s="70"/>
      <c r="H3186" s="400"/>
      <c r="I3186" s="239"/>
    </row>
    <row r="3187" spans="6:9" x14ac:dyDescent="0.35">
      <c r="F3187" s="33"/>
      <c r="G3187" s="70"/>
      <c r="H3187" s="400"/>
      <c r="I3187" s="239"/>
    </row>
    <row r="3188" spans="6:9" x14ac:dyDescent="0.35">
      <c r="F3188" s="33"/>
      <c r="G3188" s="70"/>
      <c r="H3188" s="400"/>
      <c r="I3188" s="239"/>
    </row>
    <row r="3189" spans="6:9" x14ac:dyDescent="0.35">
      <c r="F3189" s="33"/>
      <c r="G3189" s="70"/>
      <c r="H3189" s="400"/>
      <c r="I3189" s="239"/>
    </row>
    <row r="3190" spans="6:9" x14ac:dyDescent="0.35">
      <c r="F3190" s="33"/>
      <c r="G3190" s="70"/>
      <c r="H3190" s="400"/>
      <c r="I3190" s="239"/>
    </row>
    <row r="3191" spans="6:9" x14ac:dyDescent="0.35">
      <c r="F3191" s="33"/>
      <c r="G3191" s="70"/>
      <c r="H3191" s="400"/>
      <c r="I3191" s="239"/>
    </row>
    <row r="3192" spans="6:9" x14ac:dyDescent="0.35">
      <c r="F3192" s="33"/>
      <c r="G3192" s="70"/>
      <c r="H3192" s="400"/>
      <c r="I3192" s="239"/>
    </row>
    <row r="3193" spans="6:9" x14ac:dyDescent="0.35">
      <c r="F3193" s="33"/>
      <c r="G3193" s="70"/>
      <c r="H3193" s="400"/>
      <c r="I3193" s="239"/>
    </row>
    <row r="3194" spans="6:9" x14ac:dyDescent="0.35">
      <c r="F3194" s="33"/>
      <c r="G3194" s="70"/>
      <c r="H3194" s="400"/>
      <c r="I3194" s="239"/>
    </row>
    <row r="3195" spans="6:9" x14ac:dyDescent="0.35">
      <c r="F3195" s="33"/>
      <c r="G3195" s="70"/>
      <c r="H3195" s="400"/>
      <c r="I3195" s="239"/>
    </row>
    <row r="3196" spans="6:9" x14ac:dyDescent="0.35">
      <c r="F3196" s="33"/>
      <c r="G3196" s="70"/>
      <c r="H3196" s="400"/>
      <c r="I3196" s="239"/>
    </row>
    <row r="3197" spans="6:9" x14ac:dyDescent="0.35">
      <c r="F3197" s="33"/>
      <c r="G3197" s="70"/>
      <c r="H3197" s="400"/>
      <c r="I3197" s="239"/>
    </row>
    <row r="3198" spans="6:9" x14ac:dyDescent="0.35">
      <c r="F3198" s="33"/>
      <c r="G3198" s="70"/>
      <c r="H3198" s="400"/>
      <c r="I3198" s="239"/>
    </row>
    <row r="3199" spans="6:9" x14ac:dyDescent="0.35">
      <c r="F3199" s="33"/>
      <c r="G3199" s="70"/>
      <c r="H3199" s="400"/>
      <c r="I3199" s="239"/>
    </row>
    <row r="3200" spans="6:9" x14ac:dyDescent="0.35">
      <c r="F3200" s="33"/>
      <c r="G3200" s="70"/>
      <c r="H3200" s="400"/>
      <c r="I3200" s="239"/>
    </row>
    <row r="3201" spans="6:9" x14ac:dyDescent="0.35">
      <c r="F3201" s="33"/>
      <c r="G3201" s="70"/>
      <c r="H3201" s="400"/>
      <c r="I3201" s="239"/>
    </row>
    <row r="3202" spans="6:9" x14ac:dyDescent="0.35">
      <c r="F3202" s="33"/>
      <c r="G3202" s="70"/>
      <c r="H3202" s="400"/>
      <c r="I3202" s="239"/>
    </row>
    <row r="3203" spans="6:9" x14ac:dyDescent="0.35">
      <c r="F3203" s="33"/>
      <c r="G3203" s="70"/>
      <c r="H3203" s="400"/>
      <c r="I3203" s="239"/>
    </row>
    <row r="3204" spans="6:9" x14ac:dyDescent="0.35">
      <c r="F3204" s="33"/>
      <c r="G3204" s="70"/>
      <c r="H3204" s="400"/>
      <c r="I3204" s="239"/>
    </row>
    <row r="3205" spans="6:9" x14ac:dyDescent="0.35">
      <c r="F3205" s="33"/>
      <c r="G3205" s="70"/>
      <c r="H3205" s="400"/>
      <c r="I3205" s="239"/>
    </row>
    <row r="3206" spans="6:9" x14ac:dyDescent="0.35">
      <c r="F3206" s="33"/>
      <c r="G3206" s="70"/>
      <c r="H3206" s="400"/>
      <c r="I3206" s="239"/>
    </row>
    <row r="3207" spans="6:9" x14ac:dyDescent="0.35">
      <c r="F3207" s="33"/>
      <c r="G3207" s="70"/>
      <c r="H3207" s="400"/>
      <c r="I3207" s="239"/>
    </row>
    <row r="3208" spans="6:9" x14ac:dyDescent="0.35">
      <c r="F3208" s="33"/>
      <c r="G3208" s="70"/>
      <c r="H3208" s="400"/>
      <c r="I3208" s="239"/>
    </row>
    <row r="3209" spans="6:9" x14ac:dyDescent="0.35">
      <c r="F3209" s="33"/>
      <c r="G3209" s="70"/>
      <c r="H3209" s="400"/>
      <c r="I3209" s="239"/>
    </row>
    <row r="3210" spans="6:9" x14ac:dyDescent="0.35">
      <c r="F3210" s="33"/>
      <c r="G3210" s="70"/>
      <c r="H3210" s="400"/>
      <c r="I3210" s="239"/>
    </row>
    <row r="3211" spans="6:9" x14ac:dyDescent="0.35">
      <c r="F3211" s="33"/>
      <c r="G3211" s="70"/>
      <c r="H3211" s="400"/>
      <c r="I3211" s="239"/>
    </row>
    <row r="3212" spans="6:9" x14ac:dyDescent="0.35">
      <c r="F3212" s="33"/>
      <c r="G3212" s="70"/>
      <c r="H3212" s="400"/>
      <c r="I3212" s="239"/>
    </row>
    <row r="3213" spans="6:9" x14ac:dyDescent="0.35">
      <c r="F3213" s="33"/>
      <c r="G3213" s="70"/>
      <c r="H3213" s="400"/>
      <c r="I3213" s="239"/>
    </row>
    <row r="3214" spans="6:9" x14ac:dyDescent="0.35">
      <c r="F3214" s="33"/>
      <c r="G3214" s="70"/>
      <c r="H3214" s="400"/>
      <c r="I3214" s="239"/>
    </row>
    <row r="3215" spans="6:9" x14ac:dyDescent="0.35">
      <c r="F3215" s="33"/>
      <c r="G3215" s="70"/>
      <c r="H3215" s="400"/>
      <c r="I3215" s="239"/>
    </row>
    <row r="3216" spans="6:9" x14ac:dyDescent="0.35">
      <c r="F3216" s="33"/>
      <c r="G3216" s="70"/>
      <c r="H3216" s="400"/>
      <c r="I3216" s="239"/>
    </row>
    <row r="3217" spans="6:9" x14ac:dyDescent="0.35">
      <c r="F3217" s="33"/>
      <c r="G3217" s="70"/>
      <c r="H3217" s="400"/>
      <c r="I3217" s="239"/>
    </row>
    <row r="3218" spans="6:9" x14ac:dyDescent="0.35">
      <c r="F3218" s="33"/>
      <c r="G3218" s="70"/>
      <c r="H3218" s="400"/>
      <c r="I3218" s="239"/>
    </row>
    <row r="3219" spans="6:9" x14ac:dyDescent="0.35">
      <c r="F3219" s="33"/>
      <c r="G3219" s="70"/>
      <c r="H3219" s="400"/>
      <c r="I3219" s="239"/>
    </row>
    <row r="3220" spans="6:9" x14ac:dyDescent="0.35">
      <c r="F3220" s="33"/>
      <c r="G3220" s="70"/>
      <c r="H3220" s="400"/>
      <c r="I3220" s="239"/>
    </row>
    <row r="3221" spans="6:9" x14ac:dyDescent="0.35">
      <c r="F3221" s="33"/>
      <c r="G3221" s="70"/>
      <c r="H3221" s="400"/>
      <c r="I3221" s="239"/>
    </row>
    <row r="3222" spans="6:9" x14ac:dyDescent="0.35">
      <c r="F3222" s="33"/>
      <c r="G3222" s="70"/>
      <c r="H3222" s="400"/>
      <c r="I3222" s="239"/>
    </row>
    <row r="3223" spans="6:9" x14ac:dyDescent="0.35">
      <c r="F3223" s="33"/>
      <c r="G3223" s="70"/>
      <c r="H3223" s="400"/>
      <c r="I3223" s="239"/>
    </row>
    <row r="3224" spans="6:9" x14ac:dyDescent="0.35">
      <c r="F3224" s="33"/>
      <c r="G3224" s="70"/>
      <c r="H3224" s="400"/>
      <c r="I3224" s="239"/>
    </row>
    <row r="3225" spans="6:9" x14ac:dyDescent="0.35">
      <c r="F3225" s="33"/>
      <c r="G3225" s="70"/>
      <c r="H3225" s="400"/>
      <c r="I3225" s="239"/>
    </row>
    <row r="3226" spans="6:9" x14ac:dyDescent="0.35">
      <c r="F3226" s="33"/>
      <c r="G3226" s="70"/>
      <c r="H3226" s="400"/>
      <c r="I3226" s="239"/>
    </row>
    <row r="3227" spans="6:9" x14ac:dyDescent="0.35">
      <c r="F3227" s="33"/>
      <c r="G3227" s="70"/>
      <c r="H3227" s="400"/>
      <c r="I3227" s="239"/>
    </row>
    <row r="3228" spans="6:9" x14ac:dyDescent="0.35">
      <c r="F3228" s="33"/>
      <c r="G3228" s="70"/>
      <c r="H3228" s="400"/>
      <c r="I3228" s="239"/>
    </row>
    <row r="3229" spans="6:9" x14ac:dyDescent="0.35">
      <c r="F3229" s="33"/>
      <c r="G3229" s="70"/>
      <c r="H3229" s="400"/>
      <c r="I3229" s="239"/>
    </row>
    <row r="3230" spans="6:9" x14ac:dyDescent="0.35">
      <c r="F3230" s="33"/>
      <c r="G3230" s="70"/>
      <c r="H3230" s="400"/>
      <c r="I3230" s="239"/>
    </row>
    <row r="3231" spans="6:9" x14ac:dyDescent="0.35">
      <c r="F3231" s="33"/>
      <c r="G3231" s="70"/>
      <c r="H3231" s="400"/>
      <c r="I3231" s="239"/>
    </row>
    <row r="3232" spans="6:9" x14ac:dyDescent="0.35">
      <c r="F3232" s="33"/>
      <c r="G3232" s="70"/>
      <c r="H3232" s="400"/>
      <c r="I3232" s="239"/>
    </row>
    <row r="3233" spans="6:9" x14ac:dyDescent="0.35">
      <c r="F3233" s="33"/>
      <c r="G3233" s="70"/>
      <c r="H3233" s="400"/>
      <c r="I3233" s="239"/>
    </row>
    <row r="3234" spans="6:9" x14ac:dyDescent="0.35">
      <c r="F3234" s="33"/>
      <c r="G3234" s="70"/>
      <c r="H3234" s="400"/>
      <c r="I3234" s="239"/>
    </row>
    <row r="3235" spans="6:9" x14ac:dyDescent="0.35">
      <c r="F3235" s="33"/>
      <c r="G3235" s="70"/>
      <c r="H3235" s="400"/>
      <c r="I3235" s="239"/>
    </row>
    <row r="3236" spans="6:9" x14ac:dyDescent="0.35">
      <c r="F3236" s="33"/>
      <c r="G3236" s="70"/>
      <c r="H3236" s="400"/>
      <c r="I3236" s="239"/>
    </row>
    <row r="3237" spans="6:9" x14ac:dyDescent="0.35">
      <c r="F3237" s="33"/>
      <c r="G3237" s="70"/>
      <c r="H3237" s="400"/>
      <c r="I3237" s="239"/>
    </row>
    <row r="3238" spans="6:9" x14ac:dyDescent="0.35">
      <c r="F3238" s="33"/>
      <c r="G3238" s="70"/>
      <c r="H3238" s="400"/>
      <c r="I3238" s="239"/>
    </row>
    <row r="3239" spans="6:9" x14ac:dyDescent="0.35">
      <c r="F3239" s="33"/>
      <c r="G3239" s="70"/>
      <c r="H3239" s="400"/>
      <c r="I3239" s="239"/>
    </row>
    <row r="3240" spans="6:9" x14ac:dyDescent="0.35">
      <c r="F3240" s="33"/>
      <c r="G3240" s="70"/>
      <c r="H3240" s="400"/>
      <c r="I3240" s="239"/>
    </row>
    <row r="3241" spans="6:9" x14ac:dyDescent="0.35">
      <c r="F3241" s="33"/>
      <c r="G3241" s="70"/>
      <c r="H3241" s="400"/>
      <c r="I3241" s="239"/>
    </row>
    <row r="3242" spans="6:9" x14ac:dyDescent="0.35">
      <c r="F3242" s="33"/>
      <c r="G3242" s="70"/>
      <c r="H3242" s="400"/>
      <c r="I3242" s="239"/>
    </row>
    <row r="3243" spans="6:9" x14ac:dyDescent="0.35">
      <c r="F3243" s="33"/>
      <c r="G3243" s="70"/>
      <c r="H3243" s="400"/>
      <c r="I3243" s="239"/>
    </row>
    <row r="3244" spans="6:9" x14ac:dyDescent="0.35">
      <c r="F3244" s="33"/>
      <c r="G3244" s="70"/>
      <c r="H3244" s="400"/>
      <c r="I3244" s="239"/>
    </row>
    <row r="3245" spans="6:9" x14ac:dyDescent="0.35">
      <c r="F3245" s="33"/>
      <c r="G3245" s="70"/>
      <c r="H3245" s="400"/>
      <c r="I3245" s="239"/>
    </row>
    <row r="3246" spans="6:9" x14ac:dyDescent="0.35">
      <c r="F3246" s="33"/>
      <c r="G3246" s="70"/>
      <c r="H3246" s="400"/>
      <c r="I3246" s="239"/>
    </row>
    <row r="3247" spans="6:9" x14ac:dyDescent="0.35">
      <c r="F3247" s="33"/>
      <c r="G3247" s="70"/>
      <c r="H3247" s="400"/>
      <c r="I3247" s="239"/>
    </row>
    <row r="3248" spans="6:9" x14ac:dyDescent="0.35">
      <c r="F3248" s="33"/>
      <c r="G3248" s="70"/>
      <c r="H3248" s="400"/>
      <c r="I3248" s="239"/>
    </row>
    <row r="3249" spans="6:9" x14ac:dyDescent="0.35">
      <c r="F3249" s="33"/>
      <c r="G3249" s="70"/>
      <c r="H3249" s="400"/>
      <c r="I3249" s="239"/>
    </row>
    <row r="3250" spans="6:9" x14ac:dyDescent="0.35">
      <c r="F3250" s="33"/>
      <c r="G3250" s="70"/>
      <c r="H3250" s="400"/>
      <c r="I3250" s="239"/>
    </row>
    <row r="3251" spans="6:9" x14ac:dyDescent="0.35">
      <c r="F3251" s="33"/>
      <c r="G3251" s="70"/>
      <c r="H3251" s="400"/>
      <c r="I3251" s="239"/>
    </row>
    <row r="3252" spans="6:9" x14ac:dyDescent="0.35">
      <c r="F3252" s="33"/>
      <c r="G3252" s="70"/>
      <c r="H3252" s="400"/>
      <c r="I3252" s="239"/>
    </row>
    <row r="3253" spans="6:9" x14ac:dyDescent="0.35">
      <c r="F3253" s="33"/>
      <c r="G3253" s="70"/>
      <c r="H3253" s="400"/>
      <c r="I3253" s="239"/>
    </row>
    <row r="3254" spans="6:9" x14ac:dyDescent="0.35">
      <c r="F3254" s="33"/>
      <c r="G3254" s="70"/>
      <c r="H3254" s="400"/>
      <c r="I3254" s="239"/>
    </row>
    <row r="3255" spans="6:9" x14ac:dyDescent="0.35">
      <c r="F3255" s="33"/>
      <c r="G3255" s="70"/>
      <c r="H3255" s="400"/>
      <c r="I3255" s="239"/>
    </row>
    <row r="3256" spans="6:9" x14ac:dyDescent="0.35">
      <c r="F3256" s="33"/>
      <c r="G3256" s="70"/>
      <c r="H3256" s="400"/>
      <c r="I3256" s="239"/>
    </row>
    <row r="3257" spans="6:9" x14ac:dyDescent="0.35">
      <c r="F3257" s="33"/>
      <c r="G3257" s="70"/>
      <c r="H3257" s="400"/>
      <c r="I3257" s="239"/>
    </row>
    <row r="3258" spans="6:9" x14ac:dyDescent="0.35">
      <c r="F3258" s="33"/>
      <c r="G3258" s="70"/>
      <c r="H3258" s="400"/>
      <c r="I3258" s="239"/>
    </row>
    <row r="3259" spans="6:9" x14ac:dyDescent="0.35">
      <c r="F3259" s="33"/>
      <c r="G3259" s="70"/>
      <c r="H3259" s="400"/>
      <c r="I3259" s="239"/>
    </row>
    <row r="3260" spans="6:9" x14ac:dyDescent="0.35">
      <c r="F3260" s="33"/>
      <c r="G3260" s="70"/>
      <c r="H3260" s="400"/>
      <c r="I3260" s="239"/>
    </row>
    <row r="3261" spans="6:9" x14ac:dyDescent="0.35">
      <c r="F3261" s="33"/>
      <c r="G3261" s="70"/>
      <c r="H3261" s="400"/>
      <c r="I3261" s="239"/>
    </row>
    <row r="3262" spans="6:9" x14ac:dyDescent="0.35">
      <c r="F3262" s="33"/>
      <c r="G3262" s="70"/>
      <c r="H3262" s="400"/>
      <c r="I3262" s="239"/>
    </row>
    <row r="3263" spans="6:9" x14ac:dyDescent="0.35">
      <c r="F3263" s="33"/>
      <c r="G3263" s="70"/>
      <c r="H3263" s="400"/>
      <c r="I3263" s="239"/>
    </row>
    <row r="3264" spans="6:9" x14ac:dyDescent="0.35">
      <c r="F3264" s="33"/>
      <c r="G3264" s="70"/>
      <c r="H3264" s="400"/>
      <c r="I3264" s="239"/>
    </row>
    <row r="3265" spans="6:9" x14ac:dyDescent="0.35">
      <c r="F3265" s="33"/>
      <c r="G3265" s="70"/>
      <c r="H3265" s="400"/>
      <c r="I3265" s="239"/>
    </row>
    <row r="3266" spans="6:9" x14ac:dyDescent="0.35">
      <c r="F3266" s="33"/>
      <c r="G3266" s="70"/>
      <c r="H3266" s="400"/>
      <c r="I3266" s="239"/>
    </row>
    <row r="3267" spans="6:9" x14ac:dyDescent="0.35">
      <c r="F3267" s="33"/>
      <c r="G3267" s="70"/>
      <c r="H3267" s="400"/>
      <c r="I3267" s="239"/>
    </row>
    <row r="3268" spans="6:9" x14ac:dyDescent="0.35">
      <c r="F3268" s="33"/>
      <c r="G3268" s="70"/>
      <c r="H3268" s="400"/>
      <c r="I3268" s="239"/>
    </row>
    <row r="3269" spans="6:9" x14ac:dyDescent="0.35">
      <c r="F3269" s="33"/>
      <c r="G3269" s="70"/>
      <c r="H3269" s="400"/>
      <c r="I3269" s="239"/>
    </row>
    <row r="3270" spans="6:9" x14ac:dyDescent="0.35">
      <c r="F3270" s="33"/>
      <c r="G3270" s="70"/>
      <c r="H3270" s="400"/>
      <c r="I3270" s="239"/>
    </row>
    <row r="3271" spans="6:9" x14ac:dyDescent="0.35">
      <c r="F3271" s="33"/>
      <c r="G3271" s="70"/>
      <c r="H3271" s="400"/>
      <c r="I3271" s="239"/>
    </row>
    <row r="3272" spans="6:9" x14ac:dyDescent="0.35">
      <c r="F3272" s="33"/>
      <c r="G3272" s="70"/>
      <c r="H3272" s="400"/>
      <c r="I3272" s="239"/>
    </row>
    <row r="3273" spans="6:9" x14ac:dyDescent="0.35">
      <c r="F3273" s="33"/>
      <c r="G3273" s="70"/>
      <c r="H3273" s="400"/>
      <c r="I3273" s="239"/>
    </row>
    <row r="3274" spans="6:9" x14ac:dyDescent="0.35">
      <c r="F3274" s="33"/>
      <c r="G3274" s="70"/>
      <c r="H3274" s="400"/>
      <c r="I3274" s="239"/>
    </row>
    <row r="3275" spans="6:9" x14ac:dyDescent="0.35">
      <c r="F3275" s="33"/>
      <c r="G3275" s="70"/>
      <c r="H3275" s="400"/>
      <c r="I3275" s="239"/>
    </row>
    <row r="3276" spans="6:9" x14ac:dyDescent="0.35">
      <c r="F3276" s="33"/>
      <c r="G3276" s="70"/>
      <c r="H3276" s="400"/>
      <c r="I3276" s="239"/>
    </row>
    <row r="3277" spans="6:9" x14ac:dyDescent="0.35">
      <c r="F3277" s="33"/>
      <c r="G3277" s="70"/>
      <c r="H3277" s="400"/>
      <c r="I3277" s="239"/>
    </row>
    <row r="3278" spans="6:9" x14ac:dyDescent="0.35">
      <c r="F3278" s="33"/>
      <c r="G3278" s="70"/>
      <c r="H3278" s="400"/>
      <c r="I3278" s="239"/>
    </row>
    <row r="3279" spans="6:9" x14ac:dyDescent="0.35">
      <c r="F3279" s="33"/>
      <c r="G3279" s="70"/>
      <c r="H3279" s="400"/>
      <c r="I3279" s="239"/>
    </row>
    <row r="3280" spans="6:9" x14ac:dyDescent="0.35">
      <c r="F3280" s="33"/>
      <c r="G3280" s="70"/>
      <c r="H3280" s="400"/>
      <c r="I3280" s="239"/>
    </row>
    <row r="3281" spans="6:9" x14ac:dyDescent="0.35">
      <c r="F3281" s="33"/>
      <c r="G3281" s="70"/>
      <c r="H3281" s="400"/>
      <c r="I3281" s="239"/>
    </row>
    <row r="3282" spans="6:9" x14ac:dyDescent="0.35">
      <c r="F3282" s="33"/>
      <c r="G3282" s="70"/>
      <c r="H3282" s="400"/>
      <c r="I3282" s="239"/>
    </row>
    <row r="3283" spans="6:9" x14ac:dyDescent="0.35">
      <c r="F3283" s="33"/>
      <c r="G3283" s="70"/>
      <c r="H3283" s="400"/>
      <c r="I3283" s="239"/>
    </row>
    <row r="3284" spans="6:9" x14ac:dyDescent="0.35">
      <c r="F3284" s="33"/>
      <c r="G3284" s="70"/>
      <c r="H3284" s="400"/>
      <c r="I3284" s="239"/>
    </row>
    <row r="3285" spans="6:9" x14ac:dyDescent="0.35">
      <c r="F3285" s="33"/>
      <c r="G3285" s="70"/>
      <c r="H3285" s="400"/>
      <c r="I3285" s="239"/>
    </row>
    <row r="3286" spans="6:9" x14ac:dyDescent="0.35">
      <c r="F3286" s="33"/>
      <c r="G3286" s="70"/>
      <c r="H3286" s="400"/>
      <c r="I3286" s="239"/>
    </row>
    <row r="3287" spans="6:9" x14ac:dyDescent="0.35">
      <c r="F3287" s="33"/>
      <c r="G3287" s="70"/>
      <c r="H3287" s="400"/>
      <c r="I3287" s="239"/>
    </row>
    <row r="3288" spans="6:9" x14ac:dyDescent="0.35">
      <c r="F3288" s="33"/>
      <c r="G3288" s="70"/>
      <c r="H3288" s="400"/>
      <c r="I3288" s="239"/>
    </row>
    <row r="3289" spans="6:9" x14ac:dyDescent="0.35">
      <c r="F3289" s="33"/>
      <c r="G3289" s="70"/>
      <c r="H3289" s="400"/>
      <c r="I3289" s="239"/>
    </row>
    <row r="3290" spans="6:9" x14ac:dyDescent="0.35">
      <c r="F3290" s="33"/>
      <c r="G3290" s="70"/>
      <c r="H3290" s="400"/>
      <c r="I3290" s="239"/>
    </row>
    <row r="3291" spans="6:9" x14ac:dyDescent="0.35">
      <c r="F3291" s="33"/>
      <c r="G3291" s="70"/>
      <c r="H3291" s="400"/>
      <c r="I3291" s="239"/>
    </row>
    <row r="3292" spans="6:9" x14ac:dyDescent="0.35">
      <c r="F3292" s="33"/>
      <c r="G3292" s="70"/>
      <c r="H3292" s="400"/>
      <c r="I3292" s="239"/>
    </row>
    <row r="3293" spans="6:9" x14ac:dyDescent="0.35">
      <c r="F3293" s="33"/>
      <c r="G3293" s="70"/>
      <c r="H3293" s="400"/>
      <c r="I3293" s="239"/>
    </row>
    <row r="3294" spans="6:9" x14ac:dyDescent="0.35">
      <c r="F3294" s="33"/>
      <c r="G3294" s="70"/>
      <c r="H3294" s="400"/>
      <c r="I3294" s="239"/>
    </row>
    <row r="3295" spans="6:9" x14ac:dyDescent="0.35">
      <c r="F3295" s="33"/>
      <c r="G3295" s="70"/>
      <c r="H3295" s="400"/>
      <c r="I3295" s="239"/>
    </row>
    <row r="3296" spans="6:9" x14ac:dyDescent="0.35">
      <c r="F3296" s="33"/>
      <c r="G3296" s="70"/>
      <c r="H3296" s="400"/>
      <c r="I3296" s="239"/>
    </row>
    <row r="3297" spans="6:9" x14ac:dyDescent="0.35">
      <c r="F3297" s="33"/>
      <c r="G3297" s="70"/>
      <c r="H3297" s="400"/>
      <c r="I3297" s="239"/>
    </row>
    <row r="3298" spans="6:9" x14ac:dyDescent="0.35">
      <c r="F3298" s="33"/>
      <c r="G3298" s="70"/>
      <c r="H3298" s="400"/>
      <c r="I3298" s="239"/>
    </row>
    <row r="3299" spans="6:9" x14ac:dyDescent="0.35">
      <c r="F3299" s="33"/>
      <c r="G3299" s="70"/>
      <c r="H3299" s="400"/>
      <c r="I3299" s="239"/>
    </row>
    <row r="3300" spans="6:9" x14ac:dyDescent="0.35">
      <c r="F3300" s="33"/>
      <c r="G3300" s="70"/>
      <c r="H3300" s="400"/>
      <c r="I3300" s="239"/>
    </row>
    <row r="3301" spans="6:9" x14ac:dyDescent="0.35">
      <c r="F3301" s="33"/>
      <c r="G3301" s="70"/>
      <c r="H3301" s="400"/>
      <c r="I3301" s="239"/>
    </row>
    <row r="3302" spans="6:9" x14ac:dyDescent="0.35">
      <c r="F3302" s="33"/>
      <c r="G3302" s="70"/>
      <c r="H3302" s="400"/>
      <c r="I3302" s="239"/>
    </row>
    <row r="3303" spans="6:9" x14ac:dyDescent="0.35">
      <c r="F3303" s="33"/>
      <c r="G3303" s="70"/>
      <c r="H3303" s="400"/>
      <c r="I3303" s="239"/>
    </row>
    <row r="3304" spans="6:9" x14ac:dyDescent="0.35">
      <c r="F3304" s="33"/>
      <c r="G3304" s="70"/>
      <c r="H3304" s="400"/>
      <c r="I3304" s="239"/>
    </row>
    <row r="3305" spans="6:9" x14ac:dyDescent="0.35">
      <c r="F3305" s="33"/>
      <c r="G3305" s="70"/>
      <c r="H3305" s="400"/>
      <c r="I3305" s="239"/>
    </row>
    <row r="3306" spans="6:9" x14ac:dyDescent="0.35">
      <c r="F3306" s="33"/>
      <c r="G3306" s="70"/>
      <c r="H3306" s="400"/>
      <c r="I3306" s="239"/>
    </row>
    <row r="3307" spans="6:9" x14ac:dyDescent="0.35">
      <c r="F3307" s="33"/>
      <c r="G3307" s="70"/>
      <c r="H3307" s="400"/>
      <c r="I3307" s="239"/>
    </row>
    <row r="3308" spans="6:9" x14ac:dyDescent="0.35">
      <c r="F3308" s="33"/>
      <c r="G3308" s="70"/>
      <c r="H3308" s="400"/>
      <c r="I3308" s="239"/>
    </row>
    <row r="3309" spans="6:9" x14ac:dyDescent="0.35">
      <c r="F3309" s="33"/>
      <c r="G3309" s="70"/>
      <c r="H3309" s="400"/>
      <c r="I3309" s="239"/>
    </row>
    <row r="3310" spans="6:9" x14ac:dyDescent="0.35">
      <c r="F3310" s="33"/>
      <c r="G3310" s="70"/>
      <c r="H3310" s="400"/>
      <c r="I3310" s="239"/>
    </row>
    <row r="3311" spans="6:9" x14ac:dyDescent="0.35">
      <c r="F3311" s="33"/>
      <c r="G3311" s="70"/>
      <c r="H3311" s="400"/>
      <c r="I3311" s="239"/>
    </row>
    <row r="3312" spans="6:9" x14ac:dyDescent="0.35">
      <c r="F3312" s="33"/>
      <c r="G3312" s="70"/>
      <c r="H3312" s="400"/>
      <c r="I3312" s="239"/>
    </row>
    <row r="3313" spans="6:9" x14ac:dyDescent="0.35">
      <c r="F3313" s="33"/>
      <c r="G3313" s="70"/>
      <c r="H3313" s="400"/>
      <c r="I3313" s="239"/>
    </row>
    <row r="3314" spans="6:9" x14ac:dyDescent="0.35">
      <c r="F3314" s="33"/>
      <c r="G3314" s="70"/>
      <c r="H3314" s="400"/>
      <c r="I3314" s="239"/>
    </row>
    <row r="3315" spans="6:9" x14ac:dyDescent="0.35">
      <c r="F3315" s="33"/>
      <c r="G3315" s="70"/>
      <c r="H3315" s="400"/>
      <c r="I3315" s="239"/>
    </row>
    <row r="3316" spans="6:9" x14ac:dyDescent="0.35">
      <c r="F3316" s="33"/>
      <c r="G3316" s="70"/>
      <c r="H3316" s="400"/>
      <c r="I3316" s="239"/>
    </row>
    <row r="3317" spans="6:9" x14ac:dyDescent="0.35">
      <c r="F3317" s="33"/>
      <c r="G3317" s="70"/>
      <c r="H3317" s="400"/>
      <c r="I3317" s="239"/>
    </row>
    <row r="3318" spans="6:9" x14ac:dyDescent="0.35">
      <c r="F3318" s="33"/>
      <c r="G3318" s="70"/>
      <c r="H3318" s="400"/>
      <c r="I3318" s="239"/>
    </row>
    <row r="3319" spans="6:9" x14ac:dyDescent="0.35">
      <c r="F3319" s="33"/>
      <c r="G3319" s="70"/>
      <c r="H3319" s="400"/>
      <c r="I3319" s="239"/>
    </row>
    <row r="3320" spans="6:9" x14ac:dyDescent="0.35">
      <c r="F3320" s="33"/>
      <c r="G3320" s="70"/>
      <c r="H3320" s="400"/>
      <c r="I3320" s="239"/>
    </row>
    <row r="3321" spans="6:9" x14ac:dyDescent="0.35">
      <c r="F3321" s="33"/>
      <c r="G3321" s="70"/>
      <c r="H3321" s="400"/>
      <c r="I3321" s="239"/>
    </row>
    <row r="3322" spans="6:9" x14ac:dyDescent="0.35">
      <c r="F3322" s="33"/>
      <c r="G3322" s="70"/>
      <c r="H3322" s="400"/>
      <c r="I3322" s="239"/>
    </row>
    <row r="3323" spans="6:9" x14ac:dyDescent="0.35">
      <c r="F3323" s="33"/>
      <c r="G3323" s="70"/>
      <c r="H3323" s="400"/>
      <c r="I3323" s="239"/>
    </row>
    <row r="3324" spans="6:9" x14ac:dyDescent="0.35">
      <c r="F3324" s="33"/>
      <c r="G3324" s="70"/>
      <c r="H3324" s="400"/>
      <c r="I3324" s="239"/>
    </row>
    <row r="3325" spans="6:9" x14ac:dyDescent="0.35">
      <c r="F3325" s="33"/>
      <c r="G3325" s="70"/>
      <c r="H3325" s="400"/>
      <c r="I3325" s="239"/>
    </row>
    <row r="3326" spans="6:9" x14ac:dyDescent="0.35">
      <c r="F3326" s="33"/>
      <c r="G3326" s="70"/>
      <c r="H3326" s="400"/>
      <c r="I3326" s="239"/>
    </row>
    <row r="3327" spans="6:9" x14ac:dyDescent="0.35">
      <c r="F3327" s="33"/>
      <c r="G3327" s="70"/>
      <c r="H3327" s="400"/>
      <c r="I3327" s="239"/>
    </row>
    <row r="3328" spans="6:9" x14ac:dyDescent="0.35">
      <c r="F3328" s="33"/>
      <c r="G3328" s="70"/>
      <c r="H3328" s="400"/>
      <c r="I3328" s="239"/>
    </row>
    <row r="3329" spans="6:9" x14ac:dyDescent="0.35">
      <c r="F3329" s="33"/>
      <c r="G3329" s="70"/>
      <c r="H3329" s="400"/>
      <c r="I3329" s="239"/>
    </row>
    <row r="3330" spans="6:9" x14ac:dyDescent="0.35">
      <c r="F3330" s="33"/>
      <c r="G3330" s="70"/>
      <c r="H3330" s="400"/>
      <c r="I3330" s="239"/>
    </row>
    <row r="3331" spans="6:9" x14ac:dyDescent="0.35">
      <c r="F3331" s="33"/>
      <c r="G3331" s="70"/>
      <c r="H3331" s="400"/>
      <c r="I3331" s="239"/>
    </row>
    <row r="3332" spans="6:9" x14ac:dyDescent="0.35">
      <c r="F3332" s="33"/>
      <c r="G3332" s="70"/>
      <c r="H3332" s="400"/>
      <c r="I3332" s="239"/>
    </row>
    <row r="3333" spans="6:9" x14ac:dyDescent="0.35">
      <c r="F3333" s="33"/>
      <c r="G3333" s="70"/>
      <c r="H3333" s="400"/>
      <c r="I3333" s="239"/>
    </row>
    <row r="3334" spans="6:9" x14ac:dyDescent="0.35">
      <c r="F3334" s="33"/>
      <c r="G3334" s="70"/>
      <c r="H3334" s="400"/>
      <c r="I3334" s="239"/>
    </row>
    <row r="3335" spans="6:9" x14ac:dyDescent="0.35">
      <c r="F3335" s="33"/>
      <c r="G3335" s="70"/>
      <c r="H3335" s="400"/>
      <c r="I3335" s="239"/>
    </row>
    <row r="3336" spans="6:9" x14ac:dyDescent="0.35">
      <c r="F3336" s="33"/>
      <c r="G3336" s="70"/>
      <c r="H3336" s="400"/>
      <c r="I3336" s="239"/>
    </row>
    <row r="3337" spans="6:9" x14ac:dyDescent="0.35">
      <c r="F3337" s="33"/>
      <c r="G3337" s="70"/>
      <c r="H3337" s="400"/>
      <c r="I3337" s="239"/>
    </row>
    <row r="3338" spans="6:9" x14ac:dyDescent="0.35">
      <c r="F3338" s="33"/>
      <c r="G3338" s="70"/>
      <c r="H3338" s="400"/>
      <c r="I3338" s="239"/>
    </row>
    <row r="3339" spans="6:9" x14ac:dyDescent="0.35">
      <c r="F3339" s="33"/>
      <c r="G3339" s="70"/>
      <c r="H3339" s="400"/>
      <c r="I3339" s="239"/>
    </row>
    <row r="3340" spans="6:9" x14ac:dyDescent="0.35">
      <c r="F3340" s="33"/>
      <c r="G3340" s="70"/>
      <c r="H3340" s="400"/>
      <c r="I3340" s="239"/>
    </row>
    <row r="3341" spans="6:9" x14ac:dyDescent="0.35">
      <c r="F3341" s="33"/>
      <c r="G3341" s="70"/>
      <c r="H3341" s="400"/>
      <c r="I3341" s="239"/>
    </row>
    <row r="3342" spans="6:9" x14ac:dyDescent="0.35">
      <c r="F3342" s="33"/>
      <c r="G3342" s="70"/>
      <c r="H3342" s="400"/>
      <c r="I3342" s="239"/>
    </row>
    <row r="3343" spans="6:9" x14ac:dyDescent="0.35">
      <c r="F3343" s="33"/>
      <c r="G3343" s="70"/>
      <c r="H3343" s="400"/>
      <c r="I3343" s="239"/>
    </row>
    <row r="3344" spans="6:9" x14ac:dyDescent="0.35">
      <c r="F3344" s="33"/>
      <c r="G3344" s="70"/>
      <c r="H3344" s="400"/>
      <c r="I3344" s="239"/>
    </row>
    <row r="3345" spans="6:9" x14ac:dyDescent="0.35">
      <c r="F3345" s="33"/>
      <c r="G3345" s="70"/>
      <c r="H3345" s="400"/>
      <c r="I3345" s="239"/>
    </row>
    <row r="3346" spans="6:9" x14ac:dyDescent="0.35">
      <c r="F3346" s="33"/>
      <c r="G3346" s="70"/>
      <c r="H3346" s="400"/>
      <c r="I3346" s="239"/>
    </row>
    <row r="3347" spans="6:9" x14ac:dyDescent="0.35">
      <c r="F3347" s="33"/>
      <c r="G3347" s="70"/>
      <c r="H3347" s="400"/>
      <c r="I3347" s="239"/>
    </row>
    <row r="3348" spans="6:9" x14ac:dyDescent="0.35">
      <c r="F3348" s="33"/>
      <c r="G3348" s="70"/>
      <c r="H3348" s="400"/>
      <c r="I3348" s="239"/>
    </row>
    <row r="3349" spans="6:9" x14ac:dyDescent="0.35">
      <c r="F3349" s="33"/>
      <c r="G3349" s="70"/>
      <c r="H3349" s="400"/>
      <c r="I3349" s="239"/>
    </row>
    <row r="3350" spans="6:9" x14ac:dyDescent="0.35">
      <c r="F3350" s="33"/>
      <c r="G3350" s="70"/>
      <c r="H3350" s="400"/>
      <c r="I3350" s="239"/>
    </row>
    <row r="3351" spans="6:9" x14ac:dyDescent="0.35">
      <c r="F3351" s="33"/>
      <c r="G3351" s="70"/>
      <c r="H3351" s="400"/>
      <c r="I3351" s="239"/>
    </row>
    <row r="3352" spans="6:9" x14ac:dyDescent="0.35">
      <c r="F3352" s="33"/>
      <c r="G3352" s="70"/>
      <c r="H3352" s="400"/>
      <c r="I3352" s="239"/>
    </row>
    <row r="3353" spans="6:9" x14ac:dyDescent="0.35">
      <c r="F3353" s="33"/>
      <c r="G3353" s="70"/>
      <c r="H3353" s="400"/>
      <c r="I3353" s="239"/>
    </row>
    <row r="3354" spans="6:9" x14ac:dyDescent="0.35">
      <c r="F3354" s="33"/>
      <c r="G3354" s="70"/>
      <c r="H3354" s="400"/>
      <c r="I3354" s="239"/>
    </row>
    <row r="3355" spans="6:9" x14ac:dyDescent="0.35">
      <c r="F3355" s="33"/>
      <c r="G3355" s="70"/>
      <c r="H3355" s="400"/>
      <c r="I3355" s="239"/>
    </row>
    <row r="3356" spans="6:9" x14ac:dyDescent="0.35">
      <c r="F3356" s="33"/>
      <c r="G3356" s="70"/>
      <c r="H3356" s="400"/>
      <c r="I3356" s="239"/>
    </row>
    <row r="3357" spans="6:9" x14ac:dyDescent="0.35">
      <c r="F3357" s="33"/>
      <c r="G3357" s="70"/>
      <c r="H3357" s="400"/>
      <c r="I3357" s="239"/>
    </row>
    <row r="3358" spans="6:9" x14ac:dyDescent="0.35">
      <c r="F3358" s="33"/>
      <c r="G3358" s="70"/>
      <c r="H3358" s="400"/>
      <c r="I3358" s="239"/>
    </row>
    <row r="3359" spans="6:9" x14ac:dyDescent="0.35">
      <c r="F3359" s="33"/>
      <c r="G3359" s="70"/>
      <c r="H3359" s="400"/>
      <c r="I3359" s="239"/>
    </row>
    <row r="3360" spans="6:9" x14ac:dyDescent="0.35">
      <c r="F3360" s="33"/>
      <c r="G3360" s="70"/>
      <c r="H3360" s="400"/>
      <c r="I3360" s="239"/>
    </row>
    <row r="3361" spans="6:9" x14ac:dyDescent="0.35">
      <c r="F3361" s="33"/>
      <c r="G3361" s="70"/>
      <c r="H3361" s="400"/>
      <c r="I3361" s="239"/>
    </row>
    <row r="3362" spans="6:9" x14ac:dyDescent="0.35">
      <c r="F3362" s="33"/>
      <c r="G3362" s="70"/>
      <c r="H3362" s="400"/>
      <c r="I3362" s="239"/>
    </row>
    <row r="3363" spans="6:9" x14ac:dyDescent="0.35">
      <c r="F3363" s="33"/>
      <c r="G3363" s="70"/>
      <c r="H3363" s="400"/>
      <c r="I3363" s="239"/>
    </row>
    <row r="3364" spans="6:9" x14ac:dyDescent="0.35">
      <c r="F3364" s="33"/>
      <c r="G3364" s="70"/>
      <c r="H3364" s="400"/>
      <c r="I3364" s="239"/>
    </row>
    <row r="3365" spans="6:9" x14ac:dyDescent="0.35">
      <c r="F3365" s="33"/>
      <c r="G3365" s="70"/>
      <c r="H3365" s="400"/>
      <c r="I3365" s="239"/>
    </row>
    <row r="3366" spans="6:9" x14ac:dyDescent="0.35">
      <c r="F3366" s="33"/>
      <c r="G3366" s="70"/>
      <c r="H3366" s="400"/>
      <c r="I3366" s="239"/>
    </row>
    <row r="3367" spans="6:9" x14ac:dyDescent="0.35">
      <c r="F3367" s="33"/>
      <c r="G3367" s="70"/>
      <c r="H3367" s="400"/>
      <c r="I3367" s="239"/>
    </row>
    <row r="3368" spans="6:9" x14ac:dyDescent="0.35">
      <c r="F3368" s="33"/>
      <c r="G3368" s="70"/>
      <c r="H3368" s="400"/>
      <c r="I3368" s="239"/>
    </row>
    <row r="3369" spans="6:9" x14ac:dyDescent="0.35">
      <c r="F3369" s="33"/>
      <c r="G3369" s="70"/>
      <c r="H3369" s="400"/>
      <c r="I3369" s="239"/>
    </row>
    <row r="3370" spans="6:9" x14ac:dyDescent="0.35">
      <c r="F3370" s="33"/>
      <c r="G3370" s="70"/>
      <c r="H3370" s="400"/>
      <c r="I3370" s="239"/>
    </row>
    <row r="3371" spans="6:9" x14ac:dyDescent="0.35">
      <c r="F3371" s="33"/>
      <c r="G3371" s="70"/>
      <c r="H3371" s="400"/>
      <c r="I3371" s="239"/>
    </row>
    <row r="3372" spans="6:9" x14ac:dyDescent="0.35">
      <c r="F3372" s="33"/>
      <c r="G3372" s="70"/>
      <c r="H3372" s="400"/>
      <c r="I3372" s="239"/>
    </row>
    <row r="3373" spans="6:9" x14ac:dyDescent="0.35">
      <c r="F3373" s="33"/>
      <c r="G3373" s="70"/>
      <c r="H3373" s="400"/>
      <c r="I3373" s="239"/>
    </row>
    <row r="3374" spans="6:9" x14ac:dyDescent="0.35">
      <c r="F3374" s="33"/>
      <c r="G3374" s="70"/>
      <c r="H3374" s="400"/>
      <c r="I3374" s="239"/>
    </row>
    <row r="3375" spans="6:9" x14ac:dyDescent="0.35">
      <c r="F3375" s="33"/>
      <c r="G3375" s="70"/>
      <c r="H3375" s="400"/>
      <c r="I3375" s="239"/>
    </row>
    <row r="3376" spans="6:9" x14ac:dyDescent="0.35">
      <c r="F3376" s="33"/>
      <c r="G3376" s="70"/>
      <c r="H3376" s="400"/>
      <c r="I3376" s="239"/>
    </row>
    <row r="3377" spans="6:9" x14ac:dyDescent="0.35">
      <c r="F3377" s="33"/>
      <c r="G3377" s="70"/>
      <c r="H3377" s="400"/>
      <c r="I3377" s="239"/>
    </row>
    <row r="3378" spans="6:9" x14ac:dyDescent="0.35">
      <c r="F3378" s="33"/>
      <c r="G3378" s="70"/>
      <c r="H3378" s="400"/>
      <c r="I3378" s="239"/>
    </row>
    <row r="3379" spans="6:9" x14ac:dyDescent="0.35">
      <c r="F3379" s="33"/>
      <c r="G3379" s="70"/>
      <c r="H3379" s="400"/>
      <c r="I3379" s="239"/>
    </row>
    <row r="3380" spans="6:9" x14ac:dyDescent="0.35">
      <c r="F3380" s="33"/>
      <c r="G3380" s="70"/>
      <c r="H3380" s="400"/>
      <c r="I3380" s="239"/>
    </row>
    <row r="3381" spans="6:9" x14ac:dyDescent="0.35">
      <c r="F3381" s="33"/>
      <c r="G3381" s="70"/>
      <c r="H3381" s="400"/>
      <c r="I3381" s="239"/>
    </row>
    <row r="3382" spans="6:9" x14ac:dyDescent="0.35">
      <c r="F3382" s="33"/>
      <c r="G3382" s="70"/>
      <c r="H3382" s="400"/>
      <c r="I3382" s="239"/>
    </row>
    <row r="3383" spans="6:9" x14ac:dyDescent="0.35">
      <c r="F3383" s="33"/>
      <c r="G3383" s="70"/>
      <c r="H3383" s="400"/>
      <c r="I3383" s="239"/>
    </row>
    <row r="3384" spans="6:9" x14ac:dyDescent="0.35">
      <c r="F3384" s="33"/>
      <c r="G3384" s="70"/>
      <c r="H3384" s="400"/>
      <c r="I3384" s="239"/>
    </row>
    <row r="3385" spans="6:9" x14ac:dyDescent="0.35">
      <c r="F3385" s="33"/>
      <c r="G3385" s="70"/>
      <c r="H3385" s="400"/>
      <c r="I3385" s="239"/>
    </row>
    <row r="3386" spans="6:9" x14ac:dyDescent="0.35">
      <c r="F3386" s="33"/>
      <c r="G3386" s="70"/>
      <c r="H3386" s="400"/>
      <c r="I3386" s="239"/>
    </row>
    <row r="3387" spans="6:9" x14ac:dyDescent="0.35">
      <c r="F3387" s="33"/>
      <c r="G3387" s="70"/>
      <c r="H3387" s="400"/>
      <c r="I3387" s="239"/>
    </row>
    <row r="3388" spans="6:9" x14ac:dyDescent="0.35">
      <c r="F3388" s="33"/>
      <c r="G3388" s="70"/>
      <c r="H3388" s="400"/>
      <c r="I3388" s="239"/>
    </row>
    <row r="3389" spans="6:9" x14ac:dyDescent="0.35">
      <c r="F3389" s="33"/>
      <c r="G3389" s="70"/>
      <c r="H3389" s="400"/>
      <c r="I3389" s="239"/>
    </row>
    <row r="3390" spans="6:9" x14ac:dyDescent="0.35">
      <c r="F3390" s="33"/>
      <c r="G3390" s="70"/>
      <c r="H3390" s="400"/>
      <c r="I3390" s="239"/>
    </row>
    <row r="3391" spans="6:9" x14ac:dyDescent="0.35">
      <c r="F3391" s="33"/>
      <c r="G3391" s="70"/>
      <c r="H3391" s="400"/>
      <c r="I3391" s="239"/>
    </row>
    <row r="3392" spans="6:9" x14ac:dyDescent="0.35">
      <c r="F3392" s="33"/>
      <c r="G3392" s="70"/>
      <c r="H3392" s="400"/>
      <c r="I3392" s="239"/>
    </row>
    <row r="3393" spans="6:9" x14ac:dyDescent="0.35">
      <c r="F3393" s="33"/>
      <c r="G3393" s="70"/>
      <c r="H3393" s="400"/>
      <c r="I3393" s="239"/>
    </row>
    <row r="3394" spans="6:9" x14ac:dyDescent="0.35">
      <c r="F3394" s="33"/>
      <c r="G3394" s="70"/>
      <c r="H3394" s="400"/>
      <c r="I3394" s="239"/>
    </row>
    <row r="3395" spans="6:9" x14ac:dyDescent="0.35">
      <c r="F3395" s="33"/>
      <c r="G3395" s="70"/>
      <c r="H3395" s="400"/>
      <c r="I3395" s="239"/>
    </row>
    <row r="3396" spans="6:9" x14ac:dyDescent="0.35">
      <c r="F3396" s="33"/>
      <c r="G3396" s="70"/>
      <c r="H3396" s="400"/>
      <c r="I3396" s="239"/>
    </row>
    <row r="3397" spans="6:9" x14ac:dyDescent="0.35">
      <c r="F3397" s="33"/>
      <c r="G3397" s="70"/>
      <c r="H3397" s="400"/>
      <c r="I3397" s="239"/>
    </row>
    <row r="3398" spans="6:9" x14ac:dyDescent="0.35">
      <c r="F3398" s="33"/>
      <c r="G3398" s="70"/>
      <c r="H3398" s="400"/>
      <c r="I3398" s="239"/>
    </row>
    <row r="3399" spans="6:9" x14ac:dyDescent="0.35">
      <c r="F3399" s="33"/>
      <c r="G3399" s="70"/>
      <c r="H3399" s="400"/>
      <c r="I3399" s="239"/>
    </row>
    <row r="3400" spans="6:9" x14ac:dyDescent="0.35">
      <c r="F3400" s="33"/>
      <c r="G3400" s="70"/>
      <c r="H3400" s="400"/>
      <c r="I3400" s="239"/>
    </row>
    <row r="3401" spans="6:9" x14ac:dyDescent="0.35">
      <c r="F3401" s="33"/>
      <c r="G3401" s="70"/>
      <c r="H3401" s="400"/>
      <c r="I3401" s="239"/>
    </row>
    <row r="3402" spans="6:9" x14ac:dyDescent="0.35">
      <c r="F3402" s="33"/>
      <c r="G3402" s="70"/>
      <c r="H3402" s="400"/>
      <c r="I3402" s="239"/>
    </row>
    <row r="3403" spans="6:9" x14ac:dyDescent="0.35">
      <c r="F3403" s="33"/>
      <c r="G3403" s="70"/>
      <c r="H3403" s="400"/>
      <c r="I3403" s="239"/>
    </row>
    <row r="3404" spans="6:9" x14ac:dyDescent="0.35">
      <c r="F3404" s="33"/>
      <c r="G3404" s="70"/>
      <c r="H3404" s="400"/>
      <c r="I3404" s="239"/>
    </row>
    <row r="3405" spans="6:9" x14ac:dyDescent="0.35">
      <c r="F3405" s="33"/>
      <c r="G3405" s="70"/>
      <c r="H3405" s="400"/>
      <c r="I3405" s="239"/>
    </row>
    <row r="3406" spans="6:9" x14ac:dyDescent="0.35">
      <c r="F3406" s="33"/>
      <c r="G3406" s="70"/>
      <c r="H3406" s="400"/>
      <c r="I3406" s="239"/>
    </row>
    <row r="3407" spans="6:9" x14ac:dyDescent="0.35">
      <c r="F3407" s="33"/>
      <c r="G3407" s="70"/>
      <c r="H3407" s="400"/>
      <c r="I3407" s="239"/>
    </row>
    <row r="3408" spans="6:9" x14ac:dyDescent="0.35">
      <c r="F3408" s="33"/>
      <c r="G3408" s="70"/>
      <c r="H3408" s="400"/>
      <c r="I3408" s="239"/>
    </row>
    <row r="3409" spans="6:9" x14ac:dyDescent="0.35">
      <c r="F3409" s="33"/>
      <c r="G3409" s="70"/>
      <c r="H3409" s="400"/>
      <c r="I3409" s="239"/>
    </row>
    <row r="3410" spans="6:9" x14ac:dyDescent="0.35">
      <c r="F3410" s="33"/>
      <c r="G3410" s="70"/>
      <c r="H3410" s="400"/>
      <c r="I3410" s="239"/>
    </row>
    <row r="3411" spans="6:9" x14ac:dyDescent="0.35">
      <c r="F3411" s="33"/>
      <c r="G3411" s="70"/>
      <c r="H3411" s="400"/>
      <c r="I3411" s="239"/>
    </row>
    <row r="3412" spans="6:9" x14ac:dyDescent="0.35">
      <c r="F3412" s="33"/>
      <c r="G3412" s="70"/>
      <c r="H3412" s="400"/>
      <c r="I3412" s="239"/>
    </row>
    <row r="3413" spans="6:9" x14ac:dyDescent="0.35">
      <c r="F3413" s="33"/>
      <c r="G3413" s="70"/>
      <c r="H3413" s="400"/>
      <c r="I3413" s="239"/>
    </row>
    <row r="3414" spans="6:9" x14ac:dyDescent="0.35">
      <c r="F3414" s="33"/>
      <c r="G3414" s="70"/>
      <c r="H3414" s="400"/>
      <c r="I3414" s="239"/>
    </row>
    <row r="3415" spans="6:9" x14ac:dyDescent="0.35">
      <c r="F3415" s="33"/>
      <c r="G3415" s="70"/>
      <c r="H3415" s="400"/>
      <c r="I3415" s="239"/>
    </row>
    <row r="3416" spans="6:9" x14ac:dyDescent="0.35">
      <c r="F3416" s="33"/>
      <c r="G3416" s="70"/>
      <c r="H3416" s="400"/>
      <c r="I3416" s="239"/>
    </row>
    <row r="3417" spans="6:9" x14ac:dyDescent="0.35">
      <c r="F3417" s="33"/>
      <c r="G3417" s="70"/>
      <c r="H3417" s="400"/>
      <c r="I3417" s="239"/>
    </row>
    <row r="3418" spans="6:9" x14ac:dyDescent="0.35">
      <c r="F3418" s="33"/>
      <c r="G3418" s="70"/>
      <c r="H3418" s="400"/>
      <c r="I3418" s="239"/>
    </row>
    <row r="3419" spans="6:9" x14ac:dyDescent="0.35">
      <c r="F3419" s="33"/>
      <c r="G3419" s="70"/>
      <c r="H3419" s="400"/>
      <c r="I3419" s="239"/>
    </row>
    <row r="3420" spans="6:9" x14ac:dyDescent="0.35">
      <c r="F3420" s="33"/>
      <c r="G3420" s="70"/>
      <c r="H3420" s="400"/>
      <c r="I3420" s="239"/>
    </row>
    <row r="3421" spans="6:9" x14ac:dyDescent="0.35">
      <c r="F3421" s="33"/>
      <c r="G3421" s="70"/>
      <c r="H3421" s="400"/>
      <c r="I3421" s="239"/>
    </row>
    <row r="3422" spans="6:9" x14ac:dyDescent="0.35">
      <c r="F3422" s="33"/>
      <c r="G3422" s="70"/>
      <c r="H3422" s="400"/>
      <c r="I3422" s="239"/>
    </row>
    <row r="3423" spans="6:9" x14ac:dyDescent="0.35">
      <c r="F3423" s="33"/>
      <c r="G3423" s="70"/>
      <c r="H3423" s="400"/>
      <c r="I3423" s="239"/>
    </row>
    <row r="3424" spans="6:9" x14ac:dyDescent="0.35">
      <c r="F3424" s="33"/>
      <c r="G3424" s="70"/>
      <c r="H3424" s="400"/>
      <c r="I3424" s="239"/>
    </row>
    <row r="3425" spans="6:9" x14ac:dyDescent="0.35">
      <c r="F3425" s="33"/>
      <c r="G3425" s="70"/>
      <c r="H3425" s="400"/>
      <c r="I3425" s="239"/>
    </row>
    <row r="3426" spans="6:9" x14ac:dyDescent="0.35">
      <c r="F3426" s="33"/>
      <c r="G3426" s="70"/>
      <c r="H3426" s="400"/>
      <c r="I3426" s="239"/>
    </row>
    <row r="3427" spans="6:9" x14ac:dyDescent="0.35">
      <c r="F3427" s="33"/>
      <c r="G3427" s="70"/>
      <c r="H3427" s="400"/>
      <c r="I3427" s="239"/>
    </row>
    <row r="3428" spans="6:9" x14ac:dyDescent="0.35">
      <c r="F3428" s="33"/>
      <c r="G3428" s="70"/>
      <c r="H3428" s="400"/>
      <c r="I3428" s="239"/>
    </row>
    <row r="3429" spans="6:9" x14ac:dyDescent="0.35">
      <c r="F3429" s="33"/>
      <c r="G3429" s="70"/>
      <c r="H3429" s="400"/>
      <c r="I3429" s="239"/>
    </row>
    <row r="3430" spans="6:9" x14ac:dyDescent="0.35">
      <c r="F3430" s="33"/>
      <c r="G3430" s="70"/>
      <c r="H3430" s="400"/>
      <c r="I3430" s="239"/>
    </row>
    <row r="3431" spans="6:9" x14ac:dyDescent="0.35">
      <c r="F3431" s="33"/>
      <c r="G3431" s="70"/>
      <c r="H3431" s="400"/>
      <c r="I3431" s="239"/>
    </row>
    <row r="3432" spans="6:9" x14ac:dyDescent="0.35">
      <c r="F3432" s="33"/>
      <c r="G3432" s="70"/>
      <c r="H3432" s="400"/>
      <c r="I3432" s="239"/>
    </row>
    <row r="3433" spans="6:9" x14ac:dyDescent="0.35">
      <c r="F3433" s="33"/>
      <c r="G3433" s="70"/>
      <c r="H3433" s="400"/>
      <c r="I3433" s="239"/>
    </row>
    <row r="3434" spans="6:9" x14ac:dyDescent="0.35">
      <c r="F3434" s="33"/>
      <c r="G3434" s="70"/>
      <c r="H3434" s="400"/>
      <c r="I3434" s="239"/>
    </row>
    <row r="3435" spans="6:9" x14ac:dyDescent="0.35">
      <c r="F3435" s="33"/>
      <c r="G3435" s="70"/>
      <c r="H3435" s="400"/>
      <c r="I3435" s="239"/>
    </row>
    <row r="3436" spans="6:9" x14ac:dyDescent="0.35">
      <c r="F3436" s="33"/>
      <c r="G3436" s="70"/>
      <c r="H3436" s="400"/>
      <c r="I3436" s="239"/>
    </row>
    <row r="3437" spans="6:9" x14ac:dyDescent="0.35">
      <c r="F3437" s="33"/>
      <c r="G3437" s="70"/>
      <c r="H3437" s="400"/>
      <c r="I3437" s="239"/>
    </row>
    <row r="3438" spans="6:9" x14ac:dyDescent="0.35">
      <c r="F3438" s="33"/>
      <c r="G3438" s="70"/>
      <c r="H3438" s="400"/>
      <c r="I3438" s="239"/>
    </row>
    <row r="3439" spans="6:9" x14ac:dyDescent="0.35">
      <c r="F3439" s="33"/>
      <c r="G3439" s="70"/>
      <c r="H3439" s="400"/>
      <c r="I3439" s="239"/>
    </row>
    <row r="3440" spans="6:9" x14ac:dyDescent="0.35">
      <c r="F3440" s="33"/>
      <c r="G3440" s="70"/>
      <c r="H3440" s="400"/>
      <c r="I3440" s="239"/>
    </row>
    <row r="3441" spans="6:9" x14ac:dyDescent="0.35">
      <c r="F3441" s="33"/>
      <c r="G3441" s="70"/>
      <c r="H3441" s="400"/>
      <c r="I3441" s="239"/>
    </row>
    <row r="3442" spans="6:9" x14ac:dyDescent="0.35">
      <c r="F3442" s="33"/>
      <c r="G3442" s="70"/>
      <c r="H3442" s="400"/>
      <c r="I3442" s="239"/>
    </row>
    <row r="3443" spans="6:9" x14ac:dyDescent="0.35">
      <c r="F3443" s="33"/>
      <c r="G3443" s="70"/>
      <c r="H3443" s="400"/>
      <c r="I3443" s="239"/>
    </row>
    <row r="3444" spans="6:9" x14ac:dyDescent="0.35">
      <c r="F3444" s="33"/>
      <c r="G3444" s="70"/>
      <c r="H3444" s="400"/>
      <c r="I3444" s="239"/>
    </row>
    <row r="3445" spans="6:9" x14ac:dyDescent="0.35">
      <c r="F3445" s="33"/>
      <c r="G3445" s="70"/>
      <c r="H3445" s="400"/>
      <c r="I3445" s="239"/>
    </row>
    <row r="3446" spans="6:9" x14ac:dyDescent="0.35">
      <c r="F3446" s="33"/>
      <c r="G3446" s="70"/>
      <c r="H3446" s="400"/>
      <c r="I3446" s="239"/>
    </row>
    <row r="3447" spans="6:9" x14ac:dyDescent="0.35">
      <c r="F3447" s="33"/>
      <c r="G3447" s="70"/>
      <c r="H3447" s="400"/>
      <c r="I3447" s="239"/>
    </row>
    <row r="3448" spans="6:9" x14ac:dyDescent="0.35">
      <c r="F3448" s="33"/>
      <c r="G3448" s="70"/>
      <c r="H3448" s="400"/>
      <c r="I3448" s="239"/>
    </row>
    <row r="3449" spans="6:9" x14ac:dyDescent="0.35">
      <c r="F3449" s="33"/>
      <c r="G3449" s="70"/>
      <c r="H3449" s="400"/>
      <c r="I3449" s="239"/>
    </row>
    <row r="3450" spans="6:9" x14ac:dyDescent="0.35">
      <c r="F3450" s="33"/>
      <c r="G3450" s="70"/>
      <c r="H3450" s="400"/>
      <c r="I3450" s="239"/>
    </row>
    <row r="3451" spans="6:9" x14ac:dyDescent="0.35">
      <c r="F3451" s="33"/>
      <c r="G3451" s="70"/>
      <c r="H3451" s="400"/>
      <c r="I3451" s="239"/>
    </row>
    <row r="3452" spans="6:9" x14ac:dyDescent="0.35">
      <c r="F3452" s="33"/>
      <c r="G3452" s="70"/>
      <c r="H3452" s="400"/>
      <c r="I3452" s="239"/>
    </row>
    <row r="3453" spans="6:9" x14ac:dyDescent="0.35">
      <c r="F3453" s="33"/>
      <c r="G3453" s="70"/>
      <c r="H3453" s="400"/>
      <c r="I3453" s="239"/>
    </row>
    <row r="3454" spans="6:9" x14ac:dyDescent="0.35">
      <c r="F3454" s="33"/>
      <c r="G3454" s="70"/>
      <c r="H3454" s="400"/>
      <c r="I3454" s="239"/>
    </row>
    <row r="3455" spans="6:9" x14ac:dyDescent="0.35">
      <c r="F3455" s="33"/>
      <c r="G3455" s="70"/>
      <c r="H3455" s="400"/>
      <c r="I3455" s="239"/>
    </row>
    <row r="3456" spans="6:9" x14ac:dyDescent="0.35">
      <c r="F3456" s="33"/>
      <c r="G3456" s="70"/>
      <c r="H3456" s="400"/>
      <c r="I3456" s="239"/>
    </row>
    <row r="3457" spans="6:9" x14ac:dyDescent="0.35">
      <c r="F3457" s="33"/>
      <c r="G3457" s="70"/>
      <c r="H3457" s="400"/>
      <c r="I3457" s="239"/>
    </row>
    <row r="3458" spans="6:9" x14ac:dyDescent="0.35">
      <c r="F3458" s="33"/>
      <c r="G3458" s="70"/>
      <c r="H3458" s="400"/>
      <c r="I3458" s="239"/>
    </row>
    <row r="3459" spans="6:9" x14ac:dyDescent="0.35">
      <c r="F3459" s="33"/>
      <c r="G3459" s="70"/>
      <c r="H3459" s="400"/>
      <c r="I3459" s="239"/>
    </row>
    <row r="3460" spans="6:9" x14ac:dyDescent="0.35">
      <c r="F3460" s="33"/>
      <c r="G3460" s="70"/>
      <c r="H3460" s="400"/>
      <c r="I3460" s="239"/>
    </row>
    <row r="3461" spans="6:9" x14ac:dyDescent="0.35">
      <c r="F3461" s="33"/>
      <c r="G3461" s="70"/>
      <c r="H3461" s="400"/>
      <c r="I3461" s="239"/>
    </row>
    <row r="3462" spans="6:9" x14ac:dyDescent="0.35">
      <c r="F3462" s="33"/>
      <c r="G3462" s="70"/>
      <c r="H3462" s="400"/>
      <c r="I3462" s="239"/>
    </row>
    <row r="3463" spans="6:9" x14ac:dyDescent="0.35">
      <c r="F3463" s="33"/>
      <c r="G3463" s="70"/>
      <c r="H3463" s="400"/>
      <c r="I3463" s="239"/>
    </row>
    <row r="3464" spans="6:9" x14ac:dyDescent="0.35">
      <c r="F3464" s="33"/>
      <c r="G3464" s="70"/>
      <c r="H3464" s="400"/>
      <c r="I3464" s="239"/>
    </row>
    <row r="3465" spans="6:9" x14ac:dyDescent="0.35">
      <c r="F3465" s="33"/>
      <c r="G3465" s="70"/>
      <c r="H3465" s="400"/>
      <c r="I3465" s="239"/>
    </row>
    <row r="3466" spans="6:9" x14ac:dyDescent="0.35">
      <c r="F3466" s="33"/>
      <c r="G3466" s="70"/>
      <c r="H3466" s="400"/>
      <c r="I3466" s="239"/>
    </row>
    <row r="3467" spans="6:9" x14ac:dyDescent="0.35">
      <c r="F3467" s="33"/>
      <c r="G3467" s="70"/>
      <c r="H3467" s="400"/>
      <c r="I3467" s="239"/>
    </row>
    <row r="3468" spans="6:9" x14ac:dyDescent="0.35">
      <c r="F3468" s="33"/>
      <c r="G3468" s="70"/>
      <c r="H3468" s="400"/>
      <c r="I3468" s="239"/>
    </row>
    <row r="3469" spans="6:9" x14ac:dyDescent="0.35">
      <c r="F3469" s="33"/>
      <c r="G3469" s="70"/>
      <c r="H3469" s="400"/>
      <c r="I3469" s="239"/>
    </row>
    <row r="3470" spans="6:9" x14ac:dyDescent="0.35">
      <c r="F3470" s="33"/>
      <c r="G3470" s="70"/>
      <c r="H3470" s="400"/>
      <c r="I3470" s="239"/>
    </row>
    <row r="3471" spans="6:9" x14ac:dyDescent="0.35">
      <c r="F3471" s="33"/>
      <c r="G3471" s="70"/>
      <c r="H3471" s="400"/>
      <c r="I3471" s="239"/>
    </row>
    <row r="3472" spans="6:9" x14ac:dyDescent="0.35">
      <c r="F3472" s="33"/>
      <c r="G3472" s="70"/>
      <c r="H3472" s="400"/>
      <c r="I3472" s="239"/>
    </row>
    <row r="3473" spans="6:9" x14ac:dyDescent="0.35">
      <c r="F3473" s="33"/>
      <c r="G3473" s="70"/>
      <c r="H3473" s="400"/>
      <c r="I3473" s="239"/>
    </row>
    <row r="3474" spans="6:9" x14ac:dyDescent="0.35">
      <c r="F3474" s="33"/>
      <c r="G3474" s="70"/>
      <c r="H3474" s="400"/>
      <c r="I3474" s="239"/>
    </row>
    <row r="3475" spans="6:9" x14ac:dyDescent="0.35">
      <c r="F3475" s="33"/>
      <c r="G3475" s="70"/>
      <c r="H3475" s="400"/>
      <c r="I3475" s="239"/>
    </row>
    <row r="3476" spans="6:9" x14ac:dyDescent="0.35">
      <c r="F3476" s="33"/>
      <c r="G3476" s="70"/>
      <c r="H3476" s="400"/>
      <c r="I3476" s="239"/>
    </row>
    <row r="3477" spans="6:9" x14ac:dyDescent="0.35">
      <c r="F3477" s="33"/>
      <c r="G3477" s="70"/>
      <c r="H3477" s="400"/>
      <c r="I3477" s="239"/>
    </row>
    <row r="3478" spans="6:9" x14ac:dyDescent="0.35">
      <c r="F3478" s="33"/>
      <c r="G3478" s="70"/>
      <c r="H3478" s="400"/>
      <c r="I3478" s="239"/>
    </row>
    <row r="3479" spans="6:9" x14ac:dyDescent="0.35">
      <c r="F3479" s="33"/>
      <c r="G3479" s="70"/>
      <c r="H3479" s="400"/>
      <c r="I3479" s="239"/>
    </row>
    <row r="3480" spans="6:9" x14ac:dyDescent="0.35">
      <c r="F3480" s="33"/>
      <c r="G3480" s="70"/>
      <c r="H3480" s="400"/>
      <c r="I3480" s="239"/>
    </row>
    <row r="3481" spans="6:9" x14ac:dyDescent="0.35">
      <c r="F3481" s="33"/>
      <c r="G3481" s="70"/>
      <c r="H3481" s="400"/>
      <c r="I3481" s="239"/>
    </row>
    <row r="3482" spans="6:9" x14ac:dyDescent="0.35">
      <c r="F3482" s="33"/>
      <c r="G3482" s="70"/>
      <c r="H3482" s="400"/>
      <c r="I3482" s="239"/>
    </row>
    <row r="3483" spans="6:9" x14ac:dyDescent="0.35">
      <c r="F3483" s="33"/>
      <c r="G3483" s="70"/>
      <c r="H3483" s="400"/>
      <c r="I3483" s="239"/>
    </row>
    <row r="3484" spans="6:9" x14ac:dyDescent="0.35">
      <c r="F3484" s="33"/>
      <c r="G3484" s="70"/>
      <c r="H3484" s="400"/>
      <c r="I3484" s="239"/>
    </row>
    <row r="3485" spans="6:9" x14ac:dyDescent="0.35">
      <c r="F3485" s="33"/>
      <c r="G3485" s="70"/>
      <c r="H3485" s="400"/>
      <c r="I3485" s="239"/>
    </row>
    <row r="3486" spans="6:9" x14ac:dyDescent="0.35">
      <c r="F3486" s="33"/>
      <c r="G3486" s="70"/>
      <c r="H3486" s="400"/>
      <c r="I3486" s="239"/>
    </row>
    <row r="3487" spans="6:9" x14ac:dyDescent="0.35">
      <c r="F3487" s="33"/>
      <c r="G3487" s="70"/>
      <c r="H3487" s="400"/>
      <c r="I3487" s="239"/>
    </row>
    <row r="3488" spans="6:9" x14ac:dyDescent="0.35">
      <c r="F3488" s="33"/>
      <c r="G3488" s="70"/>
      <c r="H3488" s="400"/>
      <c r="I3488" s="239"/>
    </row>
    <row r="3489" spans="6:9" x14ac:dyDescent="0.35">
      <c r="F3489" s="33"/>
      <c r="G3489" s="70"/>
      <c r="H3489" s="400"/>
      <c r="I3489" s="239"/>
    </row>
    <row r="3490" spans="6:9" x14ac:dyDescent="0.35">
      <c r="F3490" s="33"/>
      <c r="G3490" s="70"/>
      <c r="H3490" s="400"/>
      <c r="I3490" s="239"/>
    </row>
    <row r="3491" spans="6:9" x14ac:dyDescent="0.35">
      <c r="F3491" s="33"/>
      <c r="G3491" s="70"/>
      <c r="H3491" s="400"/>
      <c r="I3491" s="239"/>
    </row>
    <row r="3492" spans="6:9" x14ac:dyDescent="0.35">
      <c r="F3492" s="33"/>
      <c r="G3492" s="70"/>
      <c r="H3492" s="400"/>
      <c r="I3492" s="239"/>
    </row>
    <row r="3493" spans="6:9" x14ac:dyDescent="0.35">
      <c r="F3493" s="33"/>
      <c r="G3493" s="70"/>
      <c r="H3493" s="400"/>
      <c r="I3493" s="239"/>
    </row>
    <row r="3494" spans="6:9" x14ac:dyDescent="0.35">
      <c r="F3494" s="33"/>
      <c r="G3494" s="70"/>
      <c r="H3494" s="400"/>
      <c r="I3494" s="239"/>
    </row>
    <row r="3495" spans="6:9" x14ac:dyDescent="0.35">
      <c r="F3495" s="33"/>
      <c r="G3495" s="70"/>
      <c r="H3495" s="400"/>
      <c r="I3495" s="239"/>
    </row>
    <row r="3496" spans="6:9" x14ac:dyDescent="0.35">
      <c r="F3496" s="33"/>
      <c r="G3496" s="70"/>
      <c r="H3496" s="400"/>
      <c r="I3496" s="239"/>
    </row>
    <row r="3497" spans="6:9" x14ac:dyDescent="0.35">
      <c r="F3497" s="33"/>
      <c r="G3497" s="70"/>
      <c r="H3497" s="400"/>
      <c r="I3497" s="239"/>
    </row>
    <row r="3498" spans="6:9" x14ac:dyDescent="0.35">
      <c r="F3498" s="33"/>
      <c r="G3498" s="70"/>
      <c r="H3498" s="400"/>
      <c r="I3498" s="239"/>
    </row>
    <row r="3499" spans="6:9" x14ac:dyDescent="0.35">
      <c r="F3499" s="33"/>
      <c r="G3499" s="70"/>
      <c r="H3499" s="400"/>
      <c r="I3499" s="239"/>
    </row>
    <row r="3500" spans="6:9" x14ac:dyDescent="0.35">
      <c r="F3500" s="33"/>
      <c r="G3500" s="70"/>
      <c r="H3500" s="400"/>
      <c r="I3500" s="239"/>
    </row>
    <row r="3501" spans="6:9" x14ac:dyDescent="0.35">
      <c r="F3501" s="33"/>
      <c r="G3501" s="70"/>
      <c r="H3501" s="400"/>
      <c r="I3501" s="239"/>
    </row>
    <row r="3502" spans="6:9" x14ac:dyDescent="0.35">
      <c r="F3502" s="33"/>
      <c r="G3502" s="70"/>
      <c r="H3502" s="400"/>
      <c r="I3502" s="239"/>
    </row>
    <row r="3503" spans="6:9" x14ac:dyDescent="0.35">
      <c r="F3503" s="33"/>
      <c r="G3503" s="70"/>
      <c r="H3503" s="400"/>
      <c r="I3503" s="239"/>
    </row>
    <row r="3504" spans="6:9" x14ac:dyDescent="0.35">
      <c r="F3504" s="33"/>
      <c r="G3504" s="70"/>
      <c r="H3504" s="400"/>
      <c r="I3504" s="239"/>
    </row>
    <row r="3505" spans="6:9" x14ac:dyDescent="0.35">
      <c r="F3505" s="33"/>
      <c r="G3505" s="70"/>
      <c r="H3505" s="400"/>
      <c r="I3505" s="239"/>
    </row>
    <row r="3506" spans="6:9" x14ac:dyDescent="0.35">
      <c r="F3506" s="33"/>
      <c r="G3506" s="70"/>
      <c r="H3506" s="400"/>
      <c r="I3506" s="239"/>
    </row>
    <row r="3507" spans="6:9" x14ac:dyDescent="0.35">
      <c r="F3507" s="33"/>
      <c r="G3507" s="70"/>
      <c r="H3507" s="400"/>
      <c r="I3507" s="239"/>
    </row>
    <row r="3508" spans="6:9" x14ac:dyDescent="0.35">
      <c r="F3508" s="33"/>
      <c r="G3508" s="70"/>
      <c r="H3508" s="400"/>
      <c r="I3508" s="239"/>
    </row>
    <row r="3509" spans="6:9" x14ac:dyDescent="0.35">
      <c r="F3509" s="33"/>
      <c r="G3509" s="70"/>
      <c r="H3509" s="400"/>
      <c r="I3509" s="239"/>
    </row>
    <row r="3510" spans="6:9" x14ac:dyDescent="0.35">
      <c r="F3510" s="33"/>
      <c r="G3510" s="70"/>
      <c r="H3510" s="400"/>
      <c r="I3510" s="239"/>
    </row>
    <row r="3511" spans="6:9" x14ac:dyDescent="0.35">
      <c r="F3511" s="33"/>
      <c r="G3511" s="70"/>
      <c r="H3511" s="400"/>
      <c r="I3511" s="239"/>
    </row>
    <row r="3512" spans="6:9" x14ac:dyDescent="0.35">
      <c r="F3512" s="33"/>
      <c r="G3512" s="70"/>
      <c r="H3512" s="400"/>
      <c r="I3512" s="239"/>
    </row>
    <row r="3513" spans="6:9" x14ac:dyDescent="0.35">
      <c r="F3513" s="33"/>
      <c r="G3513" s="70"/>
      <c r="H3513" s="400"/>
      <c r="I3513" s="239"/>
    </row>
    <row r="3514" spans="6:9" x14ac:dyDescent="0.35">
      <c r="F3514" s="33"/>
      <c r="G3514" s="70"/>
      <c r="H3514" s="400"/>
      <c r="I3514" s="239"/>
    </row>
    <row r="3515" spans="6:9" x14ac:dyDescent="0.35">
      <c r="F3515" s="33"/>
      <c r="G3515" s="70"/>
      <c r="H3515" s="400"/>
      <c r="I3515" s="239"/>
    </row>
    <row r="3516" spans="6:9" x14ac:dyDescent="0.35">
      <c r="F3516" s="33"/>
      <c r="G3516" s="70"/>
      <c r="H3516" s="400"/>
      <c r="I3516" s="239"/>
    </row>
    <row r="3517" spans="6:9" x14ac:dyDescent="0.35">
      <c r="F3517" s="33"/>
      <c r="G3517" s="70"/>
      <c r="H3517" s="400"/>
      <c r="I3517" s="239"/>
    </row>
    <row r="3518" spans="6:9" x14ac:dyDescent="0.35">
      <c r="F3518" s="33"/>
      <c r="G3518" s="70"/>
      <c r="H3518" s="400"/>
      <c r="I3518" s="239"/>
    </row>
    <row r="3519" spans="6:9" x14ac:dyDescent="0.35">
      <c r="F3519" s="33"/>
      <c r="G3519" s="70"/>
      <c r="H3519" s="400"/>
      <c r="I3519" s="239"/>
    </row>
    <row r="3520" spans="6:9" x14ac:dyDescent="0.35">
      <c r="F3520" s="33"/>
      <c r="G3520" s="70"/>
      <c r="H3520" s="400"/>
      <c r="I3520" s="239"/>
    </row>
    <row r="3521" spans="6:9" x14ac:dyDescent="0.35">
      <c r="F3521" s="33"/>
      <c r="G3521" s="70"/>
      <c r="H3521" s="400"/>
      <c r="I3521" s="239"/>
    </row>
    <row r="3522" spans="6:9" x14ac:dyDescent="0.35">
      <c r="F3522" s="33"/>
      <c r="G3522" s="70"/>
      <c r="H3522" s="400"/>
      <c r="I3522" s="239"/>
    </row>
    <row r="3523" spans="6:9" x14ac:dyDescent="0.35">
      <c r="F3523" s="33"/>
      <c r="G3523" s="70"/>
      <c r="H3523" s="400"/>
      <c r="I3523" s="239"/>
    </row>
    <row r="3524" spans="6:9" x14ac:dyDescent="0.35">
      <c r="F3524" s="33"/>
      <c r="G3524" s="70"/>
      <c r="H3524" s="400"/>
      <c r="I3524" s="239"/>
    </row>
    <row r="3525" spans="6:9" x14ac:dyDescent="0.35">
      <c r="F3525" s="33"/>
      <c r="G3525" s="70"/>
      <c r="H3525" s="400"/>
      <c r="I3525" s="239"/>
    </row>
    <row r="3526" spans="6:9" x14ac:dyDescent="0.35">
      <c r="F3526" s="33"/>
      <c r="G3526" s="70"/>
      <c r="H3526" s="400"/>
      <c r="I3526" s="239"/>
    </row>
    <row r="3527" spans="6:9" x14ac:dyDescent="0.35">
      <c r="F3527" s="33"/>
      <c r="G3527" s="70"/>
      <c r="H3527" s="400"/>
      <c r="I3527" s="239"/>
    </row>
    <row r="3528" spans="6:9" x14ac:dyDescent="0.35">
      <c r="F3528" s="33"/>
      <c r="G3528" s="70"/>
      <c r="H3528" s="400"/>
      <c r="I3528" s="239"/>
    </row>
    <row r="3529" spans="6:9" x14ac:dyDescent="0.35">
      <c r="F3529" s="33"/>
      <c r="G3529" s="70"/>
      <c r="H3529" s="400"/>
      <c r="I3529" s="239"/>
    </row>
    <row r="3530" spans="6:9" x14ac:dyDescent="0.35">
      <c r="F3530" s="33"/>
      <c r="G3530" s="70"/>
      <c r="H3530" s="400"/>
      <c r="I3530" s="239"/>
    </row>
    <row r="3531" spans="6:9" x14ac:dyDescent="0.35">
      <c r="F3531" s="33"/>
      <c r="G3531" s="70"/>
      <c r="H3531" s="400"/>
      <c r="I3531" s="239"/>
    </row>
    <row r="3532" spans="6:9" x14ac:dyDescent="0.35">
      <c r="F3532" s="33"/>
      <c r="G3532" s="70"/>
      <c r="H3532" s="400"/>
      <c r="I3532" s="239"/>
    </row>
    <row r="3533" spans="6:9" x14ac:dyDescent="0.35">
      <c r="F3533" s="33"/>
      <c r="G3533" s="70"/>
      <c r="H3533" s="400"/>
      <c r="I3533" s="239"/>
    </row>
    <row r="3534" spans="6:9" x14ac:dyDescent="0.35">
      <c r="F3534" s="33"/>
      <c r="G3534" s="70"/>
      <c r="H3534" s="400"/>
      <c r="I3534" s="239"/>
    </row>
    <row r="3535" spans="6:9" x14ac:dyDescent="0.35">
      <c r="F3535" s="33"/>
      <c r="G3535" s="70"/>
      <c r="H3535" s="400"/>
      <c r="I3535" s="239"/>
    </row>
    <row r="3536" spans="6:9" x14ac:dyDescent="0.35">
      <c r="F3536" s="33"/>
      <c r="G3536" s="70"/>
      <c r="H3536" s="400"/>
      <c r="I3536" s="239"/>
    </row>
    <row r="3537" spans="6:9" x14ac:dyDescent="0.35">
      <c r="F3537" s="33"/>
      <c r="G3537" s="70"/>
      <c r="H3537" s="400"/>
      <c r="I3537" s="239"/>
    </row>
    <row r="3538" spans="6:9" x14ac:dyDescent="0.35">
      <c r="F3538" s="33"/>
      <c r="G3538" s="70"/>
      <c r="H3538" s="400"/>
      <c r="I3538" s="239"/>
    </row>
    <row r="3539" spans="6:9" x14ac:dyDescent="0.35">
      <c r="F3539" s="33"/>
      <c r="G3539" s="70"/>
      <c r="H3539" s="400"/>
      <c r="I3539" s="239"/>
    </row>
    <row r="3540" spans="6:9" x14ac:dyDescent="0.35">
      <c r="F3540" s="33"/>
      <c r="G3540" s="70"/>
      <c r="H3540" s="400"/>
      <c r="I3540" s="239"/>
    </row>
    <row r="3541" spans="6:9" x14ac:dyDescent="0.35">
      <c r="F3541" s="33"/>
      <c r="G3541" s="70"/>
      <c r="H3541" s="400"/>
      <c r="I3541" s="239"/>
    </row>
    <row r="3542" spans="6:9" x14ac:dyDescent="0.35">
      <c r="F3542" s="33"/>
      <c r="G3542" s="70"/>
      <c r="H3542" s="400"/>
      <c r="I3542" s="239"/>
    </row>
    <row r="3543" spans="6:9" x14ac:dyDescent="0.35">
      <c r="F3543" s="33"/>
      <c r="G3543" s="70"/>
      <c r="H3543" s="400"/>
      <c r="I3543" s="239"/>
    </row>
    <row r="3544" spans="6:9" x14ac:dyDescent="0.35">
      <c r="F3544" s="33"/>
      <c r="G3544" s="70"/>
      <c r="H3544" s="400"/>
      <c r="I3544" s="239"/>
    </row>
    <row r="3545" spans="6:9" x14ac:dyDescent="0.35">
      <c r="F3545" s="33"/>
      <c r="G3545" s="70"/>
      <c r="H3545" s="400"/>
      <c r="I3545" s="239"/>
    </row>
    <row r="3546" spans="6:9" x14ac:dyDescent="0.35">
      <c r="F3546" s="33"/>
      <c r="G3546" s="70"/>
      <c r="H3546" s="400"/>
      <c r="I3546" s="239"/>
    </row>
    <row r="3547" spans="6:9" x14ac:dyDescent="0.35">
      <c r="F3547" s="33"/>
      <c r="G3547" s="70"/>
      <c r="H3547" s="400"/>
      <c r="I3547" s="239"/>
    </row>
    <row r="3548" spans="6:9" x14ac:dyDescent="0.35">
      <c r="F3548" s="33"/>
      <c r="G3548" s="70"/>
      <c r="H3548" s="400"/>
      <c r="I3548" s="239"/>
    </row>
    <row r="3549" spans="6:9" x14ac:dyDescent="0.35">
      <c r="F3549" s="33"/>
      <c r="G3549" s="70"/>
      <c r="H3549" s="400"/>
      <c r="I3549" s="239"/>
    </row>
    <row r="3550" spans="6:9" x14ac:dyDescent="0.35">
      <c r="F3550" s="33"/>
      <c r="G3550" s="70"/>
      <c r="H3550" s="400"/>
      <c r="I3550" s="239"/>
    </row>
    <row r="3551" spans="6:9" x14ac:dyDescent="0.35">
      <c r="F3551" s="33"/>
      <c r="G3551" s="70"/>
      <c r="H3551" s="400"/>
      <c r="I3551" s="239"/>
    </row>
    <row r="3552" spans="6:9" x14ac:dyDescent="0.35">
      <c r="F3552" s="33"/>
      <c r="G3552" s="70"/>
      <c r="H3552" s="400"/>
      <c r="I3552" s="239"/>
    </row>
    <row r="3553" spans="6:9" x14ac:dyDescent="0.35">
      <c r="F3553" s="33"/>
      <c r="G3553" s="70"/>
      <c r="H3553" s="400"/>
      <c r="I3553" s="239"/>
    </row>
    <row r="3554" spans="6:9" x14ac:dyDescent="0.35">
      <c r="F3554" s="33"/>
      <c r="G3554" s="70"/>
      <c r="H3554" s="400"/>
      <c r="I3554" s="239"/>
    </row>
    <row r="3555" spans="6:9" x14ac:dyDescent="0.35">
      <c r="F3555" s="33"/>
      <c r="G3555" s="70"/>
      <c r="H3555" s="400"/>
      <c r="I3555" s="239"/>
    </row>
    <row r="3556" spans="6:9" x14ac:dyDescent="0.35">
      <c r="F3556" s="33"/>
      <c r="G3556" s="70"/>
      <c r="H3556" s="400"/>
      <c r="I3556" s="239"/>
    </row>
    <row r="3557" spans="6:9" x14ac:dyDescent="0.35">
      <c r="F3557" s="33"/>
      <c r="G3557" s="70"/>
      <c r="H3557" s="400"/>
      <c r="I3557" s="239"/>
    </row>
    <row r="3558" spans="6:9" x14ac:dyDescent="0.35">
      <c r="F3558" s="33"/>
      <c r="G3558" s="70"/>
      <c r="H3558" s="400"/>
      <c r="I3558" s="239"/>
    </row>
    <row r="3559" spans="6:9" x14ac:dyDescent="0.35">
      <c r="F3559" s="33"/>
      <c r="G3559" s="70"/>
      <c r="H3559" s="400"/>
      <c r="I3559" s="239"/>
    </row>
    <row r="3560" spans="6:9" x14ac:dyDescent="0.35">
      <c r="F3560" s="33"/>
      <c r="G3560" s="70"/>
      <c r="H3560" s="400"/>
      <c r="I3560" s="239"/>
    </row>
    <row r="3561" spans="6:9" x14ac:dyDescent="0.35">
      <c r="F3561" s="33"/>
      <c r="G3561" s="70"/>
      <c r="H3561" s="400"/>
      <c r="I3561" s="239"/>
    </row>
    <row r="3562" spans="6:9" x14ac:dyDescent="0.35">
      <c r="F3562" s="33"/>
      <c r="G3562" s="70"/>
      <c r="H3562" s="400"/>
      <c r="I3562" s="239"/>
    </row>
    <row r="3563" spans="6:9" x14ac:dyDescent="0.35">
      <c r="F3563" s="33"/>
      <c r="G3563" s="70"/>
      <c r="H3563" s="400"/>
      <c r="I3563" s="239"/>
    </row>
    <row r="3564" spans="6:9" x14ac:dyDescent="0.35">
      <c r="F3564" s="33"/>
      <c r="G3564" s="70"/>
      <c r="H3564" s="400"/>
      <c r="I3564" s="239"/>
    </row>
    <row r="3565" spans="6:9" x14ac:dyDescent="0.35">
      <c r="F3565" s="33"/>
      <c r="G3565" s="70"/>
      <c r="H3565" s="400"/>
      <c r="I3565" s="239"/>
    </row>
    <row r="3566" spans="6:9" x14ac:dyDescent="0.35">
      <c r="F3566" s="33"/>
      <c r="G3566" s="70"/>
      <c r="H3566" s="400"/>
      <c r="I3566" s="239"/>
    </row>
    <row r="3567" spans="6:9" x14ac:dyDescent="0.35">
      <c r="F3567" s="33"/>
      <c r="G3567" s="70"/>
      <c r="H3567" s="400"/>
      <c r="I3567" s="239"/>
    </row>
    <row r="3568" spans="6:9" x14ac:dyDescent="0.35">
      <c r="F3568" s="33"/>
      <c r="G3568" s="70"/>
      <c r="H3568" s="400"/>
      <c r="I3568" s="239"/>
    </row>
    <row r="3569" spans="6:9" x14ac:dyDescent="0.35">
      <c r="F3569" s="33"/>
      <c r="G3569" s="70"/>
      <c r="H3569" s="400"/>
      <c r="I3569" s="239"/>
    </row>
    <row r="3570" spans="6:9" x14ac:dyDescent="0.35">
      <c r="F3570" s="33"/>
      <c r="G3570" s="70"/>
      <c r="H3570" s="400"/>
      <c r="I3570" s="239"/>
    </row>
    <row r="3571" spans="6:9" x14ac:dyDescent="0.35">
      <c r="F3571" s="33"/>
      <c r="G3571" s="70"/>
      <c r="H3571" s="400"/>
      <c r="I3571" s="239"/>
    </row>
    <row r="3572" spans="6:9" x14ac:dyDescent="0.35">
      <c r="F3572" s="33"/>
      <c r="G3572" s="70"/>
      <c r="H3572" s="400"/>
      <c r="I3572" s="239"/>
    </row>
    <row r="3573" spans="6:9" x14ac:dyDescent="0.35">
      <c r="F3573" s="33"/>
      <c r="G3573" s="70"/>
      <c r="H3573" s="400"/>
      <c r="I3573" s="239"/>
    </row>
    <row r="3574" spans="6:9" x14ac:dyDescent="0.35">
      <c r="F3574" s="33"/>
      <c r="G3574" s="70"/>
      <c r="H3574" s="400"/>
      <c r="I3574" s="239"/>
    </row>
    <row r="3575" spans="6:9" x14ac:dyDescent="0.35">
      <c r="F3575" s="33"/>
      <c r="G3575" s="70"/>
      <c r="H3575" s="400"/>
      <c r="I3575" s="239"/>
    </row>
    <row r="3576" spans="6:9" x14ac:dyDescent="0.35">
      <c r="F3576" s="33"/>
      <c r="G3576" s="70"/>
      <c r="H3576" s="400"/>
      <c r="I3576" s="239"/>
    </row>
    <row r="3577" spans="6:9" x14ac:dyDescent="0.35">
      <c r="F3577" s="33"/>
      <c r="G3577" s="70"/>
      <c r="H3577" s="400"/>
      <c r="I3577" s="239"/>
    </row>
    <row r="3578" spans="6:9" x14ac:dyDescent="0.35">
      <c r="F3578" s="33"/>
      <c r="G3578" s="70"/>
      <c r="H3578" s="400"/>
      <c r="I3578" s="239"/>
    </row>
    <row r="3579" spans="6:9" x14ac:dyDescent="0.35">
      <c r="F3579" s="33"/>
      <c r="G3579" s="70"/>
      <c r="H3579" s="400"/>
      <c r="I3579" s="239"/>
    </row>
    <row r="3580" spans="6:9" x14ac:dyDescent="0.35">
      <c r="F3580" s="33"/>
      <c r="G3580" s="70"/>
      <c r="H3580" s="400"/>
      <c r="I3580" s="239"/>
    </row>
    <row r="3581" spans="6:9" x14ac:dyDescent="0.35">
      <c r="F3581" s="33"/>
      <c r="G3581" s="70"/>
      <c r="H3581" s="400"/>
      <c r="I3581" s="239"/>
    </row>
    <row r="3582" spans="6:9" x14ac:dyDescent="0.35">
      <c r="F3582" s="33"/>
      <c r="G3582" s="70"/>
      <c r="H3582" s="400"/>
      <c r="I3582" s="239"/>
    </row>
    <row r="3583" spans="6:9" x14ac:dyDescent="0.35">
      <c r="F3583" s="33"/>
      <c r="G3583" s="70"/>
      <c r="H3583" s="400"/>
      <c r="I3583" s="239"/>
    </row>
    <row r="3584" spans="6:9" x14ac:dyDescent="0.35">
      <c r="F3584" s="33"/>
      <c r="G3584" s="70"/>
      <c r="H3584" s="400"/>
      <c r="I3584" s="239"/>
    </row>
    <row r="3585" spans="6:9" x14ac:dyDescent="0.35">
      <c r="F3585" s="33"/>
      <c r="G3585" s="70"/>
      <c r="H3585" s="400"/>
      <c r="I3585" s="239"/>
    </row>
    <row r="3586" spans="6:9" x14ac:dyDescent="0.35">
      <c r="F3586" s="33"/>
      <c r="G3586" s="70"/>
      <c r="H3586" s="400"/>
      <c r="I3586" s="239"/>
    </row>
    <row r="3587" spans="6:9" x14ac:dyDescent="0.35">
      <c r="F3587" s="33"/>
      <c r="G3587" s="70"/>
      <c r="H3587" s="400"/>
      <c r="I3587" s="239"/>
    </row>
    <row r="3588" spans="6:9" x14ac:dyDescent="0.35">
      <c r="F3588" s="33"/>
      <c r="G3588" s="70"/>
      <c r="H3588" s="400"/>
      <c r="I3588" s="239"/>
    </row>
    <row r="3589" spans="6:9" x14ac:dyDescent="0.35">
      <c r="F3589" s="33"/>
      <c r="G3589" s="70"/>
      <c r="H3589" s="400"/>
      <c r="I3589" s="239"/>
    </row>
    <row r="3590" spans="6:9" x14ac:dyDescent="0.35">
      <c r="F3590" s="33"/>
      <c r="G3590" s="70"/>
      <c r="H3590" s="400"/>
      <c r="I3590" s="239"/>
    </row>
    <row r="3591" spans="6:9" x14ac:dyDescent="0.35">
      <c r="F3591" s="33"/>
      <c r="G3591" s="70"/>
      <c r="H3591" s="400"/>
      <c r="I3591" s="239"/>
    </row>
    <row r="3592" spans="6:9" x14ac:dyDescent="0.35">
      <c r="F3592" s="33"/>
      <c r="G3592" s="70"/>
      <c r="H3592" s="400"/>
      <c r="I3592" s="239"/>
    </row>
    <row r="3593" spans="6:9" x14ac:dyDescent="0.35">
      <c r="F3593" s="33"/>
      <c r="G3593" s="70"/>
      <c r="H3593" s="400"/>
      <c r="I3593" s="239"/>
    </row>
    <row r="3594" spans="6:9" x14ac:dyDescent="0.35">
      <c r="F3594" s="33"/>
      <c r="G3594" s="70"/>
      <c r="H3594" s="400"/>
      <c r="I3594" s="239"/>
    </row>
    <row r="3595" spans="6:9" x14ac:dyDescent="0.35">
      <c r="F3595" s="33"/>
      <c r="G3595" s="70"/>
      <c r="H3595" s="400"/>
      <c r="I3595" s="239"/>
    </row>
    <row r="3596" spans="6:9" x14ac:dyDescent="0.35">
      <c r="F3596" s="33"/>
      <c r="G3596" s="70"/>
      <c r="H3596" s="400"/>
      <c r="I3596" s="239"/>
    </row>
    <row r="3597" spans="6:9" x14ac:dyDescent="0.35">
      <c r="F3597" s="33"/>
      <c r="G3597" s="70"/>
      <c r="H3597" s="400"/>
      <c r="I3597" s="239"/>
    </row>
    <row r="3598" spans="6:9" x14ac:dyDescent="0.35">
      <c r="F3598" s="33"/>
      <c r="G3598" s="70"/>
      <c r="H3598" s="400"/>
      <c r="I3598" s="239"/>
    </row>
    <row r="3599" spans="6:9" x14ac:dyDescent="0.35">
      <c r="F3599" s="33"/>
      <c r="G3599" s="70"/>
      <c r="H3599" s="400"/>
      <c r="I3599" s="239"/>
    </row>
    <row r="3600" spans="6:9" x14ac:dyDescent="0.35">
      <c r="F3600" s="33"/>
      <c r="G3600" s="70"/>
      <c r="H3600" s="400"/>
      <c r="I3600" s="239"/>
    </row>
    <row r="3601" spans="6:9" x14ac:dyDescent="0.35">
      <c r="F3601" s="33"/>
      <c r="G3601" s="70"/>
      <c r="H3601" s="400"/>
      <c r="I3601" s="239"/>
    </row>
    <row r="3602" spans="6:9" x14ac:dyDescent="0.35">
      <c r="F3602" s="33"/>
      <c r="G3602" s="70"/>
      <c r="H3602" s="400"/>
      <c r="I3602" s="239"/>
    </row>
    <row r="3603" spans="6:9" x14ac:dyDescent="0.35">
      <c r="F3603" s="33"/>
      <c r="G3603" s="70"/>
      <c r="H3603" s="400"/>
      <c r="I3603" s="239"/>
    </row>
    <row r="3604" spans="6:9" x14ac:dyDescent="0.35">
      <c r="F3604" s="33"/>
      <c r="G3604" s="70"/>
      <c r="H3604" s="400"/>
      <c r="I3604" s="239"/>
    </row>
    <row r="3605" spans="6:9" x14ac:dyDescent="0.35">
      <c r="F3605" s="33"/>
      <c r="G3605" s="70"/>
      <c r="H3605" s="400"/>
      <c r="I3605" s="239"/>
    </row>
    <row r="3606" spans="6:9" x14ac:dyDescent="0.35">
      <c r="F3606" s="33"/>
      <c r="G3606" s="70"/>
      <c r="H3606" s="400"/>
      <c r="I3606" s="239"/>
    </row>
    <row r="3607" spans="6:9" x14ac:dyDescent="0.35">
      <c r="F3607" s="33"/>
      <c r="G3607" s="70"/>
      <c r="H3607" s="400"/>
      <c r="I3607" s="239"/>
    </row>
    <row r="3608" spans="6:9" x14ac:dyDescent="0.35">
      <c r="F3608" s="33"/>
      <c r="G3608" s="70"/>
      <c r="H3608" s="400"/>
      <c r="I3608" s="239"/>
    </row>
    <row r="3609" spans="6:9" x14ac:dyDescent="0.35">
      <c r="F3609" s="33"/>
      <c r="G3609" s="70"/>
      <c r="H3609" s="400"/>
      <c r="I3609" s="239"/>
    </row>
    <row r="3610" spans="6:9" x14ac:dyDescent="0.35">
      <c r="F3610" s="33"/>
      <c r="G3610" s="70"/>
      <c r="H3610" s="400"/>
      <c r="I3610" s="239"/>
    </row>
    <row r="3611" spans="6:9" x14ac:dyDescent="0.35">
      <c r="F3611" s="33"/>
      <c r="G3611" s="70"/>
      <c r="H3611" s="400"/>
      <c r="I3611" s="239"/>
    </row>
    <row r="3612" spans="6:9" x14ac:dyDescent="0.35">
      <c r="F3612" s="33"/>
      <c r="G3612" s="70"/>
      <c r="H3612" s="400"/>
      <c r="I3612" s="239"/>
    </row>
    <row r="3613" spans="6:9" x14ac:dyDescent="0.35">
      <c r="F3613" s="33"/>
      <c r="G3613" s="70"/>
      <c r="H3613" s="400"/>
      <c r="I3613" s="239"/>
    </row>
    <row r="3614" spans="6:9" x14ac:dyDescent="0.35">
      <c r="F3614" s="33"/>
      <c r="G3614" s="70"/>
      <c r="H3614" s="400"/>
      <c r="I3614" s="239"/>
    </row>
    <row r="3615" spans="6:9" x14ac:dyDescent="0.35">
      <c r="F3615" s="33"/>
      <c r="G3615" s="70"/>
      <c r="H3615" s="400"/>
      <c r="I3615" s="239"/>
    </row>
    <row r="3616" spans="6:9" x14ac:dyDescent="0.35">
      <c r="F3616" s="33"/>
      <c r="G3616" s="70"/>
      <c r="H3616" s="400"/>
      <c r="I3616" s="239"/>
    </row>
    <row r="3617" spans="6:9" x14ac:dyDescent="0.35">
      <c r="F3617" s="33"/>
      <c r="G3617" s="70"/>
      <c r="H3617" s="400"/>
      <c r="I3617" s="239"/>
    </row>
    <row r="3618" spans="6:9" x14ac:dyDescent="0.35">
      <c r="F3618" s="33"/>
      <c r="G3618" s="70"/>
      <c r="H3618" s="400"/>
      <c r="I3618" s="239"/>
    </row>
    <row r="3619" spans="6:9" x14ac:dyDescent="0.35">
      <c r="F3619" s="33"/>
      <c r="G3619" s="70"/>
      <c r="H3619" s="400"/>
      <c r="I3619" s="239"/>
    </row>
    <row r="3620" spans="6:9" x14ac:dyDescent="0.35">
      <c r="F3620" s="33"/>
      <c r="G3620" s="70"/>
      <c r="H3620" s="400"/>
      <c r="I3620" s="239"/>
    </row>
    <row r="3621" spans="6:9" x14ac:dyDescent="0.35">
      <c r="F3621" s="33"/>
      <c r="G3621" s="70"/>
      <c r="H3621" s="400"/>
      <c r="I3621" s="239"/>
    </row>
    <row r="3622" spans="6:9" x14ac:dyDescent="0.35">
      <c r="F3622" s="33"/>
      <c r="G3622" s="70"/>
      <c r="H3622" s="400"/>
      <c r="I3622" s="239"/>
    </row>
    <row r="3623" spans="6:9" x14ac:dyDescent="0.35">
      <c r="F3623" s="33"/>
      <c r="G3623" s="70"/>
      <c r="H3623" s="400"/>
      <c r="I3623" s="239"/>
    </row>
    <row r="3624" spans="6:9" x14ac:dyDescent="0.35">
      <c r="F3624" s="33"/>
      <c r="G3624" s="70"/>
      <c r="H3624" s="400"/>
      <c r="I3624" s="239"/>
    </row>
    <row r="3625" spans="6:9" x14ac:dyDescent="0.35">
      <c r="F3625" s="33"/>
      <c r="G3625" s="70"/>
      <c r="H3625" s="400"/>
      <c r="I3625" s="239"/>
    </row>
    <row r="3626" spans="6:9" x14ac:dyDescent="0.35">
      <c r="F3626" s="33"/>
      <c r="G3626" s="70"/>
      <c r="H3626" s="400"/>
      <c r="I3626" s="239"/>
    </row>
    <row r="3627" spans="6:9" x14ac:dyDescent="0.35">
      <c r="F3627" s="33"/>
      <c r="G3627" s="70"/>
      <c r="H3627" s="400"/>
      <c r="I3627" s="239"/>
    </row>
    <row r="3628" spans="6:9" x14ac:dyDescent="0.35">
      <c r="F3628" s="33"/>
      <c r="G3628" s="70"/>
      <c r="H3628" s="400"/>
      <c r="I3628" s="239"/>
    </row>
    <row r="3629" spans="6:9" x14ac:dyDescent="0.35">
      <c r="F3629" s="33"/>
      <c r="G3629" s="70"/>
      <c r="H3629" s="400"/>
      <c r="I3629" s="239"/>
    </row>
    <row r="3630" spans="6:9" x14ac:dyDescent="0.35">
      <c r="F3630" s="33"/>
      <c r="G3630" s="70"/>
      <c r="H3630" s="400"/>
      <c r="I3630" s="239"/>
    </row>
    <row r="3631" spans="6:9" x14ac:dyDescent="0.35">
      <c r="F3631" s="33"/>
      <c r="G3631" s="70"/>
      <c r="H3631" s="400"/>
      <c r="I3631" s="239"/>
    </row>
    <row r="3632" spans="6:9" x14ac:dyDescent="0.35">
      <c r="F3632" s="33"/>
      <c r="G3632" s="70"/>
      <c r="H3632" s="400"/>
      <c r="I3632" s="239"/>
    </row>
    <row r="3633" spans="6:9" x14ac:dyDescent="0.35">
      <c r="F3633" s="33"/>
      <c r="G3633" s="70"/>
      <c r="H3633" s="400"/>
      <c r="I3633" s="239"/>
    </row>
    <row r="3634" spans="6:9" x14ac:dyDescent="0.35">
      <c r="F3634" s="33"/>
      <c r="G3634" s="70"/>
      <c r="H3634" s="400"/>
      <c r="I3634" s="239"/>
    </row>
    <row r="3635" spans="6:9" x14ac:dyDescent="0.35">
      <c r="F3635" s="33"/>
      <c r="G3635" s="70"/>
      <c r="H3635" s="400"/>
      <c r="I3635" s="239"/>
    </row>
    <row r="3636" spans="6:9" x14ac:dyDescent="0.35">
      <c r="F3636" s="33"/>
      <c r="G3636" s="70"/>
      <c r="H3636" s="400"/>
      <c r="I3636" s="239"/>
    </row>
    <row r="3637" spans="6:9" x14ac:dyDescent="0.35">
      <c r="F3637" s="33"/>
      <c r="G3637" s="70"/>
      <c r="H3637" s="400"/>
      <c r="I3637" s="239"/>
    </row>
    <row r="3638" spans="6:9" x14ac:dyDescent="0.35">
      <c r="F3638" s="33"/>
      <c r="G3638" s="70"/>
      <c r="H3638" s="400"/>
      <c r="I3638" s="239"/>
    </row>
    <row r="3639" spans="6:9" x14ac:dyDescent="0.35">
      <c r="F3639" s="33"/>
      <c r="G3639" s="70"/>
      <c r="H3639" s="400"/>
      <c r="I3639" s="239"/>
    </row>
    <row r="3640" spans="6:9" x14ac:dyDescent="0.35">
      <c r="F3640" s="33"/>
      <c r="G3640" s="70"/>
      <c r="H3640" s="400"/>
      <c r="I3640" s="239"/>
    </row>
    <row r="3641" spans="6:9" x14ac:dyDescent="0.35">
      <c r="F3641" s="33"/>
      <c r="G3641" s="70"/>
      <c r="H3641" s="400"/>
      <c r="I3641" s="239"/>
    </row>
    <row r="3642" spans="6:9" x14ac:dyDescent="0.35">
      <c r="F3642" s="33"/>
      <c r="G3642" s="70"/>
      <c r="H3642" s="400"/>
      <c r="I3642" s="239"/>
    </row>
    <row r="3643" spans="6:9" x14ac:dyDescent="0.35">
      <c r="F3643" s="33"/>
      <c r="G3643" s="70"/>
      <c r="H3643" s="400"/>
      <c r="I3643" s="239"/>
    </row>
    <row r="3644" spans="6:9" x14ac:dyDescent="0.35">
      <c r="F3644" s="33"/>
      <c r="G3644" s="70"/>
      <c r="H3644" s="400"/>
      <c r="I3644" s="239"/>
    </row>
    <row r="3645" spans="6:9" x14ac:dyDescent="0.35">
      <c r="F3645" s="33"/>
      <c r="G3645" s="70"/>
      <c r="H3645" s="400"/>
      <c r="I3645" s="239"/>
    </row>
    <row r="3646" spans="6:9" x14ac:dyDescent="0.35">
      <c r="F3646" s="33"/>
      <c r="G3646" s="70"/>
      <c r="H3646" s="400"/>
      <c r="I3646" s="239"/>
    </row>
    <row r="3647" spans="6:9" x14ac:dyDescent="0.35">
      <c r="F3647" s="33"/>
      <c r="G3647" s="70"/>
      <c r="H3647" s="400"/>
      <c r="I3647" s="239"/>
    </row>
    <row r="3648" spans="6:9" x14ac:dyDescent="0.35">
      <c r="F3648" s="33"/>
      <c r="G3648" s="70"/>
      <c r="H3648" s="400"/>
      <c r="I3648" s="239"/>
    </row>
    <row r="3649" spans="6:9" x14ac:dyDescent="0.35">
      <c r="F3649" s="33"/>
      <c r="G3649" s="70"/>
      <c r="H3649" s="400"/>
      <c r="I3649" s="239"/>
    </row>
    <row r="3650" spans="6:9" x14ac:dyDescent="0.35">
      <c r="F3650" s="33"/>
      <c r="G3650" s="70"/>
      <c r="H3650" s="400"/>
      <c r="I3650" s="239"/>
    </row>
    <row r="3651" spans="6:9" x14ac:dyDescent="0.35">
      <c r="F3651" s="33"/>
      <c r="G3651" s="70"/>
      <c r="H3651" s="400"/>
      <c r="I3651" s="239"/>
    </row>
    <row r="3652" spans="6:9" x14ac:dyDescent="0.35">
      <c r="F3652" s="33"/>
      <c r="G3652" s="70"/>
      <c r="H3652" s="400"/>
      <c r="I3652" s="239"/>
    </row>
    <row r="3653" spans="6:9" x14ac:dyDescent="0.35">
      <c r="F3653" s="33"/>
      <c r="G3653" s="70"/>
      <c r="H3653" s="400"/>
      <c r="I3653" s="239"/>
    </row>
    <row r="3654" spans="6:9" x14ac:dyDescent="0.35">
      <c r="F3654" s="33"/>
      <c r="G3654" s="70"/>
      <c r="H3654" s="400"/>
      <c r="I3654" s="239"/>
    </row>
    <row r="3655" spans="6:9" x14ac:dyDescent="0.35">
      <c r="F3655" s="33"/>
      <c r="G3655" s="70"/>
      <c r="H3655" s="400"/>
      <c r="I3655" s="239"/>
    </row>
    <row r="3656" spans="6:9" x14ac:dyDescent="0.35">
      <c r="F3656" s="33"/>
      <c r="G3656" s="70"/>
      <c r="H3656" s="400"/>
      <c r="I3656" s="239"/>
    </row>
    <row r="3657" spans="6:9" x14ac:dyDescent="0.35">
      <c r="F3657" s="33"/>
      <c r="G3657" s="70"/>
      <c r="H3657" s="400"/>
      <c r="I3657" s="239"/>
    </row>
    <row r="3658" spans="6:9" x14ac:dyDescent="0.35">
      <c r="F3658" s="33"/>
      <c r="G3658" s="70"/>
      <c r="H3658" s="400"/>
      <c r="I3658" s="239"/>
    </row>
    <row r="3659" spans="6:9" x14ac:dyDescent="0.35">
      <c r="F3659" s="33"/>
      <c r="G3659" s="70"/>
      <c r="H3659" s="400"/>
      <c r="I3659" s="239"/>
    </row>
    <row r="3660" spans="6:9" x14ac:dyDescent="0.35">
      <c r="F3660" s="33"/>
      <c r="G3660" s="70"/>
      <c r="H3660" s="400"/>
      <c r="I3660" s="239"/>
    </row>
    <row r="3661" spans="6:9" x14ac:dyDescent="0.35">
      <c r="F3661" s="33"/>
      <c r="G3661" s="70"/>
      <c r="H3661" s="400"/>
      <c r="I3661" s="239"/>
    </row>
    <row r="3662" spans="6:9" x14ac:dyDescent="0.35">
      <c r="F3662" s="33"/>
      <c r="G3662" s="70"/>
      <c r="H3662" s="400"/>
      <c r="I3662" s="239"/>
    </row>
    <row r="3663" spans="6:9" x14ac:dyDescent="0.35">
      <c r="F3663" s="33"/>
      <c r="G3663" s="70"/>
      <c r="H3663" s="400"/>
      <c r="I3663" s="239"/>
    </row>
    <row r="3664" spans="6:9" x14ac:dyDescent="0.35">
      <c r="F3664" s="33"/>
      <c r="G3664" s="70"/>
      <c r="H3664" s="400"/>
      <c r="I3664" s="239"/>
    </row>
    <row r="3665" spans="6:9" x14ac:dyDescent="0.35">
      <c r="F3665" s="33"/>
      <c r="G3665" s="70"/>
      <c r="H3665" s="400"/>
      <c r="I3665" s="239"/>
    </row>
    <row r="3666" spans="6:9" x14ac:dyDescent="0.35">
      <c r="F3666" s="33"/>
      <c r="G3666" s="70"/>
      <c r="H3666" s="400"/>
      <c r="I3666" s="239"/>
    </row>
    <row r="3667" spans="6:9" x14ac:dyDescent="0.35">
      <c r="F3667" s="33"/>
      <c r="G3667" s="70"/>
      <c r="H3667" s="400"/>
      <c r="I3667" s="239"/>
    </row>
    <row r="3668" spans="6:9" x14ac:dyDescent="0.35">
      <c r="F3668" s="33"/>
      <c r="G3668" s="70"/>
      <c r="H3668" s="400"/>
      <c r="I3668" s="239"/>
    </row>
    <row r="3669" spans="6:9" x14ac:dyDescent="0.35">
      <c r="F3669" s="33"/>
      <c r="G3669" s="70"/>
      <c r="H3669" s="400"/>
      <c r="I3669" s="239"/>
    </row>
    <row r="3670" spans="6:9" x14ac:dyDescent="0.35">
      <c r="F3670" s="33"/>
      <c r="G3670" s="70"/>
      <c r="H3670" s="400"/>
      <c r="I3670" s="239"/>
    </row>
    <row r="3671" spans="6:9" x14ac:dyDescent="0.35">
      <c r="F3671" s="33"/>
      <c r="G3671" s="70"/>
      <c r="H3671" s="400"/>
      <c r="I3671" s="239"/>
    </row>
    <row r="3672" spans="6:9" x14ac:dyDescent="0.35">
      <c r="F3672" s="33"/>
      <c r="G3672" s="70"/>
      <c r="H3672" s="400"/>
      <c r="I3672" s="239"/>
    </row>
    <row r="3673" spans="6:9" x14ac:dyDescent="0.35">
      <c r="F3673" s="33"/>
      <c r="G3673" s="70"/>
      <c r="H3673" s="400"/>
      <c r="I3673" s="239"/>
    </row>
    <row r="3674" spans="6:9" x14ac:dyDescent="0.35">
      <c r="F3674" s="33"/>
      <c r="G3674" s="70"/>
      <c r="H3674" s="400"/>
      <c r="I3674" s="239"/>
    </row>
    <row r="3675" spans="6:9" x14ac:dyDescent="0.35">
      <c r="F3675" s="33"/>
      <c r="G3675" s="70"/>
      <c r="H3675" s="400"/>
      <c r="I3675" s="239"/>
    </row>
    <row r="3676" spans="6:9" x14ac:dyDescent="0.35">
      <c r="F3676" s="33"/>
      <c r="G3676" s="70"/>
      <c r="H3676" s="400"/>
      <c r="I3676" s="239"/>
    </row>
    <row r="3677" spans="6:9" x14ac:dyDescent="0.35">
      <c r="F3677" s="33"/>
      <c r="G3677" s="70"/>
      <c r="H3677" s="400"/>
      <c r="I3677" s="239"/>
    </row>
    <row r="3678" spans="6:9" x14ac:dyDescent="0.35">
      <c r="F3678" s="33"/>
      <c r="G3678" s="70"/>
      <c r="H3678" s="400"/>
      <c r="I3678" s="239"/>
    </row>
    <row r="3679" spans="6:9" x14ac:dyDescent="0.35">
      <c r="F3679" s="33"/>
      <c r="G3679" s="70"/>
      <c r="H3679" s="400"/>
      <c r="I3679" s="239"/>
    </row>
    <row r="3680" spans="6:9" x14ac:dyDescent="0.35">
      <c r="F3680" s="33"/>
      <c r="G3680" s="70"/>
      <c r="H3680" s="400"/>
      <c r="I3680" s="239"/>
    </row>
    <row r="3681" spans="6:9" x14ac:dyDescent="0.35">
      <c r="F3681" s="33"/>
      <c r="G3681" s="70"/>
      <c r="H3681" s="400"/>
      <c r="I3681" s="239"/>
    </row>
    <row r="3682" spans="6:9" x14ac:dyDescent="0.35">
      <c r="F3682" s="33"/>
      <c r="G3682" s="70"/>
      <c r="H3682" s="400"/>
      <c r="I3682" s="239"/>
    </row>
    <row r="3683" spans="6:9" x14ac:dyDescent="0.35">
      <c r="F3683" s="33"/>
      <c r="G3683" s="70"/>
      <c r="H3683" s="400"/>
      <c r="I3683" s="239"/>
    </row>
    <row r="3684" spans="6:9" x14ac:dyDescent="0.35">
      <c r="F3684" s="33"/>
      <c r="G3684" s="70"/>
      <c r="H3684" s="400"/>
      <c r="I3684" s="239"/>
    </row>
    <row r="3685" spans="6:9" x14ac:dyDescent="0.35">
      <c r="F3685" s="33"/>
      <c r="G3685" s="70"/>
      <c r="H3685" s="400"/>
      <c r="I3685" s="239"/>
    </row>
    <row r="3686" spans="6:9" x14ac:dyDescent="0.35">
      <c r="F3686" s="33"/>
      <c r="G3686" s="70"/>
      <c r="H3686" s="400"/>
      <c r="I3686" s="239"/>
    </row>
    <row r="3687" spans="6:9" x14ac:dyDescent="0.35">
      <c r="F3687" s="33"/>
      <c r="G3687" s="70"/>
      <c r="H3687" s="400"/>
      <c r="I3687" s="239"/>
    </row>
    <row r="3688" spans="6:9" x14ac:dyDescent="0.35">
      <c r="F3688" s="33"/>
      <c r="G3688" s="70"/>
      <c r="H3688" s="400"/>
      <c r="I3688" s="239"/>
    </row>
    <row r="3689" spans="6:9" x14ac:dyDescent="0.35">
      <c r="F3689" s="33"/>
      <c r="G3689" s="70"/>
      <c r="H3689" s="400"/>
      <c r="I3689" s="239"/>
    </row>
    <row r="3690" spans="6:9" x14ac:dyDescent="0.35">
      <c r="F3690" s="33"/>
      <c r="G3690" s="70"/>
      <c r="H3690" s="400"/>
      <c r="I3690" s="239"/>
    </row>
    <row r="3691" spans="6:9" x14ac:dyDescent="0.35">
      <c r="F3691" s="33"/>
      <c r="G3691" s="70"/>
      <c r="H3691" s="400"/>
      <c r="I3691" s="239"/>
    </row>
    <row r="3692" spans="6:9" x14ac:dyDescent="0.35">
      <c r="F3692" s="33"/>
      <c r="G3692" s="70"/>
      <c r="H3692" s="400"/>
      <c r="I3692" s="239"/>
    </row>
    <row r="3693" spans="6:9" x14ac:dyDescent="0.35">
      <c r="F3693" s="33"/>
      <c r="G3693" s="70"/>
      <c r="H3693" s="400"/>
      <c r="I3693" s="239"/>
    </row>
    <row r="3694" spans="6:9" x14ac:dyDescent="0.35">
      <c r="F3694" s="33"/>
      <c r="G3694" s="70"/>
      <c r="H3694" s="400"/>
      <c r="I3694" s="239"/>
    </row>
    <row r="3695" spans="6:9" x14ac:dyDescent="0.35">
      <c r="F3695" s="33"/>
      <c r="G3695" s="70"/>
      <c r="H3695" s="400"/>
      <c r="I3695" s="239"/>
    </row>
    <row r="3696" spans="6:9" x14ac:dyDescent="0.35">
      <c r="F3696" s="33"/>
      <c r="G3696" s="70"/>
      <c r="H3696" s="400"/>
      <c r="I3696" s="239"/>
    </row>
    <row r="3697" spans="6:9" x14ac:dyDescent="0.35">
      <c r="F3697" s="33"/>
      <c r="G3697" s="70"/>
      <c r="H3697" s="400"/>
      <c r="I3697" s="239"/>
    </row>
    <row r="3698" spans="6:9" x14ac:dyDescent="0.35">
      <c r="F3698" s="33"/>
      <c r="G3698" s="70"/>
      <c r="H3698" s="400"/>
      <c r="I3698" s="239"/>
    </row>
    <row r="3699" spans="6:9" x14ac:dyDescent="0.35">
      <c r="F3699" s="33"/>
      <c r="G3699" s="70"/>
      <c r="H3699" s="400"/>
      <c r="I3699" s="239"/>
    </row>
    <row r="3700" spans="6:9" x14ac:dyDescent="0.35">
      <c r="F3700" s="33"/>
      <c r="G3700" s="70"/>
      <c r="H3700" s="400"/>
      <c r="I3700" s="239"/>
    </row>
    <row r="3701" spans="6:9" x14ac:dyDescent="0.35">
      <c r="F3701" s="33"/>
      <c r="G3701" s="70"/>
      <c r="H3701" s="400"/>
      <c r="I3701" s="239"/>
    </row>
    <row r="3702" spans="6:9" x14ac:dyDescent="0.35">
      <c r="F3702" s="33"/>
      <c r="G3702" s="70"/>
      <c r="H3702" s="400"/>
      <c r="I3702" s="239"/>
    </row>
    <row r="3703" spans="6:9" x14ac:dyDescent="0.35">
      <c r="F3703" s="33"/>
      <c r="G3703" s="70"/>
      <c r="H3703" s="400"/>
      <c r="I3703" s="239"/>
    </row>
    <row r="3704" spans="6:9" x14ac:dyDescent="0.35">
      <c r="F3704" s="33"/>
      <c r="G3704" s="70"/>
      <c r="H3704" s="400"/>
      <c r="I3704" s="239"/>
    </row>
    <row r="3705" spans="6:9" x14ac:dyDescent="0.35">
      <c r="F3705" s="33"/>
      <c r="G3705" s="70"/>
      <c r="H3705" s="400"/>
      <c r="I3705" s="239"/>
    </row>
    <row r="3706" spans="6:9" x14ac:dyDescent="0.35">
      <c r="F3706" s="33"/>
      <c r="G3706" s="70"/>
      <c r="H3706" s="400"/>
      <c r="I3706" s="239"/>
    </row>
    <row r="3707" spans="6:9" x14ac:dyDescent="0.35">
      <c r="F3707" s="33"/>
      <c r="G3707" s="70"/>
      <c r="H3707" s="400"/>
      <c r="I3707" s="239"/>
    </row>
    <row r="3708" spans="6:9" x14ac:dyDescent="0.35">
      <c r="F3708" s="33"/>
      <c r="G3708" s="70"/>
      <c r="H3708" s="400"/>
      <c r="I3708" s="239"/>
    </row>
    <row r="3709" spans="6:9" x14ac:dyDescent="0.35">
      <c r="F3709" s="33"/>
      <c r="G3709" s="70"/>
      <c r="H3709" s="400"/>
      <c r="I3709" s="239"/>
    </row>
    <row r="3710" spans="6:9" x14ac:dyDescent="0.35">
      <c r="F3710" s="33"/>
      <c r="G3710" s="70"/>
      <c r="H3710" s="400"/>
      <c r="I3710" s="239"/>
    </row>
    <row r="3711" spans="6:9" x14ac:dyDescent="0.35">
      <c r="F3711" s="33"/>
      <c r="G3711" s="70"/>
      <c r="H3711" s="400"/>
      <c r="I3711" s="239"/>
    </row>
    <row r="3712" spans="6:9" x14ac:dyDescent="0.35">
      <c r="F3712" s="33"/>
      <c r="G3712" s="70"/>
      <c r="H3712" s="400"/>
      <c r="I3712" s="239"/>
    </row>
    <row r="3713" spans="6:9" x14ac:dyDescent="0.35">
      <c r="F3713" s="33"/>
      <c r="G3713" s="70"/>
      <c r="H3713" s="400"/>
      <c r="I3713" s="239"/>
    </row>
    <row r="3714" spans="6:9" x14ac:dyDescent="0.35">
      <c r="F3714" s="33"/>
      <c r="G3714" s="70"/>
      <c r="H3714" s="400"/>
      <c r="I3714" s="239"/>
    </row>
    <row r="3715" spans="6:9" x14ac:dyDescent="0.35">
      <c r="F3715" s="33"/>
      <c r="G3715" s="70"/>
      <c r="H3715" s="400"/>
      <c r="I3715" s="239"/>
    </row>
    <row r="3716" spans="6:9" x14ac:dyDescent="0.35">
      <c r="F3716" s="33"/>
      <c r="G3716" s="70"/>
      <c r="H3716" s="400"/>
      <c r="I3716" s="239"/>
    </row>
    <row r="3717" spans="6:9" x14ac:dyDescent="0.35">
      <c r="F3717" s="33"/>
      <c r="G3717" s="70"/>
      <c r="H3717" s="400"/>
      <c r="I3717" s="239"/>
    </row>
    <row r="3718" spans="6:9" x14ac:dyDescent="0.35">
      <c r="F3718" s="33"/>
      <c r="G3718" s="70"/>
      <c r="H3718" s="400"/>
      <c r="I3718" s="239"/>
    </row>
    <row r="3719" spans="6:9" x14ac:dyDescent="0.35">
      <c r="F3719" s="33"/>
      <c r="G3719" s="70"/>
      <c r="H3719" s="400"/>
      <c r="I3719" s="239"/>
    </row>
    <row r="3720" spans="6:9" x14ac:dyDescent="0.35">
      <c r="F3720" s="33"/>
      <c r="G3720" s="70"/>
      <c r="H3720" s="400"/>
      <c r="I3720" s="239"/>
    </row>
    <row r="3721" spans="6:9" x14ac:dyDescent="0.35">
      <c r="F3721" s="33"/>
      <c r="G3721" s="70"/>
      <c r="H3721" s="400"/>
      <c r="I3721" s="239"/>
    </row>
    <row r="3722" spans="6:9" x14ac:dyDescent="0.35">
      <c r="F3722" s="33"/>
      <c r="G3722" s="70"/>
      <c r="H3722" s="400"/>
      <c r="I3722" s="239"/>
    </row>
    <row r="3723" spans="6:9" x14ac:dyDescent="0.35">
      <c r="F3723" s="33"/>
      <c r="G3723" s="70"/>
      <c r="H3723" s="400"/>
      <c r="I3723" s="239"/>
    </row>
    <row r="3724" spans="6:9" x14ac:dyDescent="0.35">
      <c r="F3724" s="33"/>
      <c r="G3724" s="70"/>
      <c r="H3724" s="400"/>
      <c r="I3724" s="239"/>
    </row>
    <row r="3725" spans="6:9" x14ac:dyDescent="0.35">
      <c r="F3725" s="33"/>
      <c r="G3725" s="70"/>
      <c r="H3725" s="400"/>
      <c r="I3725" s="239"/>
    </row>
    <row r="3726" spans="6:9" x14ac:dyDescent="0.35">
      <c r="F3726" s="33"/>
      <c r="G3726" s="70"/>
      <c r="H3726" s="400"/>
      <c r="I3726" s="239"/>
    </row>
    <row r="3727" spans="6:9" x14ac:dyDescent="0.35">
      <c r="F3727" s="33"/>
      <c r="G3727" s="70"/>
      <c r="H3727" s="400"/>
      <c r="I3727" s="239"/>
    </row>
    <row r="3728" spans="6:9" x14ac:dyDescent="0.35">
      <c r="F3728" s="33"/>
      <c r="G3728" s="70"/>
      <c r="H3728" s="400"/>
      <c r="I3728" s="239"/>
    </row>
    <row r="3729" spans="6:9" x14ac:dyDescent="0.35">
      <c r="F3729" s="33"/>
      <c r="G3729" s="70"/>
      <c r="H3729" s="400"/>
      <c r="I3729" s="239"/>
    </row>
    <row r="3730" spans="6:9" x14ac:dyDescent="0.35">
      <c r="F3730" s="33"/>
      <c r="G3730" s="70"/>
      <c r="H3730" s="400"/>
      <c r="I3730" s="239"/>
    </row>
    <row r="3731" spans="6:9" x14ac:dyDescent="0.35">
      <c r="F3731" s="33"/>
      <c r="G3731" s="70"/>
      <c r="H3731" s="400"/>
      <c r="I3731" s="239"/>
    </row>
    <row r="3732" spans="6:9" x14ac:dyDescent="0.35">
      <c r="F3732" s="33"/>
      <c r="G3732" s="70"/>
      <c r="H3732" s="400"/>
      <c r="I3732" s="239"/>
    </row>
    <row r="3733" spans="6:9" x14ac:dyDescent="0.35">
      <c r="F3733" s="33"/>
      <c r="G3733" s="70"/>
      <c r="H3733" s="400"/>
      <c r="I3733" s="239"/>
    </row>
    <row r="3734" spans="6:9" x14ac:dyDescent="0.35">
      <c r="F3734" s="33"/>
      <c r="G3734" s="70"/>
      <c r="H3734" s="400"/>
      <c r="I3734" s="239"/>
    </row>
    <row r="3735" spans="6:9" x14ac:dyDescent="0.35">
      <c r="F3735" s="33"/>
      <c r="G3735" s="70"/>
      <c r="H3735" s="400"/>
      <c r="I3735" s="239"/>
    </row>
    <row r="3736" spans="6:9" x14ac:dyDescent="0.35">
      <c r="F3736" s="33"/>
      <c r="G3736" s="70"/>
      <c r="H3736" s="400"/>
      <c r="I3736" s="239"/>
    </row>
    <row r="3737" spans="6:9" x14ac:dyDescent="0.35">
      <c r="F3737" s="33"/>
      <c r="G3737" s="70"/>
      <c r="H3737" s="400"/>
      <c r="I3737" s="239"/>
    </row>
    <row r="3738" spans="6:9" x14ac:dyDescent="0.35">
      <c r="F3738" s="33"/>
      <c r="G3738" s="70"/>
      <c r="H3738" s="400"/>
      <c r="I3738" s="239"/>
    </row>
    <row r="3739" spans="6:9" x14ac:dyDescent="0.35">
      <c r="F3739" s="33"/>
      <c r="G3739" s="70"/>
      <c r="H3739" s="400"/>
      <c r="I3739" s="239"/>
    </row>
    <row r="3740" spans="6:9" x14ac:dyDescent="0.35">
      <c r="F3740" s="33"/>
      <c r="G3740" s="70"/>
      <c r="H3740" s="400"/>
      <c r="I3740" s="239"/>
    </row>
    <row r="3741" spans="6:9" x14ac:dyDescent="0.35">
      <c r="F3741" s="33"/>
      <c r="G3741" s="70"/>
      <c r="H3741" s="400"/>
      <c r="I3741" s="239"/>
    </row>
    <row r="3742" spans="6:9" x14ac:dyDescent="0.35">
      <c r="F3742" s="33"/>
      <c r="G3742" s="70"/>
      <c r="H3742" s="400"/>
      <c r="I3742" s="239"/>
    </row>
    <row r="3743" spans="6:9" x14ac:dyDescent="0.35">
      <c r="F3743" s="33"/>
      <c r="G3743" s="70"/>
      <c r="H3743" s="400"/>
      <c r="I3743" s="239"/>
    </row>
    <row r="3744" spans="6:9" x14ac:dyDescent="0.35">
      <c r="F3744" s="33"/>
      <c r="G3744" s="70"/>
      <c r="H3744" s="400"/>
      <c r="I3744" s="239"/>
    </row>
    <row r="3745" spans="6:9" x14ac:dyDescent="0.35">
      <c r="F3745" s="33"/>
      <c r="G3745" s="70"/>
      <c r="H3745" s="400"/>
      <c r="I3745" s="239"/>
    </row>
    <row r="3746" spans="6:9" x14ac:dyDescent="0.35">
      <c r="F3746" s="33"/>
      <c r="G3746" s="70"/>
      <c r="H3746" s="400"/>
      <c r="I3746" s="239"/>
    </row>
    <row r="3747" spans="6:9" x14ac:dyDescent="0.35">
      <c r="F3747" s="33"/>
      <c r="G3747" s="70"/>
      <c r="H3747" s="400"/>
      <c r="I3747" s="239"/>
    </row>
    <row r="3748" spans="6:9" x14ac:dyDescent="0.35">
      <c r="F3748" s="33"/>
      <c r="G3748" s="70"/>
      <c r="H3748" s="400"/>
      <c r="I3748" s="239"/>
    </row>
    <row r="3749" spans="6:9" x14ac:dyDescent="0.35">
      <c r="F3749" s="33"/>
      <c r="G3749" s="70"/>
      <c r="H3749" s="400"/>
      <c r="I3749" s="239"/>
    </row>
    <row r="3750" spans="6:9" x14ac:dyDescent="0.35">
      <c r="F3750" s="33"/>
      <c r="G3750" s="70"/>
      <c r="H3750" s="400"/>
      <c r="I3750" s="239"/>
    </row>
    <row r="3751" spans="6:9" x14ac:dyDescent="0.35">
      <c r="F3751" s="33"/>
      <c r="G3751" s="70"/>
      <c r="H3751" s="400"/>
      <c r="I3751" s="239"/>
    </row>
    <row r="3752" spans="6:9" x14ac:dyDescent="0.35">
      <c r="F3752" s="33"/>
      <c r="G3752" s="70"/>
      <c r="H3752" s="400"/>
      <c r="I3752" s="239"/>
    </row>
    <row r="3753" spans="6:9" x14ac:dyDescent="0.35">
      <c r="F3753" s="33"/>
      <c r="G3753" s="70"/>
      <c r="H3753" s="400"/>
      <c r="I3753" s="239"/>
    </row>
    <row r="3754" spans="6:9" x14ac:dyDescent="0.35">
      <c r="F3754" s="33"/>
      <c r="G3754" s="70"/>
      <c r="H3754" s="400"/>
      <c r="I3754" s="239"/>
    </row>
    <row r="3755" spans="6:9" x14ac:dyDescent="0.35">
      <c r="F3755" s="33"/>
      <c r="G3755" s="70"/>
      <c r="H3755" s="400"/>
      <c r="I3755" s="239"/>
    </row>
    <row r="3756" spans="6:9" x14ac:dyDescent="0.35">
      <c r="F3756" s="33"/>
      <c r="G3756" s="70"/>
      <c r="H3756" s="400"/>
      <c r="I3756" s="239"/>
    </row>
    <row r="3757" spans="6:9" x14ac:dyDescent="0.35">
      <c r="F3757" s="33"/>
      <c r="G3757" s="70"/>
      <c r="H3757" s="400"/>
      <c r="I3757" s="239"/>
    </row>
    <row r="3758" spans="6:9" x14ac:dyDescent="0.35">
      <c r="F3758" s="33"/>
      <c r="G3758" s="70"/>
      <c r="H3758" s="400"/>
      <c r="I3758" s="239"/>
    </row>
    <row r="3759" spans="6:9" x14ac:dyDescent="0.35">
      <c r="F3759" s="33"/>
      <c r="G3759" s="70"/>
      <c r="H3759" s="400"/>
      <c r="I3759" s="239"/>
    </row>
    <row r="3760" spans="6:9" x14ac:dyDescent="0.35">
      <c r="F3760" s="33"/>
      <c r="G3760" s="70"/>
      <c r="H3760" s="400"/>
      <c r="I3760" s="239"/>
    </row>
    <row r="3761" spans="6:9" x14ac:dyDescent="0.35">
      <c r="F3761" s="33"/>
      <c r="G3761" s="70"/>
      <c r="H3761" s="400"/>
      <c r="I3761" s="239"/>
    </row>
    <row r="3762" spans="6:9" x14ac:dyDescent="0.35">
      <c r="F3762" s="33"/>
      <c r="G3762" s="70"/>
      <c r="H3762" s="400"/>
      <c r="I3762" s="239"/>
    </row>
    <row r="3763" spans="6:9" x14ac:dyDescent="0.35">
      <c r="F3763" s="33"/>
      <c r="G3763" s="70"/>
      <c r="H3763" s="400"/>
      <c r="I3763" s="239"/>
    </row>
    <row r="3764" spans="6:9" x14ac:dyDescent="0.35">
      <c r="F3764" s="33"/>
      <c r="G3764" s="70"/>
      <c r="H3764" s="400"/>
      <c r="I3764" s="239"/>
    </row>
    <row r="3765" spans="6:9" x14ac:dyDescent="0.35">
      <c r="F3765" s="33"/>
      <c r="G3765" s="70"/>
      <c r="H3765" s="400"/>
      <c r="I3765" s="239"/>
    </row>
    <row r="3766" spans="6:9" x14ac:dyDescent="0.35">
      <c r="F3766" s="33"/>
      <c r="G3766" s="70"/>
      <c r="H3766" s="400"/>
      <c r="I3766" s="239"/>
    </row>
    <row r="3767" spans="6:9" x14ac:dyDescent="0.35">
      <c r="F3767" s="33"/>
      <c r="G3767" s="70"/>
      <c r="H3767" s="400"/>
      <c r="I3767" s="239"/>
    </row>
    <row r="3768" spans="6:9" x14ac:dyDescent="0.35">
      <c r="F3768" s="33"/>
      <c r="G3768" s="70"/>
      <c r="H3768" s="400"/>
      <c r="I3768" s="239"/>
    </row>
    <row r="3769" spans="6:9" x14ac:dyDescent="0.35">
      <c r="F3769" s="33"/>
      <c r="G3769" s="70"/>
      <c r="H3769" s="400"/>
      <c r="I3769" s="239"/>
    </row>
    <row r="3770" spans="6:9" x14ac:dyDescent="0.35">
      <c r="F3770" s="33"/>
      <c r="G3770" s="70"/>
      <c r="H3770" s="400"/>
      <c r="I3770" s="239"/>
    </row>
    <row r="3771" spans="6:9" x14ac:dyDescent="0.35">
      <c r="F3771" s="33"/>
      <c r="G3771" s="70"/>
      <c r="H3771" s="400"/>
      <c r="I3771" s="239"/>
    </row>
    <row r="3772" spans="6:9" x14ac:dyDescent="0.35">
      <c r="F3772" s="33"/>
      <c r="G3772" s="70"/>
      <c r="H3772" s="400"/>
      <c r="I3772" s="239"/>
    </row>
    <row r="3773" spans="6:9" x14ac:dyDescent="0.35">
      <c r="F3773" s="33"/>
      <c r="G3773" s="70"/>
      <c r="H3773" s="400"/>
      <c r="I3773" s="239"/>
    </row>
    <row r="3774" spans="6:9" x14ac:dyDescent="0.35">
      <c r="F3774" s="33"/>
      <c r="G3774" s="70"/>
      <c r="H3774" s="400"/>
      <c r="I3774" s="239"/>
    </row>
    <row r="3775" spans="6:9" x14ac:dyDescent="0.35">
      <c r="F3775" s="33"/>
      <c r="G3775" s="70"/>
      <c r="H3775" s="400"/>
      <c r="I3775" s="239"/>
    </row>
    <row r="3776" spans="6:9" x14ac:dyDescent="0.35">
      <c r="F3776" s="33"/>
      <c r="G3776" s="70"/>
      <c r="H3776" s="400"/>
      <c r="I3776" s="239"/>
    </row>
    <row r="3777" spans="6:9" x14ac:dyDescent="0.35">
      <c r="F3777" s="33"/>
      <c r="G3777" s="70"/>
      <c r="H3777" s="400"/>
      <c r="I3777" s="239"/>
    </row>
    <row r="3778" spans="6:9" x14ac:dyDescent="0.35">
      <c r="F3778" s="33"/>
      <c r="G3778" s="70"/>
      <c r="H3778" s="400"/>
      <c r="I3778" s="239"/>
    </row>
    <row r="3779" spans="6:9" x14ac:dyDescent="0.35">
      <c r="F3779" s="33"/>
      <c r="G3779" s="70"/>
      <c r="H3779" s="400"/>
      <c r="I3779" s="239"/>
    </row>
    <row r="3780" spans="6:9" x14ac:dyDescent="0.35">
      <c r="F3780" s="33"/>
      <c r="G3780" s="70"/>
      <c r="H3780" s="400"/>
      <c r="I3780" s="239"/>
    </row>
    <row r="3781" spans="6:9" x14ac:dyDescent="0.35">
      <c r="F3781" s="33"/>
      <c r="G3781" s="70"/>
      <c r="H3781" s="400"/>
      <c r="I3781" s="239"/>
    </row>
    <row r="3782" spans="6:9" x14ac:dyDescent="0.35">
      <c r="F3782" s="33"/>
      <c r="G3782" s="70"/>
      <c r="H3782" s="400"/>
      <c r="I3782" s="239"/>
    </row>
    <row r="3783" spans="6:9" x14ac:dyDescent="0.35">
      <c r="F3783" s="33"/>
      <c r="G3783" s="70"/>
      <c r="H3783" s="400"/>
      <c r="I3783" s="239"/>
    </row>
    <row r="3784" spans="6:9" x14ac:dyDescent="0.35">
      <c r="F3784" s="33"/>
      <c r="G3784" s="70"/>
      <c r="H3784" s="400"/>
      <c r="I3784" s="239"/>
    </row>
    <row r="3785" spans="6:9" x14ac:dyDescent="0.35">
      <c r="F3785" s="33"/>
      <c r="G3785" s="70"/>
      <c r="H3785" s="400"/>
      <c r="I3785" s="239"/>
    </row>
    <row r="3786" spans="6:9" x14ac:dyDescent="0.35">
      <c r="F3786" s="33"/>
      <c r="G3786" s="70"/>
      <c r="H3786" s="400"/>
      <c r="I3786" s="239"/>
    </row>
    <row r="3787" spans="6:9" x14ac:dyDescent="0.35">
      <c r="F3787" s="33"/>
      <c r="G3787" s="70"/>
      <c r="H3787" s="400"/>
      <c r="I3787" s="239"/>
    </row>
    <row r="3788" spans="6:9" x14ac:dyDescent="0.35">
      <c r="F3788" s="33"/>
      <c r="G3788" s="70"/>
      <c r="H3788" s="400"/>
      <c r="I3788" s="239"/>
    </row>
    <row r="3789" spans="6:9" x14ac:dyDescent="0.35">
      <c r="F3789" s="33"/>
      <c r="G3789" s="70"/>
      <c r="H3789" s="400"/>
      <c r="I3789" s="239"/>
    </row>
    <row r="3790" spans="6:9" x14ac:dyDescent="0.35">
      <c r="F3790" s="33"/>
      <c r="G3790" s="70"/>
      <c r="H3790" s="400"/>
      <c r="I3790" s="239"/>
    </row>
    <row r="3791" spans="6:9" x14ac:dyDescent="0.35">
      <c r="F3791" s="33"/>
      <c r="G3791" s="70"/>
      <c r="H3791" s="400"/>
      <c r="I3791" s="239"/>
    </row>
    <row r="3792" spans="6:9" x14ac:dyDescent="0.35">
      <c r="F3792" s="33"/>
      <c r="G3792" s="70"/>
      <c r="H3792" s="400"/>
      <c r="I3792" s="239"/>
    </row>
    <row r="3793" spans="6:9" x14ac:dyDescent="0.35">
      <c r="F3793" s="33"/>
      <c r="G3793" s="70"/>
      <c r="H3793" s="400"/>
      <c r="I3793" s="239"/>
    </row>
    <row r="3794" spans="6:9" x14ac:dyDescent="0.35">
      <c r="F3794" s="33"/>
      <c r="G3794" s="70"/>
      <c r="H3794" s="400"/>
      <c r="I3794" s="239"/>
    </row>
    <row r="3795" spans="6:9" x14ac:dyDescent="0.35">
      <c r="F3795" s="33"/>
      <c r="G3795" s="70"/>
      <c r="H3795" s="400"/>
      <c r="I3795" s="239"/>
    </row>
    <row r="3796" spans="6:9" x14ac:dyDescent="0.35">
      <c r="F3796" s="33"/>
      <c r="G3796" s="70"/>
      <c r="H3796" s="400"/>
      <c r="I3796" s="239"/>
    </row>
    <row r="3797" spans="6:9" x14ac:dyDescent="0.35">
      <c r="F3797" s="33"/>
      <c r="G3797" s="70"/>
      <c r="H3797" s="400"/>
      <c r="I3797" s="239"/>
    </row>
    <row r="3798" spans="6:9" x14ac:dyDescent="0.35">
      <c r="F3798" s="33"/>
      <c r="G3798" s="70"/>
      <c r="H3798" s="400"/>
      <c r="I3798" s="239"/>
    </row>
    <row r="3799" spans="6:9" x14ac:dyDescent="0.35">
      <c r="F3799" s="33"/>
      <c r="G3799" s="70"/>
      <c r="H3799" s="400"/>
      <c r="I3799" s="239"/>
    </row>
    <row r="3800" spans="6:9" x14ac:dyDescent="0.35">
      <c r="F3800" s="33"/>
      <c r="G3800" s="70"/>
      <c r="H3800" s="400"/>
      <c r="I3800" s="239"/>
    </row>
    <row r="3801" spans="6:9" x14ac:dyDescent="0.35">
      <c r="F3801" s="33"/>
      <c r="G3801" s="70"/>
      <c r="H3801" s="400"/>
      <c r="I3801" s="239"/>
    </row>
    <row r="3802" spans="6:9" x14ac:dyDescent="0.35">
      <c r="F3802" s="33"/>
      <c r="G3802" s="70"/>
      <c r="H3802" s="400"/>
      <c r="I3802" s="239"/>
    </row>
    <row r="3803" spans="6:9" x14ac:dyDescent="0.35">
      <c r="F3803" s="33"/>
      <c r="G3803" s="70"/>
      <c r="H3803" s="400"/>
      <c r="I3803" s="239"/>
    </row>
    <row r="3804" spans="6:9" x14ac:dyDescent="0.35">
      <c r="F3804" s="33"/>
      <c r="G3804" s="70"/>
      <c r="H3804" s="400"/>
      <c r="I3804" s="239"/>
    </row>
    <row r="3805" spans="6:9" x14ac:dyDescent="0.35">
      <c r="F3805" s="33"/>
      <c r="G3805" s="70"/>
      <c r="H3805" s="400"/>
      <c r="I3805" s="239"/>
    </row>
    <row r="3806" spans="6:9" x14ac:dyDescent="0.35">
      <c r="F3806" s="33"/>
      <c r="G3806" s="70"/>
      <c r="H3806" s="400"/>
      <c r="I3806" s="239"/>
    </row>
    <row r="3807" spans="6:9" x14ac:dyDescent="0.35">
      <c r="F3807" s="33"/>
      <c r="G3807" s="70"/>
      <c r="H3807" s="400"/>
      <c r="I3807" s="239"/>
    </row>
    <row r="3808" spans="6:9" x14ac:dyDescent="0.35">
      <c r="F3808" s="33"/>
      <c r="G3808" s="70"/>
      <c r="H3808" s="400"/>
      <c r="I3808" s="239"/>
    </row>
    <row r="3809" spans="6:9" x14ac:dyDescent="0.35">
      <c r="F3809" s="33"/>
      <c r="G3809" s="70"/>
      <c r="H3809" s="400"/>
      <c r="I3809" s="239"/>
    </row>
    <row r="3810" spans="6:9" x14ac:dyDescent="0.35">
      <c r="F3810" s="33"/>
      <c r="G3810" s="70"/>
      <c r="H3810" s="400"/>
      <c r="I3810" s="239"/>
    </row>
    <row r="3811" spans="6:9" x14ac:dyDescent="0.35">
      <c r="F3811" s="33"/>
      <c r="G3811" s="70"/>
      <c r="H3811" s="400"/>
      <c r="I3811" s="239"/>
    </row>
    <row r="3812" spans="6:9" x14ac:dyDescent="0.35">
      <c r="F3812" s="33"/>
      <c r="G3812" s="70"/>
      <c r="H3812" s="400"/>
      <c r="I3812" s="239"/>
    </row>
    <row r="3813" spans="6:9" x14ac:dyDescent="0.35">
      <c r="F3813" s="33"/>
      <c r="G3813" s="70"/>
      <c r="H3813" s="400"/>
      <c r="I3813" s="239"/>
    </row>
    <row r="3814" spans="6:9" x14ac:dyDescent="0.35">
      <c r="F3814" s="33"/>
      <c r="G3814" s="70"/>
      <c r="H3814" s="400"/>
      <c r="I3814" s="239"/>
    </row>
    <row r="3815" spans="6:9" x14ac:dyDescent="0.35">
      <c r="F3815" s="33"/>
      <c r="G3815" s="70"/>
      <c r="H3815" s="400"/>
      <c r="I3815" s="239"/>
    </row>
    <row r="3816" spans="6:9" x14ac:dyDescent="0.35">
      <c r="F3816" s="33"/>
      <c r="G3816" s="70"/>
      <c r="H3816" s="400"/>
      <c r="I3816" s="239"/>
    </row>
    <row r="3817" spans="6:9" x14ac:dyDescent="0.35">
      <c r="F3817" s="33"/>
      <c r="G3817" s="70"/>
      <c r="H3817" s="400"/>
      <c r="I3817" s="239"/>
    </row>
    <row r="3818" spans="6:9" x14ac:dyDescent="0.35">
      <c r="F3818" s="33"/>
      <c r="G3818" s="70"/>
      <c r="H3818" s="400"/>
      <c r="I3818" s="239"/>
    </row>
    <row r="3819" spans="6:9" x14ac:dyDescent="0.35">
      <c r="F3819" s="33"/>
      <c r="G3819" s="70"/>
      <c r="H3819" s="400"/>
      <c r="I3819" s="239"/>
    </row>
    <row r="3820" spans="6:9" x14ac:dyDescent="0.35">
      <c r="F3820" s="33"/>
      <c r="G3820" s="70"/>
      <c r="H3820" s="400"/>
      <c r="I3820" s="239"/>
    </row>
    <row r="3821" spans="6:9" x14ac:dyDescent="0.35">
      <c r="F3821" s="33"/>
      <c r="G3821" s="70"/>
      <c r="H3821" s="400"/>
      <c r="I3821" s="239"/>
    </row>
    <row r="3822" spans="6:9" x14ac:dyDescent="0.35">
      <c r="F3822" s="33"/>
      <c r="G3822" s="70"/>
      <c r="H3822" s="400"/>
      <c r="I3822" s="239"/>
    </row>
    <row r="3823" spans="6:9" x14ac:dyDescent="0.35">
      <c r="F3823" s="33"/>
      <c r="G3823" s="70"/>
      <c r="H3823" s="400"/>
      <c r="I3823" s="239"/>
    </row>
    <row r="3824" spans="6:9" x14ac:dyDescent="0.35">
      <c r="F3824" s="33"/>
      <c r="G3824" s="70"/>
      <c r="H3824" s="400"/>
      <c r="I3824" s="239"/>
    </row>
    <row r="3825" spans="6:9" x14ac:dyDescent="0.35">
      <c r="F3825" s="33"/>
      <c r="G3825" s="70"/>
      <c r="H3825" s="400"/>
      <c r="I3825" s="239"/>
    </row>
    <row r="3826" spans="6:9" x14ac:dyDescent="0.35">
      <c r="F3826" s="33"/>
      <c r="G3826" s="70"/>
      <c r="H3826" s="400"/>
      <c r="I3826" s="239"/>
    </row>
    <row r="3827" spans="6:9" x14ac:dyDescent="0.35">
      <c r="F3827" s="33"/>
      <c r="G3827" s="70"/>
      <c r="H3827" s="400"/>
      <c r="I3827" s="239"/>
    </row>
    <row r="3828" spans="6:9" x14ac:dyDescent="0.35">
      <c r="F3828" s="33"/>
      <c r="G3828" s="70"/>
      <c r="H3828" s="400"/>
      <c r="I3828" s="239"/>
    </row>
    <row r="3829" spans="6:9" x14ac:dyDescent="0.35">
      <c r="F3829" s="33"/>
      <c r="G3829" s="70"/>
      <c r="H3829" s="400"/>
      <c r="I3829" s="239"/>
    </row>
    <row r="3830" spans="6:9" x14ac:dyDescent="0.35">
      <c r="F3830" s="33"/>
      <c r="G3830" s="70"/>
      <c r="H3830" s="400"/>
      <c r="I3830" s="239"/>
    </row>
    <row r="3831" spans="6:9" x14ac:dyDescent="0.35">
      <c r="F3831" s="33"/>
      <c r="G3831" s="70"/>
      <c r="H3831" s="400"/>
      <c r="I3831" s="239"/>
    </row>
    <row r="3832" spans="6:9" x14ac:dyDescent="0.35">
      <c r="F3832" s="33"/>
      <c r="G3832" s="70"/>
      <c r="H3832" s="400"/>
      <c r="I3832" s="239"/>
    </row>
    <row r="3833" spans="6:9" x14ac:dyDescent="0.35">
      <c r="F3833" s="33"/>
      <c r="G3833" s="70"/>
      <c r="H3833" s="400"/>
      <c r="I3833" s="239"/>
    </row>
    <row r="3834" spans="6:9" x14ac:dyDescent="0.35">
      <c r="F3834" s="33"/>
      <c r="G3834" s="70"/>
      <c r="H3834" s="400"/>
      <c r="I3834" s="239"/>
    </row>
    <row r="3835" spans="6:9" x14ac:dyDescent="0.35">
      <c r="F3835" s="33"/>
      <c r="G3835" s="70"/>
      <c r="H3835" s="400"/>
      <c r="I3835" s="239"/>
    </row>
    <row r="3836" spans="6:9" x14ac:dyDescent="0.35">
      <c r="F3836" s="33"/>
      <c r="G3836" s="70"/>
      <c r="H3836" s="400"/>
      <c r="I3836" s="239"/>
    </row>
    <row r="3837" spans="6:9" x14ac:dyDescent="0.35">
      <c r="F3837" s="33"/>
      <c r="G3837" s="70"/>
      <c r="H3837" s="400"/>
      <c r="I3837" s="239"/>
    </row>
    <row r="3838" spans="6:9" x14ac:dyDescent="0.35">
      <c r="F3838" s="33"/>
      <c r="G3838" s="70"/>
      <c r="H3838" s="400"/>
      <c r="I3838" s="239"/>
    </row>
    <row r="3839" spans="6:9" x14ac:dyDescent="0.35">
      <c r="F3839" s="33"/>
      <c r="G3839" s="70"/>
      <c r="H3839" s="400"/>
      <c r="I3839" s="239"/>
    </row>
    <row r="3840" spans="6:9" x14ac:dyDescent="0.35">
      <c r="F3840" s="33"/>
      <c r="G3840" s="70"/>
      <c r="H3840" s="400"/>
      <c r="I3840" s="239"/>
    </row>
    <row r="3841" spans="6:9" x14ac:dyDescent="0.35">
      <c r="F3841" s="33"/>
      <c r="G3841" s="70"/>
      <c r="H3841" s="400"/>
      <c r="I3841" s="239"/>
    </row>
    <row r="3842" spans="6:9" x14ac:dyDescent="0.35">
      <c r="F3842" s="33"/>
      <c r="G3842" s="70"/>
      <c r="H3842" s="400"/>
      <c r="I3842" s="239"/>
    </row>
    <row r="3843" spans="6:9" x14ac:dyDescent="0.35">
      <c r="F3843" s="33"/>
      <c r="G3843" s="70"/>
      <c r="H3843" s="400"/>
      <c r="I3843" s="239"/>
    </row>
    <row r="3844" spans="6:9" x14ac:dyDescent="0.35">
      <c r="F3844" s="33"/>
      <c r="G3844" s="70"/>
      <c r="H3844" s="400"/>
      <c r="I3844" s="239"/>
    </row>
    <row r="3845" spans="6:9" x14ac:dyDescent="0.35">
      <c r="F3845" s="33"/>
      <c r="G3845" s="70"/>
      <c r="H3845" s="400"/>
      <c r="I3845" s="239"/>
    </row>
    <row r="3846" spans="6:9" x14ac:dyDescent="0.35">
      <c r="F3846" s="33"/>
      <c r="G3846" s="70"/>
      <c r="H3846" s="400"/>
      <c r="I3846" s="239"/>
    </row>
    <row r="3847" spans="6:9" x14ac:dyDescent="0.35">
      <c r="F3847" s="33"/>
      <c r="G3847" s="70"/>
      <c r="H3847" s="400"/>
      <c r="I3847" s="239"/>
    </row>
    <row r="3848" spans="6:9" x14ac:dyDescent="0.35">
      <c r="F3848" s="33"/>
      <c r="G3848" s="70"/>
      <c r="H3848" s="400"/>
      <c r="I3848" s="239"/>
    </row>
    <row r="3849" spans="6:9" x14ac:dyDescent="0.35">
      <c r="F3849" s="33"/>
      <c r="G3849" s="70"/>
      <c r="H3849" s="400"/>
      <c r="I3849" s="239"/>
    </row>
    <row r="3850" spans="6:9" x14ac:dyDescent="0.35">
      <c r="F3850" s="33"/>
      <c r="G3850" s="70"/>
      <c r="H3850" s="400"/>
      <c r="I3850" s="239"/>
    </row>
    <row r="3851" spans="6:9" x14ac:dyDescent="0.35">
      <c r="F3851" s="33"/>
      <c r="G3851" s="70"/>
      <c r="H3851" s="400"/>
      <c r="I3851" s="239"/>
    </row>
    <row r="3852" spans="6:9" x14ac:dyDescent="0.35">
      <c r="F3852" s="33"/>
      <c r="G3852" s="70"/>
      <c r="H3852" s="400"/>
      <c r="I3852" s="239"/>
    </row>
    <row r="3853" spans="6:9" x14ac:dyDescent="0.35">
      <c r="F3853" s="33"/>
      <c r="G3853" s="70"/>
      <c r="H3853" s="400"/>
      <c r="I3853" s="239"/>
    </row>
    <row r="3854" spans="6:9" x14ac:dyDescent="0.35">
      <c r="F3854" s="33"/>
      <c r="G3854" s="70"/>
      <c r="H3854" s="400"/>
      <c r="I3854" s="239"/>
    </row>
    <row r="3855" spans="6:9" x14ac:dyDescent="0.35">
      <c r="F3855" s="33"/>
      <c r="G3855" s="70"/>
      <c r="H3855" s="400"/>
      <c r="I3855" s="239"/>
    </row>
    <row r="3856" spans="6:9" x14ac:dyDescent="0.35">
      <c r="F3856" s="33"/>
      <c r="G3856" s="70"/>
      <c r="H3856" s="400"/>
      <c r="I3856" s="239"/>
    </row>
    <row r="3857" spans="6:9" x14ac:dyDescent="0.35">
      <c r="F3857" s="33"/>
      <c r="G3857" s="70"/>
      <c r="H3857" s="400"/>
      <c r="I3857" s="239"/>
    </row>
    <row r="3858" spans="6:9" x14ac:dyDescent="0.35">
      <c r="F3858" s="33"/>
      <c r="G3858" s="70"/>
      <c r="H3858" s="400"/>
      <c r="I3858" s="239"/>
    </row>
    <row r="3859" spans="6:9" x14ac:dyDescent="0.35">
      <c r="F3859" s="33"/>
      <c r="G3859" s="70"/>
      <c r="H3859" s="400"/>
      <c r="I3859" s="239"/>
    </row>
    <row r="3860" spans="6:9" x14ac:dyDescent="0.35">
      <c r="F3860" s="33"/>
      <c r="G3860" s="70"/>
      <c r="H3860" s="400"/>
      <c r="I3860" s="239"/>
    </row>
    <row r="3861" spans="6:9" x14ac:dyDescent="0.35">
      <c r="F3861" s="33"/>
      <c r="G3861" s="70"/>
      <c r="H3861" s="400"/>
      <c r="I3861" s="239"/>
    </row>
    <row r="3862" spans="6:9" x14ac:dyDescent="0.35">
      <c r="F3862" s="33"/>
      <c r="G3862" s="70"/>
      <c r="H3862" s="400"/>
      <c r="I3862" s="239"/>
    </row>
    <row r="3863" spans="6:9" x14ac:dyDescent="0.35">
      <c r="F3863" s="33"/>
      <c r="G3863" s="70"/>
      <c r="H3863" s="400"/>
      <c r="I3863" s="239"/>
    </row>
    <row r="3864" spans="6:9" x14ac:dyDescent="0.35">
      <c r="F3864" s="33"/>
      <c r="G3864" s="70"/>
      <c r="H3864" s="400"/>
      <c r="I3864" s="239"/>
    </row>
    <row r="3865" spans="6:9" x14ac:dyDescent="0.35">
      <c r="F3865" s="33"/>
      <c r="G3865" s="70"/>
      <c r="H3865" s="400"/>
      <c r="I3865" s="239"/>
    </row>
    <row r="3866" spans="6:9" x14ac:dyDescent="0.35">
      <c r="F3866" s="33"/>
      <c r="G3866" s="70"/>
      <c r="H3866" s="400"/>
      <c r="I3866" s="239"/>
    </row>
    <row r="3867" spans="6:9" x14ac:dyDescent="0.35">
      <c r="F3867" s="33"/>
      <c r="G3867" s="70"/>
      <c r="H3867" s="400"/>
      <c r="I3867" s="239"/>
    </row>
    <row r="3868" spans="6:9" x14ac:dyDescent="0.35">
      <c r="F3868" s="33"/>
      <c r="G3868" s="70"/>
      <c r="H3868" s="400"/>
      <c r="I3868" s="239"/>
    </row>
    <row r="3869" spans="6:9" x14ac:dyDescent="0.35">
      <c r="F3869" s="33"/>
      <c r="G3869" s="70"/>
      <c r="H3869" s="400"/>
      <c r="I3869" s="239"/>
    </row>
    <row r="3870" spans="6:9" x14ac:dyDescent="0.35">
      <c r="F3870" s="33"/>
      <c r="G3870" s="70"/>
      <c r="H3870" s="400"/>
      <c r="I3870" s="239"/>
    </row>
    <row r="3871" spans="6:9" x14ac:dyDescent="0.35">
      <c r="F3871" s="33"/>
      <c r="G3871" s="70"/>
      <c r="H3871" s="400"/>
      <c r="I3871" s="239"/>
    </row>
    <row r="3872" spans="6:9" x14ac:dyDescent="0.35">
      <c r="F3872" s="33"/>
      <c r="G3872" s="70"/>
      <c r="H3872" s="400"/>
      <c r="I3872" s="239"/>
    </row>
    <row r="3873" spans="6:9" x14ac:dyDescent="0.35">
      <c r="F3873" s="33"/>
      <c r="G3873" s="70"/>
      <c r="H3873" s="400"/>
      <c r="I3873" s="239"/>
    </row>
    <row r="3874" spans="6:9" x14ac:dyDescent="0.35">
      <c r="F3874" s="33"/>
      <c r="G3874" s="70"/>
      <c r="H3874" s="400"/>
      <c r="I3874" s="239"/>
    </row>
    <row r="3875" spans="6:9" x14ac:dyDescent="0.35">
      <c r="F3875" s="33"/>
      <c r="G3875" s="70"/>
      <c r="H3875" s="400"/>
      <c r="I3875" s="239"/>
    </row>
    <row r="3876" spans="6:9" x14ac:dyDescent="0.35">
      <c r="F3876" s="33"/>
      <c r="G3876" s="70"/>
      <c r="H3876" s="400"/>
      <c r="I3876" s="239"/>
    </row>
    <row r="3877" spans="6:9" x14ac:dyDescent="0.35">
      <c r="F3877" s="33"/>
      <c r="G3877" s="70"/>
      <c r="H3877" s="400"/>
      <c r="I3877" s="239"/>
    </row>
    <row r="3878" spans="6:9" x14ac:dyDescent="0.35">
      <c r="F3878" s="33"/>
      <c r="G3878" s="70"/>
      <c r="H3878" s="400"/>
      <c r="I3878" s="239"/>
    </row>
    <row r="3879" spans="6:9" x14ac:dyDescent="0.35">
      <c r="F3879" s="33"/>
      <c r="G3879" s="70"/>
      <c r="H3879" s="400"/>
      <c r="I3879" s="239"/>
    </row>
    <row r="3880" spans="6:9" x14ac:dyDescent="0.35">
      <c r="F3880" s="33"/>
      <c r="G3880" s="70"/>
      <c r="H3880" s="400"/>
      <c r="I3880" s="239"/>
    </row>
    <row r="3881" spans="6:9" x14ac:dyDescent="0.35">
      <c r="F3881" s="33"/>
      <c r="G3881" s="70"/>
      <c r="H3881" s="400"/>
      <c r="I3881" s="239"/>
    </row>
    <row r="3882" spans="6:9" x14ac:dyDescent="0.35">
      <c r="F3882" s="33"/>
      <c r="G3882" s="70"/>
      <c r="H3882" s="400"/>
      <c r="I3882" s="239"/>
    </row>
    <row r="3883" spans="6:9" x14ac:dyDescent="0.35">
      <c r="F3883" s="33"/>
      <c r="G3883" s="70"/>
      <c r="H3883" s="400"/>
      <c r="I3883" s="239"/>
    </row>
    <row r="3884" spans="6:9" x14ac:dyDescent="0.35">
      <c r="F3884" s="33"/>
      <c r="G3884" s="70"/>
      <c r="H3884" s="400"/>
      <c r="I3884" s="239"/>
    </row>
    <row r="3885" spans="6:9" x14ac:dyDescent="0.35">
      <c r="F3885" s="33"/>
      <c r="G3885" s="70"/>
      <c r="H3885" s="400"/>
      <c r="I3885" s="239"/>
    </row>
    <row r="3886" spans="6:9" x14ac:dyDescent="0.35">
      <c r="F3886" s="33"/>
      <c r="G3886" s="70"/>
      <c r="H3886" s="400"/>
      <c r="I3886" s="239"/>
    </row>
    <row r="3887" spans="6:9" x14ac:dyDescent="0.35">
      <c r="F3887" s="33"/>
      <c r="G3887" s="70"/>
      <c r="H3887" s="400"/>
      <c r="I3887" s="239"/>
    </row>
    <row r="3888" spans="6:9" x14ac:dyDescent="0.35">
      <c r="F3888" s="33"/>
      <c r="G3888" s="70"/>
      <c r="H3888" s="400"/>
      <c r="I3888" s="239"/>
    </row>
    <row r="3889" spans="6:9" x14ac:dyDescent="0.35">
      <c r="F3889" s="33"/>
      <c r="G3889" s="70"/>
      <c r="H3889" s="400"/>
      <c r="I3889" s="239"/>
    </row>
    <row r="3890" spans="6:9" x14ac:dyDescent="0.35">
      <c r="F3890" s="33"/>
      <c r="G3890" s="70"/>
      <c r="H3890" s="400"/>
      <c r="I3890" s="239"/>
    </row>
    <row r="3891" spans="6:9" x14ac:dyDescent="0.35">
      <c r="F3891" s="33"/>
      <c r="G3891" s="70"/>
      <c r="H3891" s="400"/>
      <c r="I3891" s="239"/>
    </row>
    <row r="3892" spans="6:9" x14ac:dyDescent="0.35">
      <c r="F3892" s="33"/>
      <c r="G3892" s="70"/>
      <c r="H3892" s="400"/>
      <c r="I3892" s="239"/>
    </row>
    <row r="3893" spans="6:9" x14ac:dyDescent="0.35">
      <c r="F3893" s="33"/>
      <c r="G3893" s="70"/>
      <c r="H3893" s="400"/>
      <c r="I3893" s="239"/>
    </row>
    <row r="3894" spans="6:9" x14ac:dyDescent="0.35">
      <c r="F3894" s="33"/>
      <c r="G3894" s="70"/>
      <c r="H3894" s="400"/>
      <c r="I3894" s="239"/>
    </row>
    <row r="3895" spans="6:9" x14ac:dyDescent="0.35">
      <c r="F3895" s="33"/>
      <c r="G3895" s="70"/>
      <c r="H3895" s="400"/>
      <c r="I3895" s="239"/>
    </row>
    <row r="3896" spans="6:9" x14ac:dyDescent="0.35">
      <c r="F3896" s="33"/>
      <c r="G3896" s="70"/>
      <c r="H3896" s="400"/>
      <c r="I3896" s="239"/>
    </row>
    <row r="3897" spans="6:9" x14ac:dyDescent="0.35">
      <c r="F3897" s="33"/>
      <c r="G3897" s="70"/>
      <c r="H3897" s="400"/>
      <c r="I3897" s="239"/>
    </row>
    <row r="3898" spans="6:9" x14ac:dyDescent="0.35">
      <c r="F3898" s="33"/>
      <c r="G3898" s="70"/>
      <c r="H3898" s="400"/>
      <c r="I3898" s="239"/>
    </row>
    <row r="3899" spans="6:9" x14ac:dyDescent="0.35">
      <c r="F3899" s="33"/>
      <c r="G3899" s="70"/>
      <c r="H3899" s="400"/>
      <c r="I3899" s="239"/>
    </row>
    <row r="3900" spans="6:9" x14ac:dyDescent="0.35">
      <c r="F3900" s="33"/>
      <c r="G3900" s="70"/>
      <c r="H3900" s="400"/>
      <c r="I3900" s="239"/>
    </row>
    <row r="3901" spans="6:9" x14ac:dyDescent="0.35">
      <c r="F3901" s="33"/>
      <c r="G3901" s="70"/>
      <c r="H3901" s="400"/>
      <c r="I3901" s="239"/>
    </row>
    <row r="3902" spans="6:9" x14ac:dyDescent="0.35">
      <c r="F3902" s="33"/>
      <c r="G3902" s="70"/>
      <c r="H3902" s="400"/>
      <c r="I3902" s="239"/>
    </row>
    <row r="3903" spans="6:9" x14ac:dyDescent="0.35">
      <c r="F3903" s="33"/>
      <c r="G3903" s="70"/>
      <c r="H3903" s="400"/>
      <c r="I3903" s="239"/>
    </row>
    <row r="3904" spans="6:9" x14ac:dyDescent="0.35">
      <c r="F3904" s="33"/>
      <c r="G3904" s="70"/>
      <c r="H3904" s="400"/>
      <c r="I3904" s="239"/>
    </row>
    <row r="3905" spans="6:9" x14ac:dyDescent="0.35">
      <c r="F3905" s="33"/>
      <c r="G3905" s="70"/>
      <c r="H3905" s="400"/>
      <c r="I3905" s="239"/>
    </row>
    <row r="3906" spans="6:9" x14ac:dyDescent="0.35">
      <c r="F3906" s="33"/>
      <c r="G3906" s="70"/>
      <c r="H3906" s="400"/>
      <c r="I3906" s="239"/>
    </row>
    <row r="3907" spans="6:9" x14ac:dyDescent="0.35">
      <c r="F3907" s="33"/>
      <c r="G3907" s="70"/>
      <c r="H3907" s="400"/>
      <c r="I3907" s="239"/>
    </row>
    <row r="3908" spans="6:9" x14ac:dyDescent="0.35">
      <c r="F3908" s="33"/>
      <c r="G3908" s="70"/>
      <c r="H3908" s="400"/>
      <c r="I3908" s="239"/>
    </row>
    <row r="3909" spans="6:9" x14ac:dyDescent="0.35">
      <c r="F3909" s="33"/>
      <c r="G3909" s="70"/>
      <c r="H3909" s="400"/>
      <c r="I3909" s="239"/>
    </row>
    <row r="3910" spans="6:9" x14ac:dyDescent="0.35">
      <c r="F3910" s="33"/>
      <c r="G3910" s="70"/>
      <c r="H3910" s="400"/>
      <c r="I3910" s="239"/>
    </row>
    <row r="3911" spans="6:9" x14ac:dyDescent="0.35">
      <c r="F3911" s="33"/>
      <c r="G3911" s="70"/>
      <c r="H3911" s="400"/>
      <c r="I3911" s="239"/>
    </row>
    <row r="3912" spans="6:9" x14ac:dyDescent="0.35">
      <c r="F3912" s="33"/>
      <c r="G3912" s="70"/>
      <c r="H3912" s="400"/>
      <c r="I3912" s="239"/>
    </row>
    <row r="3913" spans="6:9" x14ac:dyDescent="0.35">
      <c r="F3913" s="33"/>
      <c r="G3913" s="70"/>
      <c r="H3913" s="400"/>
      <c r="I3913" s="239"/>
    </row>
    <row r="3914" spans="6:9" x14ac:dyDescent="0.35">
      <c r="F3914" s="33"/>
      <c r="G3914" s="70"/>
      <c r="H3914" s="400"/>
      <c r="I3914" s="239"/>
    </row>
    <row r="3915" spans="6:9" x14ac:dyDescent="0.35">
      <c r="F3915" s="33"/>
      <c r="G3915" s="70"/>
      <c r="H3915" s="400"/>
      <c r="I3915" s="239"/>
    </row>
    <row r="3916" spans="6:9" x14ac:dyDescent="0.35">
      <c r="F3916" s="33"/>
      <c r="G3916" s="70"/>
      <c r="H3916" s="400"/>
      <c r="I3916" s="239"/>
    </row>
    <row r="3917" spans="6:9" x14ac:dyDescent="0.35">
      <c r="F3917" s="33"/>
      <c r="G3917" s="70"/>
      <c r="H3917" s="400"/>
      <c r="I3917" s="239"/>
    </row>
    <row r="3918" spans="6:9" x14ac:dyDescent="0.35">
      <c r="F3918" s="33"/>
      <c r="G3918" s="70"/>
      <c r="H3918" s="400"/>
      <c r="I3918" s="239"/>
    </row>
    <row r="3919" spans="6:9" x14ac:dyDescent="0.35">
      <c r="F3919" s="33"/>
      <c r="G3919" s="70"/>
      <c r="H3919" s="400"/>
      <c r="I3919" s="239"/>
    </row>
    <row r="3920" spans="6:9" x14ac:dyDescent="0.35">
      <c r="F3920" s="33"/>
      <c r="G3920" s="70"/>
      <c r="H3920" s="400"/>
      <c r="I3920" s="239"/>
    </row>
    <row r="3921" spans="6:9" x14ac:dyDescent="0.35">
      <c r="F3921" s="33"/>
      <c r="G3921" s="70"/>
      <c r="H3921" s="400"/>
      <c r="I3921" s="239"/>
    </row>
    <row r="3922" spans="6:9" x14ac:dyDescent="0.35">
      <c r="F3922" s="33"/>
      <c r="G3922" s="70"/>
      <c r="H3922" s="400"/>
      <c r="I3922" s="239"/>
    </row>
    <row r="3923" spans="6:9" x14ac:dyDescent="0.35">
      <c r="F3923" s="33"/>
      <c r="G3923" s="70"/>
      <c r="H3923" s="400"/>
      <c r="I3923" s="239"/>
    </row>
    <row r="3924" spans="6:9" x14ac:dyDescent="0.35">
      <c r="F3924" s="33"/>
      <c r="G3924" s="70"/>
      <c r="H3924" s="400"/>
      <c r="I3924" s="239"/>
    </row>
    <row r="3925" spans="6:9" x14ac:dyDescent="0.35">
      <c r="F3925" s="33"/>
      <c r="G3925" s="70"/>
      <c r="H3925" s="400"/>
      <c r="I3925" s="239"/>
    </row>
    <row r="3926" spans="6:9" x14ac:dyDescent="0.35">
      <c r="F3926" s="33"/>
      <c r="G3926" s="70"/>
      <c r="H3926" s="400"/>
      <c r="I3926" s="239"/>
    </row>
    <row r="3927" spans="6:9" x14ac:dyDescent="0.35">
      <c r="F3927" s="33"/>
      <c r="G3927" s="70"/>
      <c r="H3927" s="400"/>
      <c r="I3927" s="239"/>
    </row>
    <row r="3928" spans="6:9" x14ac:dyDescent="0.35">
      <c r="F3928" s="33"/>
      <c r="G3928" s="70"/>
      <c r="H3928" s="400"/>
      <c r="I3928" s="239"/>
    </row>
    <row r="3929" spans="6:9" x14ac:dyDescent="0.35">
      <c r="F3929" s="33"/>
      <c r="G3929" s="70"/>
      <c r="H3929" s="400"/>
      <c r="I3929" s="239"/>
    </row>
    <row r="3930" spans="6:9" x14ac:dyDescent="0.35">
      <c r="F3930" s="33"/>
      <c r="G3930" s="70"/>
      <c r="H3930" s="400"/>
      <c r="I3930" s="239"/>
    </row>
    <row r="3931" spans="6:9" x14ac:dyDescent="0.35">
      <c r="F3931" s="33"/>
      <c r="G3931" s="70"/>
      <c r="H3931" s="400"/>
      <c r="I3931" s="239"/>
    </row>
    <row r="3932" spans="6:9" x14ac:dyDescent="0.35">
      <c r="F3932" s="33"/>
      <c r="G3932" s="70"/>
      <c r="H3932" s="400"/>
      <c r="I3932" s="239"/>
    </row>
    <row r="3933" spans="6:9" x14ac:dyDescent="0.35">
      <c r="F3933" s="33"/>
      <c r="G3933" s="70"/>
      <c r="H3933" s="400"/>
      <c r="I3933" s="239"/>
    </row>
    <row r="3934" spans="6:9" x14ac:dyDescent="0.35">
      <c r="F3934" s="33"/>
      <c r="G3934" s="70"/>
      <c r="H3934" s="400"/>
      <c r="I3934" s="239"/>
    </row>
    <row r="3935" spans="6:9" x14ac:dyDescent="0.35">
      <c r="F3935" s="33"/>
      <c r="G3935" s="70"/>
      <c r="H3935" s="400"/>
      <c r="I3935" s="239"/>
    </row>
    <row r="3936" spans="6:9" x14ac:dyDescent="0.35">
      <c r="F3936" s="33"/>
      <c r="G3936" s="70"/>
      <c r="H3936" s="400"/>
      <c r="I3936" s="239"/>
    </row>
    <row r="3937" spans="6:9" x14ac:dyDescent="0.35">
      <c r="F3937" s="33"/>
      <c r="G3937" s="70"/>
      <c r="H3937" s="400"/>
      <c r="I3937" s="239"/>
    </row>
    <row r="3938" spans="6:9" x14ac:dyDescent="0.35">
      <c r="F3938" s="33"/>
      <c r="G3938" s="70"/>
      <c r="H3938" s="400"/>
      <c r="I3938" s="239"/>
    </row>
    <row r="3939" spans="6:9" x14ac:dyDescent="0.35">
      <c r="F3939" s="33"/>
      <c r="G3939" s="70"/>
      <c r="H3939" s="400"/>
      <c r="I3939" s="239"/>
    </row>
    <row r="3940" spans="6:9" x14ac:dyDescent="0.35">
      <c r="F3940" s="33"/>
      <c r="G3940" s="70"/>
      <c r="H3940" s="400"/>
      <c r="I3940" s="239"/>
    </row>
    <row r="3941" spans="6:9" x14ac:dyDescent="0.35">
      <c r="F3941" s="33"/>
      <c r="G3941" s="70"/>
      <c r="H3941" s="400"/>
      <c r="I3941" s="239"/>
    </row>
    <row r="3942" spans="6:9" x14ac:dyDescent="0.35">
      <c r="F3942" s="33"/>
      <c r="G3942" s="70"/>
      <c r="H3942" s="400"/>
      <c r="I3942" s="239"/>
    </row>
    <row r="3943" spans="6:9" x14ac:dyDescent="0.35">
      <c r="F3943" s="33"/>
      <c r="G3943" s="70"/>
      <c r="H3943" s="400"/>
      <c r="I3943" s="239"/>
    </row>
    <row r="3944" spans="6:9" x14ac:dyDescent="0.35">
      <c r="F3944" s="33"/>
      <c r="G3944" s="70"/>
      <c r="H3944" s="400"/>
      <c r="I3944" s="239"/>
    </row>
    <row r="3945" spans="6:9" x14ac:dyDescent="0.35">
      <c r="F3945" s="33"/>
      <c r="G3945" s="70"/>
      <c r="H3945" s="400"/>
      <c r="I3945" s="239"/>
    </row>
    <row r="3946" spans="6:9" x14ac:dyDescent="0.35">
      <c r="F3946" s="33"/>
      <c r="G3946" s="70"/>
      <c r="H3946" s="400"/>
      <c r="I3946" s="239"/>
    </row>
    <row r="3947" spans="6:9" x14ac:dyDescent="0.35">
      <c r="F3947" s="33"/>
      <c r="G3947" s="70"/>
      <c r="H3947" s="400"/>
      <c r="I3947" s="239"/>
    </row>
    <row r="3948" spans="6:9" x14ac:dyDescent="0.35">
      <c r="F3948" s="33"/>
      <c r="G3948" s="70"/>
      <c r="H3948" s="400"/>
      <c r="I3948" s="239"/>
    </row>
    <row r="3949" spans="6:9" x14ac:dyDescent="0.35">
      <c r="F3949" s="33"/>
      <c r="G3949" s="70"/>
      <c r="H3949" s="400"/>
      <c r="I3949" s="239"/>
    </row>
    <row r="3950" spans="6:9" x14ac:dyDescent="0.35">
      <c r="F3950" s="33"/>
      <c r="G3950" s="70"/>
      <c r="H3950" s="400"/>
      <c r="I3950" s="239"/>
    </row>
    <row r="3951" spans="6:9" x14ac:dyDescent="0.35">
      <c r="F3951" s="33"/>
      <c r="G3951" s="70"/>
      <c r="H3951" s="400"/>
      <c r="I3951" s="239"/>
    </row>
    <row r="3952" spans="6:9" x14ac:dyDescent="0.35">
      <c r="F3952" s="33"/>
      <c r="G3952" s="70"/>
      <c r="H3952" s="400"/>
      <c r="I3952" s="239"/>
    </row>
    <row r="3953" spans="6:9" x14ac:dyDescent="0.35">
      <c r="F3953" s="33"/>
      <c r="G3953" s="70"/>
      <c r="H3953" s="400"/>
      <c r="I3953" s="239"/>
    </row>
    <row r="3954" spans="6:9" x14ac:dyDescent="0.35">
      <c r="F3954" s="33"/>
      <c r="G3954" s="70"/>
      <c r="H3954" s="400"/>
      <c r="I3954" s="239"/>
    </row>
    <row r="3955" spans="6:9" x14ac:dyDescent="0.35">
      <c r="F3955" s="33"/>
      <c r="G3955" s="70"/>
      <c r="H3955" s="400"/>
      <c r="I3955" s="239"/>
    </row>
    <row r="3956" spans="6:9" x14ac:dyDescent="0.35">
      <c r="F3956" s="33"/>
      <c r="G3956" s="70"/>
      <c r="H3956" s="400"/>
      <c r="I3956" s="239"/>
    </row>
    <row r="3957" spans="6:9" x14ac:dyDescent="0.35">
      <c r="F3957" s="33"/>
      <c r="G3957" s="70"/>
      <c r="H3957" s="400"/>
      <c r="I3957" s="239"/>
    </row>
    <row r="3958" spans="6:9" x14ac:dyDescent="0.35">
      <c r="F3958" s="33"/>
      <c r="G3958" s="70"/>
      <c r="H3958" s="400"/>
      <c r="I3958" s="239"/>
    </row>
    <row r="3959" spans="6:9" x14ac:dyDescent="0.35">
      <c r="F3959" s="33"/>
      <c r="G3959" s="70"/>
      <c r="H3959" s="400"/>
      <c r="I3959" s="239"/>
    </row>
    <row r="3960" spans="6:9" x14ac:dyDescent="0.35">
      <c r="F3960" s="33"/>
      <c r="G3960" s="70"/>
      <c r="H3960" s="400"/>
      <c r="I3960" s="239"/>
    </row>
    <row r="3961" spans="6:9" x14ac:dyDescent="0.35">
      <c r="F3961" s="33"/>
      <c r="G3961" s="70"/>
      <c r="H3961" s="400"/>
      <c r="I3961" s="239"/>
    </row>
    <row r="3962" spans="6:9" x14ac:dyDescent="0.35">
      <c r="F3962" s="33"/>
      <c r="G3962" s="70"/>
      <c r="H3962" s="400"/>
      <c r="I3962" s="239"/>
    </row>
    <row r="3963" spans="6:9" x14ac:dyDescent="0.35">
      <c r="F3963" s="33"/>
      <c r="G3963" s="70"/>
      <c r="H3963" s="400"/>
      <c r="I3963" s="239"/>
    </row>
    <row r="3964" spans="6:9" x14ac:dyDescent="0.35">
      <c r="F3964" s="33"/>
      <c r="G3964" s="70"/>
      <c r="H3964" s="400"/>
      <c r="I3964" s="239"/>
    </row>
    <row r="3965" spans="6:9" x14ac:dyDescent="0.35">
      <c r="F3965" s="33"/>
      <c r="G3965" s="70"/>
      <c r="H3965" s="400"/>
      <c r="I3965" s="239"/>
    </row>
    <row r="3966" spans="6:9" x14ac:dyDescent="0.35">
      <c r="F3966" s="33"/>
      <c r="G3966" s="70"/>
      <c r="H3966" s="400"/>
      <c r="I3966" s="239"/>
    </row>
    <row r="3967" spans="6:9" x14ac:dyDescent="0.35">
      <c r="F3967" s="33"/>
      <c r="G3967" s="70"/>
      <c r="H3967" s="400"/>
      <c r="I3967" s="239"/>
    </row>
    <row r="3968" spans="6:9" x14ac:dyDescent="0.35">
      <c r="F3968" s="33"/>
      <c r="G3968" s="70"/>
      <c r="H3968" s="400"/>
      <c r="I3968" s="239"/>
    </row>
    <row r="3969" spans="6:9" x14ac:dyDescent="0.35">
      <c r="F3969" s="33"/>
      <c r="G3969" s="70"/>
      <c r="H3969" s="400"/>
      <c r="I3969" s="239"/>
    </row>
    <row r="3970" spans="6:9" x14ac:dyDescent="0.35">
      <c r="F3970" s="33"/>
      <c r="G3970" s="70"/>
      <c r="H3970" s="400"/>
      <c r="I3970" s="239"/>
    </row>
    <row r="3971" spans="6:9" x14ac:dyDescent="0.35">
      <c r="F3971" s="33"/>
      <c r="G3971" s="70"/>
      <c r="H3971" s="400"/>
      <c r="I3971" s="239"/>
    </row>
    <row r="3972" spans="6:9" x14ac:dyDescent="0.35">
      <c r="F3972" s="33"/>
      <c r="G3972" s="70"/>
      <c r="H3972" s="400"/>
      <c r="I3972" s="239"/>
    </row>
    <row r="3973" spans="6:9" x14ac:dyDescent="0.35">
      <c r="F3973" s="33"/>
      <c r="G3973" s="70"/>
      <c r="H3973" s="400"/>
      <c r="I3973" s="239"/>
    </row>
    <row r="3974" spans="6:9" x14ac:dyDescent="0.35">
      <c r="F3974" s="33"/>
      <c r="G3974" s="70"/>
      <c r="H3974" s="400"/>
      <c r="I3974" s="239"/>
    </row>
    <row r="3975" spans="6:9" x14ac:dyDescent="0.35">
      <c r="F3975" s="33"/>
      <c r="G3975" s="70"/>
      <c r="H3975" s="400"/>
      <c r="I3975" s="239"/>
    </row>
    <row r="3976" spans="6:9" x14ac:dyDescent="0.35">
      <c r="F3976" s="33"/>
      <c r="G3976" s="70"/>
      <c r="H3976" s="400"/>
      <c r="I3976" s="239"/>
    </row>
    <row r="3977" spans="6:9" x14ac:dyDescent="0.35">
      <c r="F3977" s="33"/>
      <c r="G3977" s="70"/>
      <c r="H3977" s="400"/>
      <c r="I3977" s="239"/>
    </row>
    <row r="3978" spans="6:9" x14ac:dyDescent="0.35">
      <c r="F3978" s="33"/>
      <c r="G3978" s="70"/>
      <c r="H3978" s="400"/>
      <c r="I3978" s="239"/>
    </row>
    <row r="3979" spans="6:9" x14ac:dyDescent="0.35">
      <c r="F3979" s="33"/>
      <c r="G3979" s="70"/>
      <c r="H3979" s="400"/>
      <c r="I3979" s="239"/>
    </row>
    <row r="3980" spans="6:9" x14ac:dyDescent="0.35">
      <c r="F3980" s="33"/>
      <c r="G3980" s="70"/>
      <c r="H3980" s="400"/>
      <c r="I3980" s="239"/>
    </row>
    <row r="3981" spans="6:9" x14ac:dyDescent="0.35">
      <c r="F3981" s="33"/>
      <c r="G3981" s="70"/>
      <c r="H3981" s="400"/>
      <c r="I3981" s="239"/>
    </row>
    <row r="3982" spans="6:9" x14ac:dyDescent="0.35">
      <c r="F3982" s="33"/>
      <c r="G3982" s="70"/>
      <c r="H3982" s="400"/>
      <c r="I3982" s="239"/>
    </row>
    <row r="3983" spans="6:9" x14ac:dyDescent="0.35">
      <c r="F3983" s="33"/>
      <c r="G3983" s="70"/>
      <c r="H3983" s="400"/>
      <c r="I3983" s="239"/>
    </row>
    <row r="3984" spans="6:9" x14ac:dyDescent="0.35">
      <c r="F3984" s="33"/>
      <c r="G3984" s="70"/>
      <c r="H3984" s="400"/>
      <c r="I3984" s="239"/>
    </row>
    <row r="3985" spans="6:9" x14ac:dyDescent="0.35">
      <c r="F3985" s="33"/>
      <c r="G3985" s="70"/>
      <c r="H3985" s="400"/>
      <c r="I3985" s="239"/>
    </row>
    <row r="3986" spans="6:9" x14ac:dyDescent="0.35">
      <c r="F3986" s="33"/>
      <c r="G3986" s="70"/>
      <c r="H3986" s="400"/>
      <c r="I3986" s="239"/>
    </row>
    <row r="3987" spans="6:9" x14ac:dyDescent="0.35">
      <c r="F3987" s="33"/>
      <c r="G3987" s="70"/>
      <c r="H3987" s="400"/>
      <c r="I3987" s="239"/>
    </row>
    <row r="3988" spans="6:9" x14ac:dyDescent="0.35">
      <c r="F3988" s="33"/>
      <c r="G3988" s="70"/>
      <c r="H3988" s="400"/>
      <c r="I3988" s="239"/>
    </row>
    <row r="3989" spans="6:9" x14ac:dyDescent="0.35">
      <c r="F3989" s="33"/>
      <c r="G3989" s="70"/>
      <c r="H3989" s="400"/>
      <c r="I3989" s="239"/>
    </row>
    <row r="3990" spans="6:9" x14ac:dyDescent="0.35">
      <c r="F3990" s="33"/>
      <c r="G3990" s="70"/>
      <c r="H3990" s="400"/>
      <c r="I3990" s="239"/>
    </row>
    <row r="3991" spans="6:9" x14ac:dyDescent="0.35">
      <c r="F3991" s="33"/>
      <c r="G3991" s="70"/>
      <c r="H3991" s="400"/>
      <c r="I3991" s="239"/>
    </row>
    <row r="3992" spans="6:9" x14ac:dyDescent="0.35">
      <c r="F3992" s="33"/>
      <c r="G3992" s="70"/>
      <c r="H3992" s="400"/>
      <c r="I3992" s="239"/>
    </row>
    <row r="3993" spans="6:9" x14ac:dyDescent="0.35">
      <c r="F3993" s="33"/>
      <c r="G3993" s="70"/>
      <c r="H3993" s="400"/>
      <c r="I3993" s="239"/>
    </row>
    <row r="3994" spans="6:9" x14ac:dyDescent="0.35">
      <c r="F3994" s="33"/>
      <c r="G3994" s="70"/>
      <c r="H3994" s="400"/>
      <c r="I3994" s="239"/>
    </row>
    <row r="3995" spans="6:9" x14ac:dyDescent="0.35">
      <c r="F3995" s="33"/>
      <c r="G3995" s="70"/>
      <c r="H3995" s="400"/>
      <c r="I3995" s="239"/>
    </row>
    <row r="3996" spans="6:9" x14ac:dyDescent="0.35">
      <c r="F3996" s="33"/>
      <c r="G3996" s="70"/>
      <c r="H3996" s="400"/>
      <c r="I3996" s="239"/>
    </row>
    <row r="3997" spans="6:9" x14ac:dyDescent="0.35">
      <c r="F3997" s="33"/>
      <c r="G3997" s="70"/>
      <c r="H3997" s="400"/>
      <c r="I3997" s="239"/>
    </row>
    <row r="3998" spans="6:9" x14ac:dyDescent="0.35">
      <c r="F3998" s="33"/>
      <c r="G3998" s="70"/>
      <c r="H3998" s="400"/>
      <c r="I3998" s="239"/>
    </row>
    <row r="3999" spans="6:9" x14ac:dyDescent="0.35">
      <c r="F3999" s="33"/>
      <c r="G3999" s="70"/>
      <c r="H3999" s="400"/>
      <c r="I3999" s="239"/>
    </row>
    <row r="4000" spans="6:9" x14ac:dyDescent="0.35">
      <c r="F4000" s="33"/>
      <c r="G4000" s="70"/>
      <c r="H4000" s="400"/>
      <c r="I4000" s="239"/>
    </row>
    <row r="4001" spans="6:9" x14ac:dyDescent="0.35">
      <c r="F4001" s="33"/>
      <c r="G4001" s="70"/>
      <c r="H4001" s="400"/>
      <c r="I4001" s="239"/>
    </row>
    <row r="4002" spans="6:9" x14ac:dyDescent="0.35">
      <c r="F4002" s="33"/>
      <c r="G4002" s="70"/>
      <c r="H4002" s="400"/>
      <c r="I4002" s="239"/>
    </row>
    <row r="4003" spans="6:9" x14ac:dyDescent="0.35">
      <c r="F4003" s="33"/>
      <c r="G4003" s="70"/>
      <c r="H4003" s="400"/>
      <c r="I4003" s="239"/>
    </row>
    <row r="4004" spans="6:9" x14ac:dyDescent="0.35">
      <c r="F4004" s="33"/>
      <c r="G4004" s="70"/>
      <c r="H4004" s="400"/>
      <c r="I4004" s="239"/>
    </row>
    <row r="4005" spans="6:9" x14ac:dyDescent="0.35">
      <c r="F4005" s="33"/>
      <c r="G4005" s="70"/>
      <c r="H4005" s="400"/>
      <c r="I4005" s="239"/>
    </row>
    <row r="4006" spans="6:9" x14ac:dyDescent="0.35">
      <c r="F4006" s="33"/>
      <c r="G4006" s="70"/>
      <c r="H4006" s="400"/>
      <c r="I4006" s="239"/>
    </row>
    <row r="4007" spans="6:9" x14ac:dyDescent="0.35">
      <c r="F4007" s="33"/>
      <c r="G4007" s="70"/>
      <c r="H4007" s="400"/>
      <c r="I4007" s="239"/>
    </row>
    <row r="4008" spans="6:9" x14ac:dyDescent="0.35">
      <c r="F4008" s="33"/>
      <c r="G4008" s="70"/>
      <c r="H4008" s="400"/>
      <c r="I4008" s="239"/>
    </row>
    <row r="4009" spans="6:9" x14ac:dyDescent="0.35">
      <c r="F4009" s="33"/>
      <c r="G4009" s="70"/>
      <c r="H4009" s="400"/>
      <c r="I4009" s="239"/>
    </row>
    <row r="4010" spans="6:9" x14ac:dyDescent="0.35">
      <c r="F4010" s="33"/>
      <c r="G4010" s="70"/>
      <c r="H4010" s="400"/>
      <c r="I4010" s="239"/>
    </row>
    <row r="4011" spans="6:9" x14ac:dyDescent="0.35">
      <c r="F4011" s="33"/>
      <c r="G4011" s="70"/>
      <c r="H4011" s="400"/>
      <c r="I4011" s="239"/>
    </row>
    <row r="4012" spans="6:9" x14ac:dyDescent="0.35">
      <c r="F4012" s="33"/>
      <c r="G4012" s="70"/>
      <c r="H4012" s="400"/>
      <c r="I4012" s="239"/>
    </row>
    <row r="4013" spans="6:9" x14ac:dyDescent="0.35">
      <c r="F4013" s="33"/>
      <c r="G4013" s="70"/>
      <c r="H4013" s="400"/>
      <c r="I4013" s="239"/>
    </row>
    <row r="4014" spans="6:9" x14ac:dyDescent="0.35">
      <c r="F4014" s="33"/>
      <c r="G4014" s="70"/>
      <c r="H4014" s="400"/>
      <c r="I4014" s="239"/>
    </row>
    <row r="4015" spans="6:9" x14ac:dyDescent="0.35">
      <c r="F4015" s="33"/>
      <c r="G4015" s="70"/>
      <c r="H4015" s="400"/>
      <c r="I4015" s="239"/>
    </row>
    <row r="4016" spans="6:9" x14ac:dyDescent="0.35">
      <c r="F4016" s="33"/>
      <c r="G4016" s="70"/>
      <c r="H4016" s="400"/>
      <c r="I4016" s="239"/>
    </row>
    <row r="4017" spans="6:9" x14ac:dyDescent="0.35">
      <c r="F4017" s="33"/>
      <c r="G4017" s="70"/>
      <c r="H4017" s="400"/>
      <c r="I4017" s="239"/>
    </row>
    <row r="4018" spans="6:9" x14ac:dyDescent="0.35">
      <c r="F4018" s="33"/>
      <c r="G4018" s="70"/>
      <c r="H4018" s="400"/>
      <c r="I4018" s="239"/>
    </row>
    <row r="4019" spans="6:9" x14ac:dyDescent="0.35">
      <c r="F4019" s="33"/>
      <c r="G4019" s="70"/>
      <c r="H4019" s="400"/>
      <c r="I4019" s="239"/>
    </row>
    <row r="4020" spans="6:9" x14ac:dyDescent="0.35">
      <c r="F4020" s="33"/>
      <c r="G4020" s="70"/>
      <c r="H4020" s="400"/>
      <c r="I4020" s="239"/>
    </row>
    <row r="4021" spans="6:9" x14ac:dyDescent="0.35">
      <c r="F4021" s="33"/>
      <c r="G4021" s="70"/>
      <c r="H4021" s="400"/>
      <c r="I4021" s="239"/>
    </row>
    <row r="4022" spans="6:9" x14ac:dyDescent="0.35">
      <c r="F4022" s="33"/>
      <c r="G4022" s="70"/>
      <c r="H4022" s="400"/>
      <c r="I4022" s="239"/>
    </row>
    <row r="4023" spans="6:9" x14ac:dyDescent="0.35">
      <c r="F4023" s="33"/>
      <c r="G4023" s="70"/>
      <c r="H4023" s="400"/>
      <c r="I4023" s="239"/>
    </row>
    <row r="4024" spans="6:9" x14ac:dyDescent="0.35">
      <c r="F4024" s="33"/>
      <c r="G4024" s="70"/>
      <c r="H4024" s="400"/>
      <c r="I4024" s="239"/>
    </row>
    <row r="4025" spans="6:9" x14ac:dyDescent="0.35">
      <c r="F4025" s="33"/>
      <c r="G4025" s="70"/>
      <c r="H4025" s="400"/>
      <c r="I4025" s="239"/>
    </row>
    <row r="4026" spans="6:9" x14ac:dyDescent="0.35">
      <c r="F4026" s="33"/>
      <c r="G4026" s="70"/>
      <c r="H4026" s="400"/>
      <c r="I4026" s="239"/>
    </row>
    <row r="4027" spans="6:9" x14ac:dyDescent="0.35">
      <c r="F4027" s="33"/>
      <c r="G4027" s="70"/>
      <c r="H4027" s="400"/>
      <c r="I4027" s="239"/>
    </row>
    <row r="4028" spans="6:9" x14ac:dyDescent="0.35">
      <c r="F4028" s="33"/>
      <c r="G4028" s="70"/>
      <c r="H4028" s="400"/>
      <c r="I4028" s="239"/>
    </row>
    <row r="4029" spans="6:9" x14ac:dyDescent="0.35">
      <c r="F4029" s="33"/>
      <c r="G4029" s="70"/>
      <c r="H4029" s="400"/>
      <c r="I4029" s="239"/>
    </row>
    <row r="4030" spans="6:9" x14ac:dyDescent="0.35">
      <c r="F4030" s="33"/>
      <c r="G4030" s="70"/>
      <c r="H4030" s="400"/>
      <c r="I4030" s="239"/>
    </row>
    <row r="4031" spans="6:9" x14ac:dyDescent="0.35">
      <c r="F4031" s="33"/>
      <c r="G4031" s="70"/>
      <c r="H4031" s="400"/>
      <c r="I4031" s="239"/>
    </row>
    <row r="4032" spans="6:9" x14ac:dyDescent="0.35">
      <c r="F4032" s="33"/>
      <c r="G4032" s="70"/>
      <c r="H4032" s="400"/>
      <c r="I4032" s="239"/>
    </row>
    <row r="4033" spans="6:9" x14ac:dyDescent="0.35">
      <c r="F4033" s="33"/>
      <c r="G4033" s="70"/>
      <c r="H4033" s="400"/>
      <c r="I4033" s="239"/>
    </row>
    <row r="4034" spans="6:9" x14ac:dyDescent="0.35">
      <c r="F4034" s="33"/>
      <c r="G4034" s="70"/>
      <c r="H4034" s="400"/>
      <c r="I4034" s="239"/>
    </row>
    <row r="4035" spans="6:9" x14ac:dyDescent="0.35">
      <c r="F4035" s="33"/>
      <c r="G4035" s="70"/>
      <c r="H4035" s="400"/>
      <c r="I4035" s="239"/>
    </row>
    <row r="4036" spans="6:9" x14ac:dyDescent="0.35">
      <c r="F4036" s="33"/>
      <c r="G4036" s="70"/>
      <c r="H4036" s="400"/>
      <c r="I4036" s="239"/>
    </row>
    <row r="4037" spans="6:9" x14ac:dyDescent="0.35">
      <c r="F4037" s="33"/>
      <c r="G4037" s="70"/>
      <c r="H4037" s="400"/>
      <c r="I4037" s="239"/>
    </row>
    <row r="4038" spans="6:9" x14ac:dyDescent="0.35">
      <c r="F4038" s="33"/>
      <c r="G4038" s="70"/>
      <c r="H4038" s="400"/>
      <c r="I4038" s="239"/>
    </row>
    <row r="4039" spans="6:9" x14ac:dyDescent="0.35">
      <c r="F4039" s="33"/>
      <c r="G4039" s="70"/>
      <c r="H4039" s="400"/>
      <c r="I4039" s="239"/>
    </row>
    <row r="4040" spans="6:9" x14ac:dyDescent="0.35">
      <c r="F4040" s="33"/>
      <c r="G4040" s="70"/>
      <c r="H4040" s="400"/>
      <c r="I4040" s="239"/>
    </row>
    <row r="4041" spans="6:9" x14ac:dyDescent="0.35">
      <c r="F4041" s="33"/>
      <c r="G4041" s="70"/>
      <c r="H4041" s="400"/>
      <c r="I4041" s="239"/>
    </row>
    <row r="4042" spans="6:9" x14ac:dyDescent="0.35">
      <c r="F4042" s="33"/>
      <c r="G4042" s="70"/>
      <c r="H4042" s="400"/>
      <c r="I4042" s="239"/>
    </row>
    <row r="4043" spans="6:9" x14ac:dyDescent="0.35">
      <c r="F4043" s="33"/>
      <c r="G4043" s="70"/>
      <c r="H4043" s="400"/>
      <c r="I4043" s="239"/>
    </row>
    <row r="4044" spans="6:9" x14ac:dyDescent="0.35">
      <c r="F4044" s="33"/>
      <c r="G4044" s="70"/>
      <c r="H4044" s="400"/>
      <c r="I4044" s="239"/>
    </row>
    <row r="4045" spans="6:9" x14ac:dyDescent="0.35">
      <c r="F4045" s="33"/>
      <c r="G4045" s="70"/>
      <c r="H4045" s="400"/>
      <c r="I4045" s="239"/>
    </row>
    <row r="4046" spans="6:9" x14ac:dyDescent="0.35">
      <c r="F4046" s="33"/>
      <c r="G4046" s="70"/>
      <c r="H4046" s="400"/>
      <c r="I4046" s="239"/>
    </row>
    <row r="4047" spans="6:9" x14ac:dyDescent="0.35">
      <c r="F4047" s="33"/>
      <c r="G4047" s="70"/>
      <c r="H4047" s="400"/>
      <c r="I4047" s="239"/>
    </row>
    <row r="4048" spans="6:9" x14ac:dyDescent="0.35">
      <c r="F4048" s="33"/>
      <c r="G4048" s="70"/>
      <c r="H4048" s="400"/>
      <c r="I4048" s="239"/>
    </row>
    <row r="4049" spans="6:9" x14ac:dyDescent="0.35">
      <c r="F4049" s="33"/>
      <c r="G4049" s="70"/>
      <c r="H4049" s="400"/>
      <c r="I4049" s="239"/>
    </row>
    <row r="4050" spans="6:9" x14ac:dyDescent="0.35">
      <c r="F4050" s="33"/>
      <c r="G4050" s="70"/>
      <c r="H4050" s="400"/>
      <c r="I4050" s="239"/>
    </row>
    <row r="4051" spans="6:9" x14ac:dyDescent="0.35">
      <c r="F4051" s="33"/>
      <c r="G4051" s="70"/>
      <c r="H4051" s="400"/>
      <c r="I4051" s="239"/>
    </row>
    <row r="4052" spans="6:9" x14ac:dyDescent="0.35">
      <c r="F4052" s="33"/>
      <c r="G4052" s="70"/>
      <c r="H4052" s="400"/>
      <c r="I4052" s="239"/>
    </row>
    <row r="4053" spans="6:9" x14ac:dyDescent="0.35">
      <c r="F4053" s="33"/>
      <c r="G4053" s="70"/>
      <c r="H4053" s="400"/>
      <c r="I4053" s="239"/>
    </row>
    <row r="4054" spans="6:9" x14ac:dyDescent="0.35">
      <c r="F4054" s="33"/>
      <c r="G4054" s="70"/>
      <c r="H4054" s="400"/>
      <c r="I4054" s="239"/>
    </row>
    <row r="4055" spans="6:9" x14ac:dyDescent="0.35">
      <c r="F4055" s="33"/>
      <c r="G4055" s="70"/>
      <c r="H4055" s="400"/>
      <c r="I4055" s="239"/>
    </row>
    <row r="4056" spans="6:9" x14ac:dyDescent="0.35">
      <c r="F4056" s="33"/>
      <c r="G4056" s="70"/>
      <c r="H4056" s="400"/>
      <c r="I4056" s="239"/>
    </row>
    <row r="4057" spans="6:9" x14ac:dyDescent="0.35">
      <c r="F4057" s="33"/>
      <c r="G4057" s="70"/>
      <c r="H4057" s="400"/>
      <c r="I4057" s="239"/>
    </row>
    <row r="4058" spans="6:9" x14ac:dyDescent="0.35">
      <c r="F4058" s="33"/>
      <c r="G4058" s="70"/>
      <c r="H4058" s="400"/>
      <c r="I4058" s="239"/>
    </row>
    <row r="4059" spans="6:9" x14ac:dyDescent="0.35">
      <c r="F4059" s="33"/>
      <c r="G4059" s="70"/>
      <c r="H4059" s="400"/>
      <c r="I4059" s="239"/>
    </row>
    <row r="4060" spans="6:9" x14ac:dyDescent="0.35">
      <c r="F4060" s="33"/>
      <c r="G4060" s="70"/>
      <c r="H4060" s="400"/>
      <c r="I4060" s="239"/>
    </row>
    <row r="4061" spans="6:9" x14ac:dyDescent="0.35">
      <c r="F4061" s="33"/>
      <c r="G4061" s="70"/>
      <c r="H4061" s="400"/>
      <c r="I4061" s="239"/>
    </row>
    <row r="4062" spans="6:9" x14ac:dyDescent="0.35">
      <c r="F4062" s="33"/>
      <c r="G4062" s="70"/>
      <c r="H4062" s="400"/>
      <c r="I4062" s="239"/>
    </row>
    <row r="4063" spans="6:9" x14ac:dyDescent="0.35">
      <c r="F4063" s="33"/>
      <c r="G4063" s="70"/>
      <c r="H4063" s="400"/>
      <c r="I4063" s="239"/>
    </row>
    <row r="4064" spans="6:9" x14ac:dyDescent="0.35">
      <c r="F4064" s="33"/>
      <c r="G4064" s="70"/>
      <c r="H4064" s="400"/>
      <c r="I4064" s="239"/>
    </row>
    <row r="4065" spans="6:9" x14ac:dyDescent="0.35">
      <c r="F4065" s="33"/>
      <c r="G4065" s="70"/>
      <c r="H4065" s="400"/>
      <c r="I4065" s="239"/>
    </row>
    <row r="4066" spans="6:9" x14ac:dyDescent="0.35">
      <c r="F4066" s="33"/>
      <c r="G4066" s="70"/>
      <c r="H4066" s="400"/>
      <c r="I4066" s="239"/>
    </row>
    <row r="4067" spans="6:9" x14ac:dyDescent="0.35">
      <c r="F4067" s="33"/>
      <c r="G4067" s="70"/>
      <c r="H4067" s="400"/>
      <c r="I4067" s="239"/>
    </row>
    <row r="4068" spans="6:9" x14ac:dyDescent="0.35">
      <c r="F4068" s="33"/>
      <c r="G4068" s="70"/>
      <c r="H4068" s="400"/>
      <c r="I4068" s="239"/>
    </row>
    <row r="4069" spans="6:9" x14ac:dyDescent="0.35">
      <c r="F4069" s="33"/>
      <c r="G4069" s="70"/>
      <c r="H4069" s="400"/>
      <c r="I4069" s="239"/>
    </row>
    <row r="4070" spans="6:9" x14ac:dyDescent="0.35">
      <c r="F4070" s="33"/>
      <c r="G4070" s="70"/>
      <c r="H4070" s="400"/>
      <c r="I4070" s="239"/>
    </row>
    <row r="4071" spans="6:9" x14ac:dyDescent="0.35">
      <c r="F4071" s="33"/>
      <c r="G4071" s="70"/>
      <c r="H4071" s="400"/>
      <c r="I4071" s="239"/>
    </row>
    <row r="4072" spans="6:9" x14ac:dyDescent="0.35">
      <c r="F4072" s="33"/>
      <c r="G4072" s="70"/>
      <c r="H4072" s="400"/>
      <c r="I4072" s="239"/>
    </row>
    <row r="4073" spans="6:9" x14ac:dyDescent="0.35">
      <c r="F4073" s="33"/>
      <c r="G4073" s="70"/>
      <c r="H4073" s="400"/>
      <c r="I4073" s="239"/>
    </row>
    <row r="4074" spans="6:9" x14ac:dyDescent="0.35">
      <c r="F4074" s="33"/>
      <c r="G4074" s="70"/>
      <c r="H4074" s="400"/>
      <c r="I4074" s="239"/>
    </row>
    <row r="4075" spans="6:9" x14ac:dyDescent="0.35">
      <c r="F4075" s="33"/>
      <c r="G4075" s="70"/>
      <c r="H4075" s="400"/>
      <c r="I4075" s="239"/>
    </row>
    <row r="4076" spans="6:9" x14ac:dyDescent="0.35">
      <c r="F4076" s="33"/>
      <c r="G4076" s="70"/>
      <c r="H4076" s="400"/>
      <c r="I4076" s="239"/>
    </row>
    <row r="4077" spans="6:9" x14ac:dyDescent="0.35">
      <c r="F4077" s="33"/>
      <c r="G4077" s="70"/>
      <c r="H4077" s="400"/>
      <c r="I4077" s="239"/>
    </row>
    <row r="4078" spans="6:9" x14ac:dyDescent="0.35">
      <c r="F4078" s="33"/>
      <c r="G4078" s="70"/>
      <c r="H4078" s="400"/>
      <c r="I4078" s="239"/>
    </row>
    <row r="4079" spans="6:9" x14ac:dyDescent="0.35">
      <c r="F4079" s="33"/>
      <c r="G4079" s="70"/>
      <c r="H4079" s="400"/>
      <c r="I4079" s="239"/>
    </row>
    <row r="4080" spans="6:9" x14ac:dyDescent="0.35">
      <c r="F4080" s="33"/>
      <c r="G4080" s="70"/>
      <c r="H4080" s="400"/>
      <c r="I4080" s="239"/>
    </row>
    <row r="4081" spans="6:9" x14ac:dyDescent="0.35">
      <c r="F4081" s="33"/>
      <c r="G4081" s="70"/>
      <c r="H4081" s="400"/>
      <c r="I4081" s="239"/>
    </row>
    <row r="4082" spans="6:9" x14ac:dyDescent="0.35">
      <c r="F4082" s="33"/>
      <c r="G4082" s="70"/>
      <c r="H4082" s="400"/>
      <c r="I4082" s="239"/>
    </row>
    <row r="4083" spans="6:9" x14ac:dyDescent="0.35">
      <c r="F4083" s="33"/>
      <c r="G4083" s="70"/>
      <c r="H4083" s="400"/>
      <c r="I4083" s="239"/>
    </row>
    <row r="4084" spans="6:9" x14ac:dyDescent="0.35">
      <c r="F4084" s="33"/>
      <c r="G4084" s="70"/>
      <c r="H4084" s="400"/>
      <c r="I4084" s="239"/>
    </row>
    <row r="4085" spans="6:9" x14ac:dyDescent="0.35">
      <c r="F4085" s="33"/>
      <c r="G4085" s="70"/>
      <c r="H4085" s="400"/>
      <c r="I4085" s="239"/>
    </row>
    <row r="4086" spans="6:9" x14ac:dyDescent="0.35">
      <c r="F4086" s="33"/>
      <c r="G4086" s="70"/>
      <c r="H4086" s="400"/>
      <c r="I4086" s="239"/>
    </row>
    <row r="4087" spans="6:9" x14ac:dyDescent="0.35">
      <c r="F4087" s="33"/>
      <c r="G4087" s="70"/>
      <c r="H4087" s="400"/>
      <c r="I4087" s="239"/>
    </row>
    <row r="4088" spans="6:9" x14ac:dyDescent="0.35">
      <c r="F4088" s="33"/>
      <c r="G4088" s="70"/>
      <c r="H4088" s="400"/>
      <c r="I4088" s="239"/>
    </row>
    <row r="4089" spans="6:9" x14ac:dyDescent="0.35">
      <c r="F4089" s="33"/>
      <c r="G4089" s="70"/>
      <c r="H4089" s="400"/>
      <c r="I4089" s="239"/>
    </row>
    <row r="4090" spans="6:9" x14ac:dyDescent="0.35">
      <c r="F4090" s="33"/>
      <c r="G4090" s="70"/>
      <c r="H4090" s="400"/>
      <c r="I4090" s="239"/>
    </row>
    <row r="4091" spans="6:9" x14ac:dyDescent="0.35">
      <c r="F4091" s="33"/>
      <c r="G4091" s="70"/>
      <c r="H4091" s="400"/>
      <c r="I4091" s="239"/>
    </row>
    <row r="4092" spans="6:9" x14ac:dyDescent="0.35">
      <c r="F4092" s="33"/>
      <c r="G4092" s="70"/>
      <c r="H4092" s="400"/>
      <c r="I4092" s="239"/>
    </row>
    <row r="4093" spans="6:9" x14ac:dyDescent="0.35">
      <c r="F4093" s="33"/>
      <c r="G4093" s="70"/>
      <c r="H4093" s="400"/>
      <c r="I4093" s="239"/>
    </row>
    <row r="4094" spans="6:9" x14ac:dyDescent="0.35">
      <c r="F4094" s="33"/>
      <c r="G4094" s="70"/>
      <c r="H4094" s="400"/>
      <c r="I4094" s="239"/>
    </row>
    <row r="4095" spans="6:9" x14ac:dyDescent="0.35">
      <c r="F4095" s="33"/>
      <c r="G4095" s="70"/>
      <c r="H4095" s="400"/>
      <c r="I4095" s="239"/>
    </row>
    <row r="4096" spans="6:9" x14ac:dyDescent="0.35">
      <c r="F4096" s="33"/>
      <c r="G4096" s="70"/>
      <c r="H4096" s="400"/>
      <c r="I4096" s="239"/>
    </row>
    <row r="4097" spans="6:9" x14ac:dyDescent="0.35">
      <c r="F4097" s="33"/>
      <c r="G4097" s="70"/>
      <c r="H4097" s="400"/>
      <c r="I4097" s="239"/>
    </row>
    <row r="4098" spans="6:9" x14ac:dyDescent="0.35">
      <c r="F4098" s="33"/>
      <c r="G4098" s="70"/>
      <c r="H4098" s="400"/>
      <c r="I4098" s="239"/>
    </row>
    <row r="4099" spans="6:9" x14ac:dyDescent="0.35">
      <c r="F4099" s="33"/>
      <c r="G4099" s="70"/>
      <c r="H4099" s="400"/>
      <c r="I4099" s="239"/>
    </row>
    <row r="4100" spans="6:9" x14ac:dyDescent="0.35">
      <c r="F4100" s="33"/>
      <c r="G4100" s="70"/>
      <c r="H4100" s="400"/>
      <c r="I4100" s="239"/>
    </row>
    <row r="4101" spans="6:9" x14ac:dyDescent="0.35">
      <c r="F4101" s="33"/>
      <c r="G4101" s="70"/>
      <c r="H4101" s="400"/>
      <c r="I4101" s="239"/>
    </row>
    <row r="4102" spans="6:9" x14ac:dyDescent="0.35">
      <c r="F4102" s="33"/>
      <c r="G4102" s="70"/>
      <c r="H4102" s="400"/>
      <c r="I4102" s="239"/>
    </row>
    <row r="4103" spans="6:9" x14ac:dyDescent="0.35">
      <c r="F4103" s="33"/>
      <c r="G4103" s="70"/>
      <c r="H4103" s="400"/>
      <c r="I4103" s="239"/>
    </row>
    <row r="4104" spans="6:9" x14ac:dyDescent="0.35">
      <c r="F4104" s="33"/>
      <c r="G4104" s="70"/>
      <c r="H4104" s="400"/>
      <c r="I4104" s="239"/>
    </row>
    <row r="4105" spans="6:9" x14ac:dyDescent="0.35">
      <c r="F4105" s="33"/>
      <c r="G4105" s="70"/>
      <c r="H4105" s="400"/>
      <c r="I4105" s="239"/>
    </row>
    <row r="4106" spans="6:9" x14ac:dyDescent="0.35">
      <c r="F4106" s="33"/>
      <c r="G4106" s="70"/>
      <c r="H4106" s="400"/>
      <c r="I4106" s="239"/>
    </row>
    <row r="4107" spans="6:9" x14ac:dyDescent="0.35">
      <c r="F4107" s="33"/>
      <c r="G4107" s="70"/>
      <c r="H4107" s="400"/>
      <c r="I4107" s="239"/>
    </row>
    <row r="4108" spans="6:9" x14ac:dyDescent="0.35">
      <c r="F4108" s="33"/>
      <c r="G4108" s="70"/>
      <c r="H4108" s="400"/>
      <c r="I4108" s="239"/>
    </row>
    <row r="4109" spans="6:9" x14ac:dyDescent="0.35">
      <c r="F4109" s="33"/>
      <c r="G4109" s="70"/>
      <c r="H4109" s="400"/>
      <c r="I4109" s="239"/>
    </row>
    <row r="4110" spans="6:9" x14ac:dyDescent="0.35">
      <c r="F4110" s="33"/>
      <c r="G4110" s="70"/>
      <c r="H4110" s="400"/>
      <c r="I4110" s="239"/>
    </row>
    <row r="4111" spans="6:9" x14ac:dyDescent="0.35">
      <c r="F4111" s="33"/>
      <c r="G4111" s="70"/>
      <c r="H4111" s="400"/>
      <c r="I4111" s="239"/>
    </row>
    <row r="4112" spans="6:9" x14ac:dyDescent="0.35">
      <c r="F4112" s="33"/>
      <c r="G4112" s="70"/>
      <c r="H4112" s="400"/>
      <c r="I4112" s="239"/>
    </row>
    <row r="4113" spans="6:9" x14ac:dyDescent="0.35">
      <c r="F4113" s="33"/>
      <c r="G4113" s="70"/>
      <c r="H4113" s="400"/>
      <c r="I4113" s="239"/>
    </row>
    <row r="4114" spans="6:9" x14ac:dyDescent="0.35">
      <c r="F4114" s="33"/>
      <c r="G4114" s="70"/>
      <c r="H4114" s="400"/>
      <c r="I4114" s="239"/>
    </row>
    <row r="4115" spans="6:9" x14ac:dyDescent="0.35">
      <c r="F4115" s="33"/>
      <c r="G4115" s="70"/>
      <c r="H4115" s="400"/>
      <c r="I4115" s="239"/>
    </row>
    <row r="4116" spans="6:9" x14ac:dyDescent="0.35">
      <c r="F4116" s="33"/>
      <c r="G4116" s="70"/>
      <c r="H4116" s="400"/>
      <c r="I4116" s="239"/>
    </row>
    <row r="4117" spans="6:9" x14ac:dyDescent="0.35">
      <c r="F4117" s="33"/>
      <c r="G4117" s="70"/>
      <c r="H4117" s="400"/>
      <c r="I4117" s="239"/>
    </row>
    <row r="4118" spans="6:9" x14ac:dyDescent="0.35">
      <c r="F4118" s="33"/>
      <c r="G4118" s="70"/>
      <c r="H4118" s="400"/>
      <c r="I4118" s="239"/>
    </row>
    <row r="4119" spans="6:9" x14ac:dyDescent="0.35">
      <c r="F4119" s="33"/>
      <c r="G4119" s="70"/>
      <c r="H4119" s="400"/>
      <c r="I4119" s="239"/>
    </row>
    <row r="4120" spans="6:9" x14ac:dyDescent="0.35">
      <c r="F4120" s="33"/>
      <c r="G4120" s="70"/>
      <c r="H4120" s="400"/>
      <c r="I4120" s="239"/>
    </row>
    <row r="4121" spans="6:9" x14ac:dyDescent="0.35">
      <c r="F4121" s="33"/>
      <c r="G4121" s="70"/>
      <c r="H4121" s="400"/>
      <c r="I4121" s="239"/>
    </row>
    <row r="4122" spans="6:9" x14ac:dyDescent="0.35">
      <c r="F4122" s="33"/>
      <c r="G4122" s="70"/>
      <c r="H4122" s="400"/>
      <c r="I4122" s="239"/>
    </row>
    <row r="4123" spans="6:9" x14ac:dyDescent="0.35">
      <c r="F4123" s="33"/>
      <c r="G4123" s="70"/>
      <c r="H4123" s="400"/>
      <c r="I4123" s="239"/>
    </row>
    <row r="4124" spans="6:9" x14ac:dyDescent="0.35">
      <c r="F4124" s="33"/>
      <c r="G4124" s="70"/>
      <c r="H4124" s="400"/>
      <c r="I4124" s="239"/>
    </row>
    <row r="4125" spans="6:9" x14ac:dyDescent="0.35">
      <c r="F4125" s="33"/>
      <c r="G4125" s="70"/>
      <c r="H4125" s="400"/>
      <c r="I4125" s="239"/>
    </row>
    <row r="4126" spans="6:9" x14ac:dyDescent="0.35">
      <c r="F4126" s="33"/>
      <c r="G4126" s="70"/>
      <c r="H4126" s="400"/>
      <c r="I4126" s="239"/>
    </row>
    <row r="4127" spans="6:9" x14ac:dyDescent="0.35">
      <c r="F4127" s="33"/>
      <c r="G4127" s="70"/>
      <c r="H4127" s="400"/>
      <c r="I4127" s="239"/>
    </row>
    <row r="4128" spans="6:9" x14ac:dyDescent="0.35">
      <c r="F4128" s="33"/>
      <c r="G4128" s="70"/>
      <c r="H4128" s="400"/>
      <c r="I4128" s="239"/>
    </row>
    <row r="4129" spans="6:9" x14ac:dyDescent="0.35">
      <c r="F4129" s="33"/>
      <c r="G4129" s="70"/>
      <c r="H4129" s="400"/>
      <c r="I4129" s="239"/>
    </row>
    <row r="4130" spans="6:9" x14ac:dyDescent="0.35">
      <c r="F4130" s="33"/>
      <c r="G4130" s="70"/>
      <c r="H4130" s="400"/>
      <c r="I4130" s="239"/>
    </row>
    <row r="4131" spans="6:9" x14ac:dyDescent="0.35">
      <c r="F4131" s="33"/>
      <c r="G4131" s="70"/>
      <c r="H4131" s="400"/>
      <c r="I4131" s="239"/>
    </row>
    <row r="4132" spans="6:9" x14ac:dyDescent="0.35">
      <c r="F4132" s="33"/>
      <c r="G4132" s="70"/>
      <c r="H4132" s="400"/>
      <c r="I4132" s="239"/>
    </row>
    <row r="4133" spans="6:9" x14ac:dyDescent="0.35">
      <c r="F4133" s="33"/>
      <c r="G4133" s="70"/>
      <c r="H4133" s="400"/>
      <c r="I4133" s="239"/>
    </row>
    <row r="4134" spans="6:9" x14ac:dyDescent="0.35">
      <c r="F4134" s="33"/>
      <c r="G4134" s="70"/>
      <c r="H4134" s="400"/>
      <c r="I4134" s="239"/>
    </row>
    <row r="4135" spans="6:9" x14ac:dyDescent="0.35">
      <c r="F4135" s="33"/>
      <c r="G4135" s="70"/>
      <c r="H4135" s="400"/>
      <c r="I4135" s="239"/>
    </row>
    <row r="4136" spans="6:9" x14ac:dyDescent="0.35">
      <c r="F4136" s="33"/>
      <c r="G4136" s="70"/>
      <c r="H4136" s="400"/>
      <c r="I4136" s="239"/>
    </row>
    <row r="4137" spans="6:9" x14ac:dyDescent="0.35">
      <c r="F4137" s="33"/>
      <c r="G4137" s="70"/>
      <c r="H4137" s="400"/>
      <c r="I4137" s="239"/>
    </row>
    <row r="4138" spans="6:9" x14ac:dyDescent="0.35">
      <c r="F4138" s="33"/>
      <c r="G4138" s="70"/>
      <c r="H4138" s="400"/>
      <c r="I4138" s="239"/>
    </row>
    <row r="4139" spans="6:9" x14ac:dyDescent="0.35">
      <c r="F4139" s="33"/>
      <c r="G4139" s="70"/>
      <c r="H4139" s="400"/>
      <c r="I4139" s="239"/>
    </row>
    <row r="4140" spans="6:9" x14ac:dyDescent="0.35">
      <c r="F4140" s="33"/>
      <c r="G4140" s="70"/>
      <c r="H4140" s="400"/>
      <c r="I4140" s="239"/>
    </row>
    <row r="4141" spans="6:9" x14ac:dyDescent="0.35">
      <c r="F4141" s="33"/>
      <c r="G4141" s="70"/>
      <c r="H4141" s="400"/>
      <c r="I4141" s="239"/>
    </row>
    <row r="4142" spans="6:9" x14ac:dyDescent="0.35">
      <c r="F4142" s="33"/>
      <c r="G4142" s="70"/>
      <c r="H4142" s="400"/>
      <c r="I4142" s="239"/>
    </row>
    <row r="4143" spans="6:9" x14ac:dyDescent="0.35">
      <c r="F4143" s="33"/>
      <c r="G4143" s="70"/>
      <c r="H4143" s="400"/>
      <c r="I4143" s="239"/>
    </row>
    <row r="4144" spans="6:9" x14ac:dyDescent="0.35">
      <c r="F4144" s="33"/>
      <c r="G4144" s="70"/>
      <c r="H4144" s="400"/>
      <c r="I4144" s="239"/>
    </row>
    <row r="4145" spans="6:9" x14ac:dyDescent="0.35">
      <c r="F4145" s="33"/>
      <c r="G4145" s="70"/>
      <c r="H4145" s="400"/>
      <c r="I4145" s="239"/>
    </row>
    <row r="4146" spans="6:9" x14ac:dyDescent="0.35">
      <c r="F4146" s="33"/>
      <c r="G4146" s="70"/>
      <c r="H4146" s="400"/>
      <c r="I4146" s="239"/>
    </row>
    <row r="4147" spans="6:9" x14ac:dyDescent="0.35">
      <c r="F4147" s="33"/>
      <c r="G4147" s="70"/>
      <c r="H4147" s="400"/>
      <c r="I4147" s="239"/>
    </row>
    <row r="4148" spans="6:9" x14ac:dyDescent="0.35">
      <c r="F4148" s="33"/>
      <c r="G4148" s="70"/>
      <c r="H4148" s="400"/>
      <c r="I4148" s="239"/>
    </row>
    <row r="4149" spans="6:9" x14ac:dyDescent="0.35">
      <c r="F4149" s="33"/>
      <c r="G4149" s="70"/>
      <c r="H4149" s="400"/>
      <c r="I4149" s="239"/>
    </row>
    <row r="4150" spans="6:9" x14ac:dyDescent="0.35">
      <c r="F4150" s="33"/>
      <c r="G4150" s="70"/>
      <c r="H4150" s="400"/>
      <c r="I4150" s="239"/>
    </row>
    <row r="4151" spans="6:9" x14ac:dyDescent="0.35">
      <c r="F4151" s="33"/>
      <c r="G4151" s="70"/>
      <c r="H4151" s="400"/>
      <c r="I4151" s="239"/>
    </row>
    <row r="4152" spans="6:9" x14ac:dyDescent="0.35">
      <c r="F4152" s="33"/>
      <c r="G4152" s="70"/>
      <c r="H4152" s="400"/>
      <c r="I4152" s="239"/>
    </row>
    <row r="4153" spans="6:9" x14ac:dyDescent="0.35">
      <c r="F4153" s="33"/>
      <c r="G4153" s="70"/>
      <c r="H4153" s="400"/>
      <c r="I4153" s="239"/>
    </row>
    <row r="4154" spans="6:9" x14ac:dyDescent="0.35">
      <c r="F4154" s="33"/>
      <c r="G4154" s="70"/>
      <c r="H4154" s="400"/>
      <c r="I4154" s="239"/>
    </row>
    <row r="4155" spans="6:9" x14ac:dyDescent="0.35">
      <c r="F4155" s="33"/>
      <c r="G4155" s="70"/>
      <c r="H4155" s="400"/>
      <c r="I4155" s="239"/>
    </row>
    <row r="4156" spans="6:9" x14ac:dyDescent="0.35">
      <c r="F4156" s="33"/>
      <c r="G4156" s="70"/>
      <c r="H4156" s="400"/>
      <c r="I4156" s="239"/>
    </row>
    <row r="4157" spans="6:9" x14ac:dyDescent="0.35">
      <c r="F4157" s="33"/>
      <c r="G4157" s="70"/>
      <c r="H4157" s="400"/>
      <c r="I4157" s="239"/>
    </row>
    <row r="4158" spans="6:9" x14ac:dyDescent="0.35">
      <c r="F4158" s="33"/>
      <c r="G4158" s="70"/>
      <c r="H4158" s="400"/>
      <c r="I4158" s="239"/>
    </row>
    <row r="4159" spans="6:9" x14ac:dyDescent="0.35">
      <c r="F4159" s="33"/>
      <c r="G4159" s="70"/>
      <c r="H4159" s="400"/>
      <c r="I4159" s="239"/>
    </row>
    <row r="4160" spans="6:9" x14ac:dyDescent="0.35">
      <c r="F4160" s="33"/>
      <c r="G4160" s="70"/>
      <c r="H4160" s="400"/>
      <c r="I4160" s="239"/>
    </row>
    <row r="4161" spans="6:9" x14ac:dyDescent="0.35">
      <c r="F4161" s="33"/>
      <c r="G4161" s="70"/>
      <c r="H4161" s="400"/>
      <c r="I4161" s="239"/>
    </row>
    <row r="4162" spans="6:9" x14ac:dyDescent="0.35">
      <c r="F4162" s="33"/>
      <c r="G4162" s="70"/>
      <c r="H4162" s="400"/>
      <c r="I4162" s="239"/>
    </row>
    <row r="4163" spans="6:9" x14ac:dyDescent="0.35">
      <c r="F4163" s="33"/>
      <c r="G4163" s="70"/>
      <c r="H4163" s="400"/>
      <c r="I4163" s="239"/>
    </row>
    <row r="4164" spans="6:9" x14ac:dyDescent="0.35">
      <c r="F4164" s="33"/>
      <c r="G4164" s="70"/>
      <c r="H4164" s="400"/>
      <c r="I4164" s="239"/>
    </row>
    <row r="4165" spans="6:9" x14ac:dyDescent="0.35">
      <c r="F4165" s="33"/>
      <c r="G4165" s="70"/>
      <c r="H4165" s="400"/>
      <c r="I4165" s="239"/>
    </row>
    <row r="4166" spans="6:9" x14ac:dyDescent="0.35">
      <c r="F4166" s="33"/>
      <c r="G4166" s="70"/>
      <c r="H4166" s="400"/>
      <c r="I4166" s="239"/>
    </row>
    <row r="4167" spans="6:9" x14ac:dyDescent="0.35">
      <c r="F4167" s="33"/>
      <c r="G4167" s="70"/>
      <c r="H4167" s="400"/>
      <c r="I4167" s="239"/>
    </row>
    <row r="4168" spans="6:9" x14ac:dyDescent="0.35">
      <c r="F4168" s="33"/>
      <c r="G4168" s="70"/>
      <c r="H4168" s="400"/>
      <c r="I4168" s="239"/>
    </row>
    <row r="4169" spans="6:9" x14ac:dyDescent="0.35">
      <c r="F4169" s="33"/>
      <c r="G4169" s="70"/>
      <c r="H4169" s="400"/>
      <c r="I4169" s="239"/>
    </row>
    <row r="4170" spans="6:9" x14ac:dyDescent="0.35">
      <c r="F4170" s="33"/>
      <c r="G4170" s="70"/>
      <c r="H4170" s="400"/>
      <c r="I4170" s="239"/>
    </row>
    <row r="4171" spans="6:9" x14ac:dyDescent="0.35">
      <c r="F4171" s="33"/>
      <c r="G4171" s="70"/>
      <c r="H4171" s="400"/>
      <c r="I4171" s="239"/>
    </row>
    <row r="4172" spans="6:9" x14ac:dyDescent="0.35">
      <c r="F4172" s="33"/>
      <c r="G4172" s="70"/>
      <c r="H4172" s="400"/>
      <c r="I4172" s="239"/>
    </row>
    <row r="4173" spans="6:9" x14ac:dyDescent="0.35">
      <c r="F4173" s="33"/>
      <c r="G4173" s="70"/>
      <c r="H4173" s="400"/>
      <c r="I4173" s="239"/>
    </row>
    <row r="4174" spans="6:9" x14ac:dyDescent="0.35">
      <c r="F4174" s="33"/>
      <c r="G4174" s="70"/>
      <c r="H4174" s="400"/>
      <c r="I4174" s="239"/>
    </row>
    <row r="4175" spans="6:9" x14ac:dyDescent="0.35">
      <c r="F4175" s="33"/>
      <c r="G4175" s="70"/>
      <c r="H4175" s="400"/>
      <c r="I4175" s="239"/>
    </row>
    <row r="4176" spans="6:9" x14ac:dyDescent="0.35">
      <c r="F4176" s="33"/>
      <c r="G4176" s="70"/>
      <c r="H4176" s="400"/>
      <c r="I4176" s="239"/>
    </row>
    <row r="4177" spans="6:9" x14ac:dyDescent="0.35">
      <c r="F4177" s="33"/>
      <c r="G4177" s="70"/>
      <c r="H4177" s="400"/>
      <c r="I4177" s="239"/>
    </row>
    <row r="4178" spans="6:9" x14ac:dyDescent="0.35">
      <c r="F4178" s="33"/>
      <c r="G4178" s="70"/>
      <c r="H4178" s="400"/>
      <c r="I4178" s="239"/>
    </row>
    <row r="4179" spans="6:9" x14ac:dyDescent="0.35">
      <c r="F4179" s="33"/>
      <c r="G4179" s="70"/>
      <c r="H4179" s="400"/>
      <c r="I4179" s="239"/>
    </row>
    <row r="4180" spans="6:9" x14ac:dyDescent="0.35">
      <c r="F4180" s="33"/>
      <c r="G4180" s="70"/>
      <c r="H4180" s="400"/>
      <c r="I4180" s="239"/>
    </row>
    <row r="4181" spans="6:9" x14ac:dyDescent="0.35">
      <c r="F4181" s="33"/>
      <c r="G4181" s="70"/>
      <c r="H4181" s="400"/>
      <c r="I4181" s="239"/>
    </row>
    <row r="4182" spans="6:9" x14ac:dyDescent="0.35">
      <c r="F4182" s="33"/>
      <c r="G4182" s="70"/>
      <c r="H4182" s="400"/>
      <c r="I4182" s="239"/>
    </row>
    <row r="4183" spans="6:9" x14ac:dyDescent="0.35">
      <c r="F4183" s="33"/>
      <c r="G4183" s="70"/>
      <c r="H4183" s="400"/>
      <c r="I4183" s="239"/>
    </row>
    <row r="4184" spans="6:9" x14ac:dyDescent="0.35">
      <c r="F4184" s="33"/>
      <c r="G4184" s="70"/>
      <c r="H4184" s="400"/>
      <c r="I4184" s="239"/>
    </row>
    <row r="4185" spans="6:9" x14ac:dyDescent="0.35">
      <c r="F4185" s="33"/>
      <c r="G4185" s="70"/>
      <c r="H4185" s="400"/>
      <c r="I4185" s="239"/>
    </row>
    <row r="4186" spans="6:9" x14ac:dyDescent="0.35">
      <c r="F4186" s="33"/>
      <c r="G4186" s="70"/>
      <c r="H4186" s="400"/>
      <c r="I4186" s="239"/>
    </row>
    <row r="4187" spans="6:9" x14ac:dyDescent="0.35">
      <c r="F4187" s="33"/>
      <c r="G4187" s="70"/>
      <c r="H4187" s="400"/>
      <c r="I4187" s="239"/>
    </row>
    <row r="4188" spans="6:9" x14ac:dyDescent="0.35">
      <c r="F4188" s="33"/>
      <c r="G4188" s="70"/>
      <c r="H4188" s="400"/>
      <c r="I4188" s="239"/>
    </row>
    <row r="4189" spans="6:9" x14ac:dyDescent="0.35">
      <c r="F4189" s="33"/>
      <c r="G4189" s="70"/>
      <c r="H4189" s="400"/>
      <c r="I4189" s="239"/>
    </row>
    <row r="4190" spans="6:9" x14ac:dyDescent="0.35">
      <c r="F4190" s="33"/>
      <c r="G4190" s="70"/>
      <c r="H4190" s="400"/>
      <c r="I4190" s="239"/>
    </row>
    <row r="4191" spans="6:9" x14ac:dyDescent="0.35">
      <c r="F4191" s="33"/>
      <c r="G4191" s="70"/>
      <c r="H4191" s="400"/>
      <c r="I4191" s="239"/>
    </row>
    <row r="4192" spans="6:9" x14ac:dyDescent="0.35">
      <c r="F4192" s="33"/>
      <c r="G4192" s="70"/>
      <c r="H4192" s="400"/>
      <c r="I4192" s="239"/>
    </row>
    <row r="4193" spans="6:9" x14ac:dyDescent="0.35">
      <c r="F4193" s="33"/>
      <c r="G4193" s="70"/>
      <c r="H4193" s="400"/>
      <c r="I4193" s="239"/>
    </row>
    <row r="4194" spans="6:9" x14ac:dyDescent="0.35">
      <c r="F4194" s="33"/>
      <c r="G4194" s="70"/>
      <c r="H4194" s="400"/>
      <c r="I4194" s="239"/>
    </row>
    <row r="4195" spans="6:9" x14ac:dyDescent="0.35">
      <c r="F4195" s="33"/>
      <c r="G4195" s="70"/>
      <c r="H4195" s="400"/>
      <c r="I4195" s="239"/>
    </row>
    <row r="4196" spans="6:9" x14ac:dyDescent="0.35">
      <c r="F4196" s="33"/>
      <c r="G4196" s="70"/>
      <c r="H4196" s="400"/>
      <c r="I4196" s="239"/>
    </row>
    <row r="4197" spans="6:9" x14ac:dyDescent="0.35">
      <c r="F4197" s="33"/>
      <c r="G4197" s="70"/>
      <c r="H4197" s="400"/>
      <c r="I4197" s="239"/>
    </row>
    <row r="4198" spans="6:9" x14ac:dyDescent="0.35">
      <c r="F4198" s="33"/>
      <c r="G4198" s="70"/>
      <c r="H4198" s="400"/>
      <c r="I4198" s="239"/>
    </row>
    <row r="4199" spans="6:9" x14ac:dyDescent="0.35">
      <c r="F4199" s="33"/>
      <c r="G4199" s="70"/>
      <c r="H4199" s="400"/>
      <c r="I4199" s="239"/>
    </row>
    <row r="4200" spans="6:9" x14ac:dyDescent="0.35">
      <c r="F4200" s="33"/>
      <c r="G4200" s="70"/>
      <c r="H4200" s="400"/>
      <c r="I4200" s="239"/>
    </row>
    <row r="4201" spans="6:9" x14ac:dyDescent="0.35">
      <c r="F4201" s="33"/>
      <c r="G4201" s="70"/>
      <c r="H4201" s="400"/>
      <c r="I4201" s="239"/>
    </row>
    <row r="4202" spans="6:9" x14ac:dyDescent="0.35">
      <c r="F4202" s="33"/>
      <c r="G4202" s="70"/>
      <c r="H4202" s="400"/>
      <c r="I4202" s="239"/>
    </row>
    <row r="4203" spans="6:9" x14ac:dyDescent="0.35">
      <c r="F4203" s="33"/>
      <c r="G4203" s="70"/>
      <c r="H4203" s="400"/>
      <c r="I4203" s="239"/>
    </row>
    <row r="4204" spans="6:9" x14ac:dyDescent="0.35">
      <c r="F4204" s="33"/>
      <c r="G4204" s="70"/>
      <c r="H4204" s="400"/>
      <c r="I4204" s="239"/>
    </row>
    <row r="4205" spans="6:9" x14ac:dyDescent="0.35">
      <c r="F4205" s="33"/>
      <c r="G4205" s="70"/>
      <c r="H4205" s="400"/>
      <c r="I4205" s="239"/>
    </row>
    <row r="4206" spans="6:9" x14ac:dyDescent="0.35">
      <c r="F4206" s="33"/>
      <c r="G4206" s="70"/>
      <c r="H4206" s="400"/>
      <c r="I4206" s="239"/>
    </row>
    <row r="4207" spans="6:9" x14ac:dyDescent="0.35">
      <c r="F4207" s="33"/>
      <c r="G4207" s="70"/>
      <c r="H4207" s="400"/>
      <c r="I4207" s="239"/>
    </row>
    <row r="4208" spans="6:9" x14ac:dyDescent="0.35">
      <c r="F4208" s="33"/>
      <c r="G4208" s="70"/>
      <c r="H4208" s="400"/>
      <c r="I4208" s="239"/>
    </row>
    <row r="4209" spans="6:9" x14ac:dyDescent="0.35">
      <c r="F4209" s="33"/>
      <c r="G4209" s="70"/>
      <c r="H4209" s="400"/>
      <c r="I4209" s="239"/>
    </row>
    <row r="4210" spans="6:9" x14ac:dyDescent="0.35">
      <c r="F4210" s="33"/>
      <c r="G4210" s="70"/>
      <c r="H4210" s="400"/>
      <c r="I4210" s="239"/>
    </row>
    <row r="4211" spans="6:9" x14ac:dyDescent="0.35">
      <c r="F4211" s="33"/>
      <c r="G4211" s="70"/>
      <c r="H4211" s="400"/>
      <c r="I4211" s="239"/>
    </row>
    <row r="4212" spans="6:9" x14ac:dyDescent="0.35">
      <c r="F4212" s="33"/>
      <c r="G4212" s="70"/>
      <c r="H4212" s="400"/>
      <c r="I4212" s="239"/>
    </row>
    <row r="4213" spans="6:9" x14ac:dyDescent="0.35">
      <c r="F4213" s="33"/>
      <c r="G4213" s="70"/>
      <c r="H4213" s="400"/>
      <c r="I4213" s="239"/>
    </row>
    <row r="4214" spans="6:9" x14ac:dyDescent="0.35">
      <c r="F4214" s="33"/>
      <c r="G4214" s="70"/>
      <c r="H4214" s="400"/>
      <c r="I4214" s="239"/>
    </row>
    <row r="4215" spans="6:9" x14ac:dyDescent="0.35">
      <c r="F4215" s="33"/>
      <c r="G4215" s="70"/>
      <c r="H4215" s="400"/>
      <c r="I4215" s="239"/>
    </row>
    <row r="4216" spans="6:9" x14ac:dyDescent="0.35">
      <c r="F4216" s="33"/>
      <c r="G4216" s="70"/>
      <c r="H4216" s="400"/>
      <c r="I4216" s="239"/>
    </row>
    <row r="4217" spans="6:9" x14ac:dyDescent="0.35">
      <c r="F4217" s="33"/>
      <c r="G4217" s="70"/>
      <c r="H4217" s="400"/>
      <c r="I4217" s="239"/>
    </row>
    <row r="4218" spans="6:9" x14ac:dyDescent="0.35">
      <c r="F4218" s="33"/>
      <c r="G4218" s="70"/>
      <c r="H4218" s="400"/>
      <c r="I4218" s="239"/>
    </row>
    <row r="4219" spans="6:9" x14ac:dyDescent="0.35">
      <c r="F4219" s="33"/>
      <c r="G4219" s="70"/>
      <c r="H4219" s="400"/>
      <c r="I4219" s="239"/>
    </row>
    <row r="4220" spans="6:9" x14ac:dyDescent="0.35">
      <c r="F4220" s="33"/>
      <c r="G4220" s="70"/>
      <c r="H4220" s="400"/>
      <c r="I4220" s="239"/>
    </row>
    <row r="4221" spans="6:9" x14ac:dyDescent="0.35">
      <c r="F4221" s="33"/>
      <c r="G4221" s="70"/>
      <c r="H4221" s="400"/>
      <c r="I4221" s="239"/>
    </row>
    <row r="4222" spans="6:9" x14ac:dyDescent="0.35">
      <c r="F4222" s="33"/>
      <c r="G4222" s="70"/>
      <c r="H4222" s="400"/>
      <c r="I4222" s="239"/>
    </row>
    <row r="4223" spans="6:9" x14ac:dyDescent="0.35">
      <c r="F4223" s="33"/>
      <c r="G4223" s="70"/>
      <c r="H4223" s="400"/>
      <c r="I4223" s="239"/>
    </row>
    <row r="4224" spans="6:9" x14ac:dyDescent="0.35">
      <c r="F4224" s="33"/>
      <c r="G4224" s="70"/>
      <c r="H4224" s="400"/>
      <c r="I4224" s="239"/>
    </row>
    <row r="4225" spans="6:9" x14ac:dyDescent="0.35">
      <c r="F4225" s="33"/>
      <c r="G4225" s="70"/>
      <c r="H4225" s="400"/>
      <c r="I4225" s="239"/>
    </row>
    <row r="4226" spans="6:9" x14ac:dyDescent="0.35">
      <c r="F4226" s="33"/>
      <c r="G4226" s="70"/>
      <c r="H4226" s="400"/>
      <c r="I4226" s="239"/>
    </row>
    <row r="4227" spans="6:9" x14ac:dyDescent="0.35">
      <c r="F4227" s="33"/>
      <c r="G4227" s="70"/>
      <c r="H4227" s="400"/>
      <c r="I4227" s="239"/>
    </row>
    <row r="4228" spans="6:9" x14ac:dyDescent="0.35">
      <c r="F4228" s="33"/>
      <c r="G4228" s="70"/>
      <c r="H4228" s="400"/>
      <c r="I4228" s="239"/>
    </row>
    <row r="4229" spans="6:9" x14ac:dyDescent="0.35">
      <c r="F4229" s="33"/>
      <c r="G4229" s="70"/>
      <c r="H4229" s="400"/>
      <c r="I4229" s="239"/>
    </row>
    <row r="4230" spans="6:9" x14ac:dyDescent="0.35">
      <c r="F4230" s="33"/>
      <c r="G4230" s="70"/>
      <c r="H4230" s="400"/>
      <c r="I4230" s="239"/>
    </row>
    <row r="4231" spans="6:9" x14ac:dyDescent="0.35">
      <c r="F4231" s="33"/>
      <c r="G4231" s="70"/>
      <c r="H4231" s="400"/>
      <c r="I4231" s="239"/>
    </row>
    <row r="4232" spans="6:9" x14ac:dyDescent="0.35">
      <c r="F4232" s="33"/>
      <c r="G4232" s="70"/>
      <c r="H4232" s="400"/>
      <c r="I4232" s="239"/>
    </row>
    <row r="4233" spans="6:9" x14ac:dyDescent="0.35">
      <c r="F4233" s="33"/>
      <c r="G4233" s="70"/>
      <c r="H4233" s="400"/>
      <c r="I4233" s="239"/>
    </row>
    <row r="4234" spans="6:9" x14ac:dyDescent="0.35">
      <c r="F4234" s="33"/>
      <c r="G4234" s="70"/>
      <c r="H4234" s="400"/>
      <c r="I4234" s="239"/>
    </row>
    <row r="4235" spans="6:9" x14ac:dyDescent="0.35">
      <c r="F4235" s="33"/>
      <c r="G4235" s="70"/>
      <c r="H4235" s="400"/>
      <c r="I4235" s="239"/>
    </row>
    <row r="4236" spans="6:9" x14ac:dyDescent="0.35">
      <c r="F4236" s="33"/>
      <c r="G4236" s="70"/>
      <c r="H4236" s="400"/>
      <c r="I4236" s="239"/>
    </row>
    <row r="4237" spans="6:9" x14ac:dyDescent="0.35">
      <c r="F4237" s="33"/>
      <c r="G4237" s="70"/>
      <c r="H4237" s="400"/>
      <c r="I4237" s="239"/>
    </row>
    <row r="4238" spans="6:9" x14ac:dyDescent="0.35">
      <c r="F4238" s="33"/>
      <c r="G4238" s="70"/>
      <c r="H4238" s="400"/>
      <c r="I4238" s="239"/>
    </row>
    <row r="4239" spans="6:9" x14ac:dyDescent="0.35">
      <c r="F4239" s="33"/>
      <c r="G4239" s="70"/>
      <c r="H4239" s="400"/>
      <c r="I4239" s="239"/>
    </row>
    <row r="4240" spans="6:9" x14ac:dyDescent="0.35">
      <c r="F4240" s="33"/>
      <c r="G4240" s="70"/>
      <c r="H4240" s="400"/>
      <c r="I4240" s="239"/>
    </row>
    <row r="4241" spans="6:9" x14ac:dyDescent="0.35">
      <c r="F4241" s="33"/>
      <c r="G4241" s="70"/>
      <c r="H4241" s="400"/>
      <c r="I4241" s="239"/>
    </row>
    <row r="4242" spans="6:9" x14ac:dyDescent="0.35">
      <c r="F4242" s="33"/>
      <c r="G4242" s="70"/>
      <c r="H4242" s="400"/>
      <c r="I4242" s="239"/>
    </row>
    <row r="4243" spans="6:9" x14ac:dyDescent="0.35">
      <c r="F4243" s="33"/>
      <c r="G4243" s="70"/>
      <c r="H4243" s="400"/>
      <c r="I4243" s="239"/>
    </row>
    <row r="4244" spans="6:9" x14ac:dyDescent="0.35">
      <c r="F4244" s="33"/>
      <c r="G4244" s="70"/>
      <c r="H4244" s="400"/>
      <c r="I4244" s="239"/>
    </row>
    <row r="4245" spans="6:9" x14ac:dyDescent="0.35">
      <c r="F4245" s="33"/>
      <c r="G4245" s="70"/>
      <c r="H4245" s="400"/>
      <c r="I4245" s="239"/>
    </row>
    <row r="4246" spans="6:9" x14ac:dyDescent="0.35">
      <c r="F4246" s="33"/>
      <c r="G4246" s="70"/>
      <c r="H4246" s="400"/>
      <c r="I4246" s="239"/>
    </row>
    <row r="4247" spans="6:9" x14ac:dyDescent="0.35">
      <c r="F4247" s="33"/>
      <c r="G4247" s="70"/>
      <c r="H4247" s="400"/>
      <c r="I4247" s="239"/>
    </row>
    <row r="4248" spans="6:9" x14ac:dyDescent="0.35">
      <c r="F4248" s="33"/>
      <c r="G4248" s="70"/>
      <c r="H4248" s="400"/>
      <c r="I4248" s="239"/>
    </row>
    <row r="4249" spans="6:9" x14ac:dyDescent="0.35">
      <c r="F4249" s="33"/>
      <c r="G4249" s="70"/>
      <c r="H4249" s="400"/>
      <c r="I4249" s="239"/>
    </row>
    <row r="4250" spans="6:9" x14ac:dyDescent="0.35">
      <c r="F4250" s="33"/>
      <c r="G4250" s="70"/>
      <c r="H4250" s="400"/>
      <c r="I4250" s="239"/>
    </row>
    <row r="4251" spans="6:9" x14ac:dyDescent="0.35">
      <c r="F4251" s="33"/>
      <c r="G4251" s="70"/>
      <c r="H4251" s="400"/>
      <c r="I4251" s="239"/>
    </row>
    <row r="4252" spans="6:9" x14ac:dyDescent="0.35">
      <c r="F4252" s="33"/>
      <c r="G4252" s="70"/>
      <c r="H4252" s="400"/>
      <c r="I4252" s="239"/>
    </row>
    <row r="4253" spans="6:9" x14ac:dyDescent="0.35">
      <c r="F4253" s="33"/>
      <c r="G4253" s="70"/>
      <c r="H4253" s="400"/>
      <c r="I4253" s="239"/>
    </row>
    <row r="4254" spans="6:9" x14ac:dyDescent="0.35">
      <c r="F4254" s="33"/>
      <c r="G4254" s="70"/>
      <c r="H4254" s="400"/>
      <c r="I4254" s="239"/>
    </row>
    <row r="4255" spans="6:9" x14ac:dyDescent="0.35">
      <c r="F4255" s="33"/>
      <c r="G4255" s="70"/>
      <c r="H4255" s="400"/>
      <c r="I4255" s="239"/>
    </row>
    <row r="4256" spans="6:9" x14ac:dyDescent="0.35">
      <c r="F4256" s="33"/>
      <c r="G4256" s="70"/>
      <c r="H4256" s="400"/>
      <c r="I4256" s="239"/>
    </row>
    <row r="4257" spans="6:9" x14ac:dyDescent="0.35">
      <c r="F4257" s="33"/>
      <c r="G4257" s="70"/>
      <c r="H4257" s="400"/>
      <c r="I4257" s="239"/>
    </row>
    <row r="4258" spans="6:9" x14ac:dyDescent="0.35">
      <c r="F4258" s="33"/>
      <c r="G4258" s="70"/>
      <c r="H4258" s="400"/>
      <c r="I4258" s="239"/>
    </row>
    <row r="4259" spans="6:9" x14ac:dyDescent="0.35">
      <c r="F4259" s="33"/>
      <c r="G4259" s="70"/>
      <c r="H4259" s="400"/>
      <c r="I4259" s="239"/>
    </row>
    <row r="4260" spans="6:9" x14ac:dyDescent="0.35">
      <c r="F4260" s="33"/>
      <c r="G4260" s="70"/>
      <c r="H4260" s="400"/>
      <c r="I4260" s="239"/>
    </row>
    <row r="4261" spans="6:9" x14ac:dyDescent="0.35">
      <c r="F4261" s="33"/>
      <c r="G4261" s="70"/>
      <c r="H4261" s="400"/>
      <c r="I4261" s="239"/>
    </row>
    <row r="4262" spans="6:9" x14ac:dyDescent="0.35">
      <c r="F4262" s="33"/>
      <c r="G4262" s="70"/>
      <c r="H4262" s="400"/>
      <c r="I4262" s="239"/>
    </row>
    <row r="4263" spans="6:9" x14ac:dyDescent="0.35">
      <c r="F4263" s="33"/>
      <c r="G4263" s="70"/>
      <c r="H4263" s="400"/>
      <c r="I4263" s="239"/>
    </row>
    <row r="4264" spans="6:9" x14ac:dyDescent="0.35">
      <c r="F4264" s="33"/>
      <c r="G4264" s="70"/>
      <c r="H4264" s="400"/>
      <c r="I4264" s="239"/>
    </row>
    <row r="4265" spans="6:9" x14ac:dyDescent="0.35">
      <c r="F4265" s="33"/>
      <c r="G4265" s="70"/>
      <c r="H4265" s="400"/>
      <c r="I4265" s="239"/>
    </row>
    <row r="4266" spans="6:9" x14ac:dyDescent="0.35">
      <c r="F4266" s="33"/>
      <c r="G4266" s="70"/>
      <c r="H4266" s="400"/>
      <c r="I4266" s="239"/>
    </row>
    <row r="4267" spans="6:9" x14ac:dyDescent="0.35">
      <c r="F4267" s="33"/>
      <c r="G4267" s="70"/>
      <c r="H4267" s="400"/>
      <c r="I4267" s="239"/>
    </row>
    <row r="4268" spans="6:9" x14ac:dyDescent="0.35">
      <c r="F4268" s="33"/>
      <c r="G4268" s="70"/>
      <c r="H4268" s="400"/>
      <c r="I4268" s="239"/>
    </row>
    <row r="4269" spans="6:9" x14ac:dyDescent="0.35">
      <c r="F4269" s="33"/>
      <c r="G4269" s="70"/>
      <c r="H4269" s="400"/>
      <c r="I4269" s="239"/>
    </row>
    <row r="4270" spans="6:9" x14ac:dyDescent="0.35">
      <c r="F4270" s="33"/>
      <c r="G4270" s="70"/>
      <c r="H4270" s="400"/>
      <c r="I4270" s="239"/>
    </row>
    <row r="4271" spans="6:9" x14ac:dyDescent="0.35">
      <c r="F4271" s="33"/>
      <c r="G4271" s="70"/>
      <c r="H4271" s="400"/>
      <c r="I4271" s="239"/>
    </row>
    <row r="4272" spans="6:9" x14ac:dyDescent="0.35">
      <c r="F4272" s="33"/>
      <c r="G4272" s="70"/>
      <c r="H4272" s="400"/>
      <c r="I4272" s="239"/>
    </row>
    <row r="4273" spans="6:9" x14ac:dyDescent="0.35">
      <c r="F4273" s="33"/>
      <c r="G4273" s="70"/>
      <c r="H4273" s="400"/>
      <c r="I4273" s="239"/>
    </row>
    <row r="4274" spans="6:9" x14ac:dyDescent="0.35">
      <c r="F4274" s="33"/>
      <c r="G4274" s="70"/>
      <c r="H4274" s="400"/>
      <c r="I4274" s="239"/>
    </row>
    <row r="4275" spans="6:9" x14ac:dyDescent="0.35">
      <c r="F4275" s="33"/>
      <c r="G4275" s="70"/>
      <c r="H4275" s="400"/>
      <c r="I4275" s="239"/>
    </row>
    <row r="4276" spans="6:9" x14ac:dyDescent="0.35">
      <c r="F4276" s="33"/>
      <c r="G4276" s="70"/>
      <c r="H4276" s="400"/>
      <c r="I4276" s="239"/>
    </row>
    <row r="4277" spans="6:9" x14ac:dyDescent="0.35">
      <c r="F4277" s="33"/>
      <c r="G4277" s="70"/>
      <c r="H4277" s="400"/>
      <c r="I4277" s="239"/>
    </row>
    <row r="4278" spans="6:9" x14ac:dyDescent="0.35">
      <c r="F4278" s="33"/>
      <c r="G4278" s="70"/>
      <c r="H4278" s="400"/>
      <c r="I4278" s="239"/>
    </row>
    <row r="4279" spans="6:9" x14ac:dyDescent="0.35">
      <c r="F4279" s="33"/>
      <c r="G4279" s="70"/>
      <c r="H4279" s="400"/>
      <c r="I4279" s="239"/>
    </row>
    <row r="4280" spans="6:9" x14ac:dyDescent="0.35">
      <c r="F4280" s="33"/>
      <c r="G4280" s="70"/>
      <c r="H4280" s="400"/>
      <c r="I4280" s="239"/>
    </row>
    <row r="4281" spans="6:9" x14ac:dyDescent="0.35">
      <c r="F4281" s="33"/>
      <c r="G4281" s="70"/>
      <c r="H4281" s="400"/>
      <c r="I4281" s="239"/>
    </row>
    <row r="4282" spans="6:9" x14ac:dyDescent="0.35">
      <c r="F4282" s="33"/>
      <c r="G4282" s="70"/>
      <c r="H4282" s="400"/>
      <c r="I4282" s="239"/>
    </row>
    <row r="4283" spans="6:9" x14ac:dyDescent="0.35">
      <c r="F4283" s="33"/>
      <c r="G4283" s="70"/>
      <c r="H4283" s="400"/>
      <c r="I4283" s="239"/>
    </row>
    <row r="4284" spans="6:9" x14ac:dyDescent="0.35">
      <c r="F4284" s="33"/>
      <c r="G4284" s="70"/>
      <c r="H4284" s="400"/>
      <c r="I4284" s="239"/>
    </row>
    <row r="4285" spans="6:9" x14ac:dyDescent="0.35">
      <c r="F4285" s="33"/>
      <c r="G4285" s="70"/>
      <c r="H4285" s="400"/>
      <c r="I4285" s="239"/>
    </row>
    <row r="4286" spans="6:9" x14ac:dyDescent="0.35">
      <c r="F4286" s="33"/>
      <c r="G4286" s="70"/>
      <c r="H4286" s="400"/>
      <c r="I4286" s="239"/>
    </row>
    <row r="4287" spans="6:9" x14ac:dyDescent="0.35">
      <c r="F4287" s="33"/>
      <c r="G4287" s="70"/>
      <c r="H4287" s="400"/>
      <c r="I4287" s="239"/>
    </row>
    <row r="4288" spans="6:9" x14ac:dyDescent="0.35">
      <c r="F4288" s="33"/>
      <c r="G4288" s="70"/>
      <c r="H4288" s="400"/>
      <c r="I4288" s="239"/>
    </row>
    <row r="4289" spans="6:9" x14ac:dyDescent="0.35">
      <c r="F4289" s="33"/>
      <c r="G4289" s="70"/>
      <c r="H4289" s="400"/>
      <c r="I4289" s="239"/>
    </row>
    <row r="4290" spans="6:9" x14ac:dyDescent="0.35">
      <c r="F4290" s="33"/>
      <c r="G4290" s="70"/>
      <c r="H4290" s="400"/>
      <c r="I4290" s="239"/>
    </row>
    <row r="4291" spans="6:9" x14ac:dyDescent="0.35">
      <c r="F4291" s="33"/>
      <c r="G4291" s="70"/>
      <c r="H4291" s="400"/>
      <c r="I4291" s="239"/>
    </row>
    <row r="4292" spans="6:9" x14ac:dyDescent="0.35">
      <c r="F4292" s="33"/>
      <c r="G4292" s="70"/>
      <c r="H4292" s="400"/>
      <c r="I4292" s="239"/>
    </row>
    <row r="4293" spans="6:9" x14ac:dyDescent="0.35">
      <c r="F4293" s="33"/>
      <c r="G4293" s="70"/>
      <c r="H4293" s="400"/>
      <c r="I4293" s="239"/>
    </row>
    <row r="4294" spans="6:9" x14ac:dyDescent="0.35">
      <c r="F4294" s="33"/>
      <c r="G4294" s="70"/>
      <c r="H4294" s="400"/>
      <c r="I4294" s="239"/>
    </row>
    <row r="4295" spans="6:9" x14ac:dyDescent="0.35">
      <c r="F4295" s="33"/>
      <c r="G4295" s="70"/>
      <c r="H4295" s="400"/>
      <c r="I4295" s="239"/>
    </row>
    <row r="4296" spans="6:9" x14ac:dyDescent="0.35">
      <c r="F4296" s="33"/>
      <c r="G4296" s="70"/>
      <c r="H4296" s="400"/>
      <c r="I4296" s="239"/>
    </row>
    <row r="4297" spans="6:9" x14ac:dyDescent="0.35">
      <c r="F4297" s="33"/>
      <c r="G4297" s="70"/>
      <c r="H4297" s="400"/>
      <c r="I4297" s="239"/>
    </row>
    <row r="4298" spans="6:9" x14ac:dyDescent="0.35">
      <c r="F4298" s="33"/>
      <c r="G4298" s="70"/>
      <c r="H4298" s="400"/>
      <c r="I4298" s="239"/>
    </row>
    <row r="4299" spans="6:9" x14ac:dyDescent="0.35">
      <c r="F4299" s="33"/>
      <c r="G4299" s="70"/>
      <c r="H4299" s="400"/>
      <c r="I4299" s="239"/>
    </row>
    <row r="4300" spans="6:9" x14ac:dyDescent="0.35">
      <c r="F4300" s="33"/>
      <c r="G4300" s="70"/>
      <c r="H4300" s="400"/>
      <c r="I4300" s="239"/>
    </row>
    <row r="4301" spans="6:9" x14ac:dyDescent="0.35">
      <c r="F4301" s="33"/>
      <c r="G4301" s="70"/>
      <c r="H4301" s="400"/>
      <c r="I4301" s="239"/>
    </row>
    <row r="4302" spans="6:9" x14ac:dyDescent="0.35">
      <c r="F4302" s="33"/>
      <c r="G4302" s="70"/>
      <c r="H4302" s="400"/>
      <c r="I4302" s="239"/>
    </row>
    <row r="4303" spans="6:9" x14ac:dyDescent="0.35">
      <c r="F4303" s="33"/>
      <c r="G4303" s="70"/>
      <c r="H4303" s="400"/>
      <c r="I4303" s="239"/>
    </row>
    <row r="4304" spans="6:9" x14ac:dyDescent="0.35">
      <c r="F4304" s="33"/>
      <c r="G4304" s="70"/>
      <c r="H4304" s="400"/>
      <c r="I4304" s="239"/>
    </row>
    <row r="4305" spans="6:9" x14ac:dyDescent="0.35">
      <c r="F4305" s="33"/>
      <c r="G4305" s="70"/>
      <c r="H4305" s="400"/>
      <c r="I4305" s="239"/>
    </row>
    <row r="4306" spans="6:9" x14ac:dyDescent="0.35">
      <c r="F4306" s="33"/>
      <c r="G4306" s="70"/>
      <c r="H4306" s="400"/>
      <c r="I4306" s="239"/>
    </row>
    <row r="4307" spans="6:9" x14ac:dyDescent="0.35">
      <c r="F4307" s="33"/>
      <c r="G4307" s="70"/>
      <c r="H4307" s="400"/>
      <c r="I4307" s="239"/>
    </row>
    <row r="4308" spans="6:9" x14ac:dyDescent="0.35">
      <c r="F4308" s="33"/>
      <c r="G4308" s="70"/>
      <c r="H4308" s="400"/>
      <c r="I4308" s="239"/>
    </row>
    <row r="4309" spans="6:9" x14ac:dyDescent="0.35">
      <c r="F4309" s="33"/>
      <c r="G4309" s="70"/>
      <c r="H4309" s="400"/>
      <c r="I4309" s="239"/>
    </row>
    <row r="4310" spans="6:9" x14ac:dyDescent="0.35">
      <c r="F4310" s="33"/>
      <c r="G4310" s="70"/>
      <c r="H4310" s="400"/>
      <c r="I4310" s="239"/>
    </row>
    <row r="4311" spans="6:9" x14ac:dyDescent="0.35">
      <c r="F4311" s="33"/>
      <c r="G4311" s="70"/>
      <c r="H4311" s="400"/>
      <c r="I4311" s="239"/>
    </row>
    <row r="4312" spans="6:9" x14ac:dyDescent="0.35">
      <c r="F4312" s="33"/>
      <c r="G4312" s="70"/>
      <c r="H4312" s="400"/>
      <c r="I4312" s="239"/>
    </row>
    <row r="4313" spans="6:9" x14ac:dyDescent="0.35">
      <c r="F4313" s="33"/>
      <c r="G4313" s="70"/>
      <c r="H4313" s="400"/>
      <c r="I4313" s="239"/>
    </row>
    <row r="4314" spans="6:9" x14ac:dyDescent="0.35">
      <c r="F4314" s="33"/>
      <c r="G4314" s="70"/>
      <c r="H4314" s="400"/>
      <c r="I4314" s="239"/>
    </row>
    <row r="4315" spans="6:9" x14ac:dyDescent="0.35">
      <c r="F4315" s="33"/>
      <c r="G4315" s="70"/>
      <c r="H4315" s="400"/>
      <c r="I4315" s="239"/>
    </row>
    <row r="4316" spans="6:9" x14ac:dyDescent="0.35">
      <c r="F4316" s="33"/>
      <c r="G4316" s="70"/>
      <c r="H4316" s="400"/>
      <c r="I4316" s="239"/>
    </row>
    <row r="4317" spans="6:9" x14ac:dyDescent="0.35">
      <c r="F4317" s="33"/>
      <c r="G4317" s="70"/>
      <c r="H4317" s="400"/>
      <c r="I4317" s="239"/>
    </row>
    <row r="4318" spans="6:9" x14ac:dyDescent="0.35">
      <c r="F4318" s="33"/>
      <c r="G4318" s="70"/>
      <c r="H4318" s="400"/>
      <c r="I4318" s="239"/>
    </row>
    <row r="4319" spans="6:9" x14ac:dyDescent="0.35">
      <c r="F4319" s="33"/>
      <c r="G4319" s="70"/>
      <c r="H4319" s="400"/>
      <c r="I4319" s="239"/>
    </row>
    <row r="4320" spans="6:9" x14ac:dyDescent="0.35">
      <c r="F4320" s="33"/>
      <c r="G4320" s="70"/>
      <c r="H4320" s="400"/>
      <c r="I4320" s="239"/>
    </row>
    <row r="4321" spans="6:9" x14ac:dyDescent="0.35">
      <c r="F4321" s="33"/>
      <c r="G4321" s="70"/>
      <c r="H4321" s="400"/>
      <c r="I4321" s="239"/>
    </row>
    <row r="4322" spans="6:9" x14ac:dyDescent="0.35">
      <c r="F4322" s="33"/>
      <c r="G4322" s="70"/>
      <c r="H4322" s="400"/>
      <c r="I4322" s="239"/>
    </row>
    <row r="4323" spans="6:9" x14ac:dyDescent="0.35">
      <c r="F4323" s="33"/>
      <c r="G4323" s="70"/>
      <c r="H4323" s="400"/>
      <c r="I4323" s="239"/>
    </row>
    <row r="4324" spans="6:9" x14ac:dyDescent="0.35">
      <c r="F4324" s="33"/>
      <c r="G4324" s="70"/>
      <c r="H4324" s="400"/>
      <c r="I4324" s="239"/>
    </row>
    <row r="4325" spans="6:9" x14ac:dyDescent="0.35">
      <c r="F4325" s="33"/>
      <c r="G4325" s="70"/>
      <c r="H4325" s="400"/>
      <c r="I4325" s="239"/>
    </row>
    <row r="4326" spans="6:9" x14ac:dyDescent="0.35">
      <c r="F4326" s="33"/>
      <c r="G4326" s="70"/>
      <c r="H4326" s="400"/>
      <c r="I4326" s="239"/>
    </row>
    <row r="4327" spans="6:9" x14ac:dyDescent="0.35">
      <c r="F4327" s="33"/>
      <c r="G4327" s="70"/>
      <c r="H4327" s="400"/>
      <c r="I4327" s="239"/>
    </row>
    <row r="4328" spans="6:9" x14ac:dyDescent="0.35">
      <c r="F4328" s="33"/>
      <c r="G4328" s="70"/>
      <c r="H4328" s="400"/>
      <c r="I4328" s="239"/>
    </row>
    <row r="4329" spans="6:9" x14ac:dyDescent="0.35">
      <c r="F4329" s="33"/>
      <c r="G4329" s="70"/>
      <c r="H4329" s="400"/>
      <c r="I4329" s="239"/>
    </row>
    <row r="4330" spans="6:9" x14ac:dyDescent="0.35">
      <c r="F4330" s="33"/>
      <c r="G4330" s="70"/>
      <c r="H4330" s="400"/>
      <c r="I4330" s="239"/>
    </row>
    <row r="4331" spans="6:9" x14ac:dyDescent="0.35">
      <c r="F4331" s="33"/>
      <c r="G4331" s="70"/>
      <c r="H4331" s="400"/>
      <c r="I4331" s="239"/>
    </row>
    <row r="4332" spans="6:9" x14ac:dyDescent="0.35">
      <c r="F4332" s="33"/>
      <c r="G4332" s="70"/>
      <c r="H4332" s="400"/>
      <c r="I4332" s="239"/>
    </row>
    <row r="4333" spans="6:9" x14ac:dyDescent="0.35">
      <c r="F4333" s="33"/>
      <c r="G4333" s="70"/>
      <c r="H4333" s="400"/>
      <c r="I4333" s="239"/>
    </row>
    <row r="4334" spans="6:9" x14ac:dyDescent="0.35">
      <c r="F4334" s="33"/>
      <c r="G4334" s="70"/>
      <c r="H4334" s="400"/>
      <c r="I4334" s="239"/>
    </row>
    <row r="4335" spans="6:9" x14ac:dyDescent="0.35">
      <c r="F4335" s="33"/>
      <c r="G4335" s="70"/>
      <c r="H4335" s="400"/>
      <c r="I4335" s="239"/>
    </row>
    <row r="4336" spans="6:9" x14ac:dyDescent="0.35">
      <c r="F4336" s="33"/>
      <c r="G4336" s="70"/>
      <c r="H4336" s="400"/>
      <c r="I4336" s="239"/>
    </row>
    <row r="4337" spans="6:9" x14ac:dyDescent="0.35">
      <c r="F4337" s="33"/>
      <c r="G4337" s="70"/>
      <c r="H4337" s="400"/>
      <c r="I4337" s="239"/>
    </row>
    <row r="4338" spans="6:9" x14ac:dyDescent="0.35">
      <c r="F4338" s="33"/>
      <c r="G4338" s="70"/>
      <c r="H4338" s="400"/>
      <c r="I4338" s="239"/>
    </row>
    <row r="4339" spans="6:9" x14ac:dyDescent="0.35">
      <c r="F4339" s="33"/>
      <c r="G4339" s="70"/>
      <c r="H4339" s="400"/>
      <c r="I4339" s="239"/>
    </row>
    <row r="4340" spans="6:9" x14ac:dyDescent="0.35">
      <c r="F4340" s="33"/>
      <c r="G4340" s="70"/>
      <c r="H4340" s="400"/>
      <c r="I4340" s="239"/>
    </row>
    <row r="4341" spans="6:9" x14ac:dyDescent="0.35">
      <c r="F4341" s="33"/>
      <c r="G4341" s="70"/>
      <c r="H4341" s="400"/>
      <c r="I4341" s="239"/>
    </row>
    <row r="4342" spans="6:9" x14ac:dyDescent="0.35">
      <c r="F4342" s="33"/>
      <c r="G4342" s="70"/>
      <c r="H4342" s="400"/>
      <c r="I4342" s="239"/>
    </row>
    <row r="4343" spans="6:9" x14ac:dyDescent="0.35">
      <c r="F4343" s="33"/>
      <c r="G4343" s="70"/>
      <c r="H4343" s="400"/>
      <c r="I4343" s="239"/>
    </row>
    <row r="4344" spans="6:9" x14ac:dyDescent="0.35">
      <c r="F4344" s="33"/>
      <c r="G4344" s="70"/>
      <c r="H4344" s="400"/>
      <c r="I4344" s="239"/>
    </row>
    <row r="4345" spans="6:9" x14ac:dyDescent="0.35">
      <c r="F4345" s="33"/>
      <c r="G4345" s="70"/>
      <c r="H4345" s="400"/>
      <c r="I4345" s="239"/>
    </row>
    <row r="4346" spans="6:9" x14ac:dyDescent="0.35">
      <c r="F4346" s="33"/>
      <c r="G4346" s="70"/>
      <c r="H4346" s="400"/>
      <c r="I4346" s="239"/>
    </row>
    <row r="4347" spans="6:9" x14ac:dyDescent="0.35">
      <c r="F4347" s="33"/>
      <c r="G4347" s="70"/>
      <c r="H4347" s="400"/>
      <c r="I4347" s="239"/>
    </row>
    <row r="4348" spans="6:9" x14ac:dyDescent="0.35">
      <c r="F4348" s="33"/>
      <c r="G4348" s="70"/>
      <c r="H4348" s="400"/>
      <c r="I4348" s="239"/>
    </row>
    <row r="4349" spans="6:9" x14ac:dyDescent="0.35">
      <c r="F4349" s="33"/>
      <c r="G4349" s="70"/>
      <c r="H4349" s="400"/>
      <c r="I4349" s="239"/>
    </row>
    <row r="4350" spans="6:9" x14ac:dyDescent="0.35">
      <c r="F4350" s="33"/>
      <c r="G4350" s="70"/>
      <c r="H4350" s="400"/>
      <c r="I4350" s="239"/>
    </row>
    <row r="4351" spans="6:9" x14ac:dyDescent="0.35">
      <c r="F4351" s="33"/>
      <c r="G4351" s="70"/>
      <c r="H4351" s="400"/>
      <c r="I4351" s="239"/>
    </row>
    <row r="4352" spans="6:9" x14ac:dyDescent="0.35">
      <c r="F4352" s="33"/>
      <c r="G4352" s="70"/>
      <c r="H4352" s="400"/>
      <c r="I4352" s="239"/>
    </row>
    <row r="4353" spans="6:9" x14ac:dyDescent="0.35">
      <c r="F4353" s="33"/>
      <c r="G4353" s="70"/>
      <c r="H4353" s="400"/>
      <c r="I4353" s="239"/>
    </row>
    <row r="4354" spans="6:9" x14ac:dyDescent="0.35">
      <c r="F4354" s="33"/>
      <c r="G4354" s="70"/>
      <c r="H4354" s="400"/>
      <c r="I4354" s="239"/>
    </row>
    <row r="4355" spans="6:9" x14ac:dyDescent="0.35">
      <c r="F4355" s="33"/>
      <c r="G4355" s="70"/>
      <c r="H4355" s="400"/>
      <c r="I4355" s="239"/>
    </row>
    <row r="4356" spans="6:9" x14ac:dyDescent="0.35">
      <c r="F4356" s="33"/>
      <c r="G4356" s="70"/>
      <c r="H4356" s="400"/>
      <c r="I4356" s="239"/>
    </row>
    <row r="4357" spans="6:9" x14ac:dyDescent="0.35">
      <c r="F4357" s="33"/>
      <c r="G4357" s="70"/>
      <c r="H4357" s="400"/>
      <c r="I4357" s="239"/>
    </row>
    <row r="4358" spans="6:9" x14ac:dyDescent="0.35">
      <c r="F4358" s="33"/>
      <c r="G4358" s="70"/>
      <c r="H4358" s="400"/>
      <c r="I4358" s="239"/>
    </row>
    <row r="4359" spans="6:9" x14ac:dyDescent="0.35">
      <c r="F4359" s="33"/>
      <c r="G4359" s="70"/>
      <c r="H4359" s="400"/>
      <c r="I4359" s="239"/>
    </row>
    <row r="4360" spans="6:9" x14ac:dyDescent="0.35">
      <c r="F4360" s="33"/>
      <c r="G4360" s="70"/>
      <c r="H4360" s="400"/>
      <c r="I4360" s="239"/>
    </row>
    <row r="4361" spans="6:9" x14ac:dyDescent="0.35">
      <c r="F4361" s="33"/>
      <c r="G4361" s="70"/>
      <c r="H4361" s="400"/>
      <c r="I4361" s="239"/>
    </row>
    <row r="4362" spans="6:9" x14ac:dyDescent="0.35">
      <c r="F4362" s="33"/>
      <c r="G4362" s="70"/>
      <c r="H4362" s="400"/>
      <c r="I4362" s="239"/>
    </row>
    <row r="4363" spans="6:9" x14ac:dyDescent="0.35">
      <c r="F4363" s="33"/>
      <c r="G4363" s="70"/>
      <c r="H4363" s="400"/>
      <c r="I4363" s="239"/>
    </row>
    <row r="4364" spans="6:9" x14ac:dyDescent="0.35">
      <c r="F4364" s="33"/>
      <c r="G4364" s="70"/>
      <c r="H4364" s="400"/>
      <c r="I4364" s="239"/>
    </row>
    <row r="4365" spans="6:9" x14ac:dyDescent="0.35">
      <c r="F4365" s="33"/>
      <c r="G4365" s="70"/>
      <c r="H4365" s="400"/>
      <c r="I4365" s="239"/>
    </row>
    <row r="4366" spans="6:9" x14ac:dyDescent="0.35">
      <c r="F4366" s="33"/>
      <c r="G4366" s="70"/>
      <c r="H4366" s="400"/>
      <c r="I4366" s="239"/>
    </row>
    <row r="4367" spans="6:9" x14ac:dyDescent="0.35">
      <c r="F4367" s="33"/>
      <c r="G4367" s="70"/>
      <c r="H4367" s="400"/>
      <c r="I4367" s="239"/>
    </row>
    <row r="4368" spans="6:9" x14ac:dyDescent="0.35">
      <c r="F4368" s="33"/>
      <c r="G4368" s="70"/>
      <c r="H4368" s="400"/>
      <c r="I4368" s="239"/>
    </row>
    <row r="4369" spans="6:9" x14ac:dyDescent="0.35">
      <c r="F4369" s="33"/>
      <c r="G4369" s="70"/>
      <c r="H4369" s="400"/>
      <c r="I4369" s="239"/>
    </row>
    <row r="4370" spans="6:9" x14ac:dyDescent="0.35">
      <c r="F4370" s="33"/>
      <c r="G4370" s="70"/>
      <c r="H4370" s="400"/>
      <c r="I4370" s="239"/>
    </row>
    <row r="4371" spans="6:9" x14ac:dyDescent="0.35">
      <c r="F4371" s="33"/>
      <c r="G4371" s="70"/>
      <c r="H4371" s="400"/>
      <c r="I4371" s="239"/>
    </row>
    <row r="4372" spans="6:9" x14ac:dyDescent="0.35">
      <c r="F4372" s="33"/>
      <c r="G4372" s="70"/>
      <c r="H4372" s="400"/>
      <c r="I4372" s="239"/>
    </row>
    <row r="4373" spans="6:9" x14ac:dyDescent="0.35">
      <c r="F4373" s="33"/>
      <c r="G4373" s="70"/>
      <c r="H4373" s="400"/>
      <c r="I4373" s="239"/>
    </row>
    <row r="4374" spans="6:9" x14ac:dyDescent="0.35">
      <c r="F4374" s="33"/>
      <c r="G4374" s="70"/>
      <c r="H4374" s="400"/>
      <c r="I4374" s="239"/>
    </row>
    <row r="4375" spans="6:9" x14ac:dyDescent="0.35">
      <c r="F4375" s="33"/>
      <c r="G4375" s="70"/>
      <c r="H4375" s="400"/>
      <c r="I4375" s="239"/>
    </row>
    <row r="4376" spans="6:9" x14ac:dyDescent="0.35">
      <c r="F4376" s="33"/>
      <c r="G4376" s="70"/>
      <c r="H4376" s="400"/>
      <c r="I4376" s="239"/>
    </row>
    <row r="4377" spans="6:9" x14ac:dyDescent="0.35">
      <c r="F4377" s="33"/>
      <c r="G4377" s="70"/>
      <c r="H4377" s="400"/>
      <c r="I4377" s="239"/>
    </row>
    <row r="4378" spans="6:9" x14ac:dyDescent="0.35">
      <c r="F4378" s="33"/>
      <c r="G4378" s="70"/>
      <c r="H4378" s="400"/>
      <c r="I4378" s="239"/>
    </row>
    <row r="4379" spans="6:9" x14ac:dyDescent="0.35">
      <c r="F4379" s="33"/>
      <c r="G4379" s="70"/>
      <c r="H4379" s="400"/>
      <c r="I4379" s="239"/>
    </row>
    <row r="4380" spans="6:9" x14ac:dyDescent="0.35">
      <c r="F4380" s="33"/>
      <c r="G4380" s="70"/>
      <c r="H4380" s="400"/>
      <c r="I4380" s="239"/>
    </row>
    <row r="4381" spans="6:9" x14ac:dyDescent="0.35">
      <c r="F4381" s="33"/>
      <c r="G4381" s="70"/>
      <c r="H4381" s="400"/>
      <c r="I4381" s="239"/>
    </row>
    <row r="4382" spans="6:9" x14ac:dyDescent="0.35">
      <c r="F4382" s="33"/>
      <c r="G4382" s="70"/>
      <c r="H4382" s="400"/>
      <c r="I4382" s="239"/>
    </row>
    <row r="4383" spans="6:9" x14ac:dyDescent="0.35">
      <c r="F4383" s="33"/>
      <c r="G4383" s="70"/>
      <c r="H4383" s="400"/>
      <c r="I4383" s="239"/>
    </row>
    <row r="4384" spans="6:9" x14ac:dyDescent="0.35">
      <c r="F4384" s="33"/>
      <c r="G4384" s="70"/>
      <c r="H4384" s="400"/>
      <c r="I4384" s="239"/>
    </row>
    <row r="4385" spans="6:9" x14ac:dyDescent="0.35">
      <c r="F4385" s="33"/>
      <c r="G4385" s="70"/>
      <c r="H4385" s="400"/>
      <c r="I4385" s="239"/>
    </row>
    <row r="4386" spans="6:9" x14ac:dyDescent="0.35">
      <c r="F4386" s="33"/>
      <c r="G4386" s="70"/>
      <c r="H4386" s="400"/>
      <c r="I4386" s="239"/>
    </row>
    <row r="4387" spans="6:9" x14ac:dyDescent="0.35">
      <c r="F4387" s="33"/>
      <c r="G4387" s="70"/>
      <c r="H4387" s="400"/>
      <c r="I4387" s="239"/>
    </row>
    <row r="4388" spans="6:9" x14ac:dyDescent="0.35">
      <c r="F4388" s="33"/>
      <c r="G4388" s="70"/>
      <c r="H4388" s="400"/>
      <c r="I4388" s="239"/>
    </row>
    <row r="4389" spans="6:9" x14ac:dyDescent="0.35">
      <c r="F4389" s="33"/>
      <c r="G4389" s="70"/>
      <c r="H4389" s="400"/>
      <c r="I4389" s="239"/>
    </row>
    <row r="4390" spans="6:9" x14ac:dyDescent="0.35">
      <c r="F4390" s="33"/>
      <c r="G4390" s="70"/>
      <c r="H4390" s="400"/>
      <c r="I4390" s="239"/>
    </row>
    <row r="4391" spans="6:9" x14ac:dyDescent="0.35">
      <c r="F4391" s="33"/>
      <c r="G4391" s="70"/>
      <c r="H4391" s="400"/>
      <c r="I4391" s="239"/>
    </row>
    <row r="4392" spans="6:9" x14ac:dyDescent="0.35">
      <c r="F4392" s="33"/>
      <c r="G4392" s="70"/>
      <c r="H4392" s="400"/>
      <c r="I4392" s="239"/>
    </row>
    <row r="4393" spans="6:9" x14ac:dyDescent="0.35">
      <c r="F4393" s="33"/>
      <c r="G4393" s="70"/>
      <c r="H4393" s="400"/>
      <c r="I4393" s="239"/>
    </row>
    <row r="4394" spans="6:9" x14ac:dyDescent="0.35">
      <c r="F4394" s="33"/>
      <c r="G4394" s="70"/>
      <c r="H4394" s="400"/>
      <c r="I4394" s="239"/>
    </row>
    <row r="4395" spans="6:9" x14ac:dyDescent="0.35">
      <c r="F4395" s="33"/>
      <c r="G4395" s="70"/>
      <c r="H4395" s="400"/>
      <c r="I4395" s="239"/>
    </row>
    <row r="4396" spans="6:9" x14ac:dyDescent="0.35">
      <c r="F4396" s="33"/>
      <c r="G4396" s="70"/>
      <c r="H4396" s="400"/>
      <c r="I4396" s="239"/>
    </row>
    <row r="4397" spans="6:9" x14ac:dyDescent="0.35">
      <c r="F4397" s="33"/>
      <c r="G4397" s="70"/>
      <c r="H4397" s="400"/>
      <c r="I4397" s="239"/>
    </row>
    <row r="4398" spans="6:9" x14ac:dyDescent="0.35">
      <c r="F4398" s="33"/>
      <c r="G4398" s="70"/>
      <c r="H4398" s="400"/>
      <c r="I4398" s="239"/>
    </row>
    <row r="4399" spans="6:9" x14ac:dyDescent="0.35">
      <c r="F4399" s="33"/>
      <c r="G4399" s="70"/>
      <c r="H4399" s="400"/>
      <c r="I4399" s="239"/>
    </row>
    <row r="4400" spans="6:9" x14ac:dyDescent="0.35">
      <c r="F4400" s="33"/>
      <c r="G4400" s="70"/>
      <c r="H4400" s="400"/>
      <c r="I4400" s="239"/>
    </row>
    <row r="4401" spans="6:9" x14ac:dyDescent="0.35">
      <c r="F4401" s="33"/>
      <c r="G4401" s="70"/>
      <c r="H4401" s="400"/>
      <c r="I4401" s="239"/>
    </row>
    <row r="4402" spans="6:9" x14ac:dyDescent="0.35">
      <c r="F4402" s="33"/>
      <c r="G4402" s="70"/>
      <c r="H4402" s="400"/>
      <c r="I4402" s="239"/>
    </row>
    <row r="4403" spans="6:9" x14ac:dyDescent="0.35">
      <c r="F4403" s="33"/>
      <c r="G4403" s="70"/>
      <c r="H4403" s="400"/>
      <c r="I4403" s="239"/>
    </row>
    <row r="4404" spans="6:9" x14ac:dyDescent="0.35">
      <c r="F4404" s="33"/>
      <c r="G4404" s="70"/>
      <c r="H4404" s="400"/>
      <c r="I4404" s="239"/>
    </row>
    <row r="4405" spans="6:9" x14ac:dyDescent="0.35">
      <c r="F4405" s="33"/>
      <c r="G4405" s="70"/>
      <c r="H4405" s="400"/>
      <c r="I4405" s="239"/>
    </row>
    <row r="4406" spans="6:9" x14ac:dyDescent="0.35">
      <c r="F4406" s="33"/>
      <c r="G4406" s="70"/>
      <c r="H4406" s="400"/>
      <c r="I4406" s="239"/>
    </row>
    <row r="4407" spans="6:9" x14ac:dyDescent="0.35">
      <c r="F4407" s="33"/>
      <c r="G4407" s="70"/>
      <c r="H4407" s="400"/>
      <c r="I4407" s="239"/>
    </row>
    <row r="4408" spans="6:9" x14ac:dyDescent="0.35">
      <c r="F4408" s="33"/>
      <c r="G4408" s="70"/>
      <c r="H4408" s="400"/>
      <c r="I4408" s="239"/>
    </row>
    <row r="4409" spans="6:9" x14ac:dyDescent="0.35">
      <c r="F4409" s="33"/>
      <c r="G4409" s="70"/>
      <c r="H4409" s="400"/>
      <c r="I4409" s="239"/>
    </row>
    <row r="4410" spans="6:9" x14ac:dyDescent="0.35">
      <c r="F4410" s="33"/>
      <c r="G4410" s="70"/>
      <c r="H4410" s="400"/>
      <c r="I4410" s="239"/>
    </row>
    <row r="4411" spans="6:9" x14ac:dyDescent="0.35">
      <c r="F4411" s="33"/>
      <c r="G4411" s="70"/>
      <c r="H4411" s="400"/>
      <c r="I4411" s="239"/>
    </row>
    <row r="4412" spans="6:9" x14ac:dyDescent="0.35">
      <c r="F4412" s="33"/>
      <c r="G4412" s="70"/>
      <c r="H4412" s="400"/>
      <c r="I4412" s="239"/>
    </row>
    <row r="4413" spans="6:9" x14ac:dyDescent="0.35">
      <c r="F4413" s="33"/>
      <c r="G4413" s="70"/>
      <c r="H4413" s="400"/>
      <c r="I4413" s="239"/>
    </row>
    <row r="4414" spans="6:9" x14ac:dyDescent="0.35">
      <c r="F4414" s="33"/>
      <c r="G4414" s="70"/>
      <c r="H4414" s="400"/>
      <c r="I4414" s="239"/>
    </row>
    <row r="4415" spans="6:9" x14ac:dyDescent="0.35">
      <c r="F4415" s="33"/>
      <c r="G4415" s="70"/>
      <c r="H4415" s="400"/>
      <c r="I4415" s="239"/>
    </row>
    <row r="4416" spans="6:9" x14ac:dyDescent="0.35">
      <c r="F4416" s="33"/>
      <c r="G4416" s="70"/>
      <c r="H4416" s="400"/>
      <c r="I4416" s="239"/>
    </row>
    <row r="4417" spans="6:9" x14ac:dyDescent="0.35">
      <c r="F4417" s="33"/>
      <c r="G4417" s="70"/>
      <c r="H4417" s="400"/>
      <c r="I4417" s="239"/>
    </row>
    <row r="4418" spans="6:9" x14ac:dyDescent="0.35">
      <c r="F4418" s="33"/>
      <c r="G4418" s="70"/>
      <c r="H4418" s="400"/>
      <c r="I4418" s="239"/>
    </row>
    <row r="4419" spans="6:9" x14ac:dyDescent="0.35">
      <c r="F4419" s="33"/>
      <c r="G4419" s="70"/>
      <c r="H4419" s="400"/>
      <c r="I4419" s="239"/>
    </row>
    <row r="4420" spans="6:9" x14ac:dyDescent="0.35">
      <c r="F4420" s="33"/>
      <c r="G4420" s="70"/>
      <c r="H4420" s="400"/>
      <c r="I4420" s="239"/>
    </row>
    <row r="4421" spans="6:9" x14ac:dyDescent="0.35">
      <c r="F4421" s="33"/>
      <c r="G4421" s="70"/>
      <c r="H4421" s="400"/>
      <c r="I4421" s="239"/>
    </row>
    <row r="4422" spans="6:9" x14ac:dyDescent="0.35">
      <c r="F4422" s="33"/>
      <c r="G4422" s="70"/>
      <c r="H4422" s="400"/>
      <c r="I4422" s="239"/>
    </row>
    <row r="4423" spans="6:9" x14ac:dyDescent="0.35">
      <c r="F4423" s="33"/>
      <c r="G4423" s="70"/>
      <c r="H4423" s="400"/>
      <c r="I4423" s="239"/>
    </row>
    <row r="4424" spans="6:9" x14ac:dyDescent="0.35">
      <c r="F4424" s="33"/>
      <c r="G4424" s="70"/>
      <c r="H4424" s="400"/>
      <c r="I4424" s="239"/>
    </row>
    <row r="4425" spans="6:9" x14ac:dyDescent="0.35">
      <c r="F4425" s="33"/>
      <c r="G4425" s="70"/>
      <c r="H4425" s="400"/>
      <c r="I4425" s="239"/>
    </row>
    <row r="4426" spans="6:9" x14ac:dyDescent="0.35">
      <c r="F4426" s="33"/>
      <c r="G4426" s="70"/>
      <c r="H4426" s="400"/>
      <c r="I4426" s="239"/>
    </row>
    <row r="4427" spans="6:9" x14ac:dyDescent="0.35">
      <c r="F4427" s="33"/>
      <c r="G4427" s="70"/>
      <c r="H4427" s="400"/>
      <c r="I4427" s="239"/>
    </row>
    <row r="4428" spans="6:9" x14ac:dyDescent="0.35">
      <c r="F4428" s="33"/>
      <c r="G4428" s="70"/>
      <c r="H4428" s="400"/>
      <c r="I4428" s="239"/>
    </row>
    <row r="4429" spans="6:9" x14ac:dyDescent="0.35">
      <c r="F4429" s="33"/>
      <c r="G4429" s="70"/>
      <c r="H4429" s="400"/>
      <c r="I4429" s="239"/>
    </row>
    <row r="4430" spans="6:9" x14ac:dyDescent="0.35">
      <c r="F4430" s="33"/>
      <c r="G4430" s="70"/>
      <c r="H4430" s="400"/>
      <c r="I4430" s="239"/>
    </row>
    <row r="4431" spans="6:9" x14ac:dyDescent="0.35">
      <c r="F4431" s="33"/>
      <c r="G4431" s="70"/>
      <c r="H4431" s="400"/>
      <c r="I4431" s="239"/>
    </row>
    <row r="4432" spans="6:9" x14ac:dyDescent="0.35">
      <c r="F4432" s="33"/>
      <c r="G4432" s="70"/>
      <c r="H4432" s="400"/>
      <c r="I4432" s="239"/>
    </row>
    <row r="4433" spans="6:9" x14ac:dyDescent="0.35">
      <c r="F4433" s="33"/>
      <c r="G4433" s="70"/>
      <c r="H4433" s="400"/>
      <c r="I4433" s="239"/>
    </row>
    <row r="4434" spans="6:9" x14ac:dyDescent="0.35">
      <c r="F4434" s="33"/>
      <c r="G4434" s="70"/>
      <c r="H4434" s="400"/>
      <c r="I4434" s="239"/>
    </row>
    <row r="4435" spans="6:9" x14ac:dyDescent="0.35">
      <c r="F4435" s="33"/>
      <c r="G4435" s="70"/>
      <c r="H4435" s="400"/>
      <c r="I4435" s="239"/>
    </row>
    <row r="4436" spans="6:9" x14ac:dyDescent="0.35">
      <c r="F4436" s="33"/>
      <c r="G4436" s="70"/>
      <c r="H4436" s="400"/>
      <c r="I4436" s="239"/>
    </row>
    <row r="4437" spans="6:9" x14ac:dyDescent="0.35">
      <c r="F4437" s="33"/>
      <c r="G4437" s="70"/>
      <c r="H4437" s="400"/>
      <c r="I4437" s="239"/>
    </row>
    <row r="4438" spans="6:9" x14ac:dyDescent="0.35">
      <c r="F4438" s="33"/>
      <c r="G4438" s="70"/>
      <c r="H4438" s="400"/>
      <c r="I4438" s="239"/>
    </row>
    <row r="4439" spans="6:9" x14ac:dyDescent="0.35">
      <c r="F4439" s="33"/>
      <c r="G4439" s="70"/>
      <c r="H4439" s="400"/>
      <c r="I4439" s="239"/>
    </row>
    <row r="4440" spans="6:9" x14ac:dyDescent="0.35">
      <c r="F4440" s="33"/>
      <c r="G4440" s="70"/>
      <c r="H4440" s="400"/>
      <c r="I4440" s="239"/>
    </row>
    <row r="4441" spans="6:9" x14ac:dyDescent="0.35">
      <c r="F4441" s="33"/>
      <c r="G4441" s="70"/>
      <c r="H4441" s="400"/>
      <c r="I4441" s="239"/>
    </row>
    <row r="4442" spans="6:9" x14ac:dyDescent="0.35">
      <c r="F4442" s="33"/>
      <c r="G4442" s="70"/>
      <c r="H4442" s="400"/>
      <c r="I4442" s="239"/>
    </row>
    <row r="4443" spans="6:9" x14ac:dyDescent="0.35">
      <c r="F4443" s="33"/>
      <c r="G4443" s="70"/>
      <c r="H4443" s="400"/>
      <c r="I4443" s="239"/>
    </row>
    <row r="4444" spans="6:9" x14ac:dyDescent="0.35">
      <c r="F4444" s="33"/>
      <c r="G4444" s="70"/>
      <c r="H4444" s="400"/>
      <c r="I4444" s="239"/>
    </row>
    <row r="4445" spans="6:9" x14ac:dyDescent="0.35">
      <c r="F4445" s="33"/>
      <c r="G4445" s="70"/>
      <c r="H4445" s="400"/>
      <c r="I4445" s="239"/>
    </row>
    <row r="4446" spans="6:9" x14ac:dyDescent="0.35">
      <c r="F4446" s="33"/>
      <c r="G4446" s="70"/>
      <c r="H4446" s="400"/>
      <c r="I4446" s="239"/>
    </row>
    <row r="4447" spans="6:9" x14ac:dyDescent="0.35">
      <c r="F4447" s="33"/>
      <c r="G4447" s="70"/>
      <c r="H4447" s="400"/>
      <c r="I4447" s="239"/>
    </row>
    <row r="4448" spans="6:9" x14ac:dyDescent="0.35">
      <c r="F4448" s="33"/>
      <c r="G4448" s="70"/>
      <c r="H4448" s="400"/>
      <c r="I4448" s="239"/>
    </row>
    <row r="4449" spans="6:9" x14ac:dyDescent="0.35">
      <c r="F4449" s="33"/>
      <c r="G4449" s="70"/>
      <c r="H4449" s="400"/>
      <c r="I4449" s="239"/>
    </row>
    <row r="4450" spans="6:9" x14ac:dyDescent="0.35">
      <c r="F4450" s="33"/>
      <c r="G4450" s="70"/>
      <c r="H4450" s="400"/>
      <c r="I4450" s="239"/>
    </row>
    <row r="4451" spans="6:9" x14ac:dyDescent="0.35">
      <c r="F4451" s="33"/>
      <c r="G4451" s="70"/>
      <c r="H4451" s="400"/>
      <c r="I4451" s="239"/>
    </row>
    <row r="4452" spans="6:9" x14ac:dyDescent="0.35">
      <c r="F4452" s="33"/>
      <c r="G4452" s="70"/>
      <c r="H4452" s="400"/>
      <c r="I4452" s="239"/>
    </row>
    <row r="4453" spans="6:9" x14ac:dyDescent="0.35">
      <c r="F4453" s="33"/>
      <c r="G4453" s="70"/>
      <c r="H4453" s="400"/>
      <c r="I4453" s="239"/>
    </row>
    <row r="4454" spans="6:9" x14ac:dyDescent="0.35">
      <c r="F4454" s="33"/>
      <c r="G4454" s="70"/>
      <c r="H4454" s="400"/>
      <c r="I4454" s="239"/>
    </row>
    <row r="4455" spans="6:9" x14ac:dyDescent="0.35">
      <c r="F4455" s="33"/>
      <c r="G4455" s="70"/>
      <c r="H4455" s="400"/>
      <c r="I4455" s="239"/>
    </row>
    <row r="4456" spans="6:9" x14ac:dyDescent="0.35">
      <c r="F4456" s="33"/>
      <c r="G4456" s="70"/>
      <c r="H4456" s="400"/>
      <c r="I4456" s="239"/>
    </row>
    <row r="4457" spans="6:9" x14ac:dyDescent="0.35">
      <c r="F4457" s="33"/>
      <c r="G4457" s="70"/>
      <c r="H4457" s="400"/>
      <c r="I4457" s="239"/>
    </row>
    <row r="4458" spans="6:9" x14ac:dyDescent="0.35">
      <c r="F4458" s="33"/>
      <c r="G4458" s="70"/>
      <c r="H4458" s="400"/>
      <c r="I4458" s="239"/>
    </row>
    <row r="4459" spans="6:9" x14ac:dyDescent="0.35">
      <c r="F4459" s="33"/>
      <c r="G4459" s="70"/>
      <c r="H4459" s="400"/>
      <c r="I4459" s="239"/>
    </row>
    <row r="4460" spans="6:9" x14ac:dyDescent="0.35">
      <c r="F4460" s="33"/>
      <c r="G4460" s="70"/>
      <c r="H4460" s="400"/>
      <c r="I4460" s="239"/>
    </row>
    <row r="4461" spans="6:9" x14ac:dyDescent="0.35">
      <c r="F4461" s="33"/>
      <c r="G4461" s="70"/>
      <c r="H4461" s="400"/>
      <c r="I4461" s="239"/>
    </row>
    <row r="4462" spans="6:9" x14ac:dyDescent="0.35">
      <c r="F4462" s="33"/>
      <c r="G4462" s="70"/>
      <c r="H4462" s="400"/>
      <c r="I4462" s="239"/>
    </row>
    <row r="4463" spans="6:9" x14ac:dyDescent="0.35">
      <c r="F4463" s="33"/>
      <c r="G4463" s="70"/>
      <c r="H4463" s="400"/>
      <c r="I4463" s="239"/>
    </row>
    <row r="4464" spans="6:9" x14ac:dyDescent="0.35">
      <c r="F4464" s="33"/>
      <c r="G4464" s="70"/>
      <c r="H4464" s="400"/>
      <c r="I4464" s="239"/>
    </row>
    <row r="4465" spans="6:9" x14ac:dyDescent="0.35">
      <c r="F4465" s="33"/>
      <c r="G4465" s="70"/>
      <c r="H4465" s="400"/>
      <c r="I4465" s="239"/>
    </row>
    <row r="4466" spans="6:9" x14ac:dyDescent="0.35">
      <c r="F4466" s="33"/>
      <c r="G4466" s="70"/>
      <c r="H4466" s="400"/>
      <c r="I4466" s="239"/>
    </row>
    <row r="4467" spans="6:9" x14ac:dyDescent="0.35">
      <c r="F4467" s="33"/>
      <c r="G4467" s="70"/>
      <c r="H4467" s="400"/>
      <c r="I4467" s="239"/>
    </row>
    <row r="4468" spans="6:9" x14ac:dyDescent="0.35">
      <c r="F4468" s="33"/>
      <c r="G4468" s="70"/>
      <c r="H4468" s="400"/>
      <c r="I4468" s="239"/>
    </row>
    <row r="4469" spans="6:9" x14ac:dyDescent="0.35">
      <c r="F4469" s="33"/>
      <c r="G4469" s="70"/>
      <c r="H4469" s="400"/>
      <c r="I4469" s="239"/>
    </row>
    <row r="4470" spans="6:9" x14ac:dyDescent="0.35">
      <c r="F4470" s="33"/>
      <c r="G4470" s="70"/>
      <c r="H4470" s="400"/>
      <c r="I4470" s="239"/>
    </row>
    <row r="4471" spans="6:9" x14ac:dyDescent="0.35">
      <c r="F4471" s="33"/>
      <c r="G4471" s="70"/>
      <c r="H4471" s="400"/>
      <c r="I4471" s="239"/>
    </row>
    <row r="4472" spans="6:9" x14ac:dyDescent="0.35">
      <c r="F4472" s="33"/>
      <c r="G4472" s="70"/>
      <c r="H4472" s="400"/>
      <c r="I4472" s="239"/>
    </row>
    <row r="4473" spans="6:9" x14ac:dyDescent="0.35">
      <c r="F4473" s="33"/>
      <c r="G4473" s="70"/>
      <c r="H4473" s="400"/>
      <c r="I4473" s="239"/>
    </row>
    <row r="4474" spans="6:9" x14ac:dyDescent="0.35">
      <c r="F4474" s="33"/>
      <c r="G4474" s="70"/>
      <c r="H4474" s="400"/>
      <c r="I4474" s="239"/>
    </row>
    <row r="4475" spans="6:9" x14ac:dyDescent="0.35">
      <c r="F4475" s="33"/>
      <c r="G4475" s="70"/>
      <c r="H4475" s="400"/>
      <c r="I4475" s="239"/>
    </row>
    <row r="4476" spans="6:9" x14ac:dyDescent="0.35">
      <c r="F4476" s="33"/>
      <c r="G4476" s="70"/>
      <c r="H4476" s="400"/>
      <c r="I4476" s="239"/>
    </row>
    <row r="4477" spans="6:9" x14ac:dyDescent="0.35">
      <c r="F4477" s="33"/>
      <c r="G4477" s="70"/>
      <c r="H4477" s="400"/>
      <c r="I4477" s="239"/>
    </row>
    <row r="4478" spans="6:9" x14ac:dyDescent="0.35">
      <c r="F4478" s="33"/>
      <c r="G4478" s="70"/>
      <c r="H4478" s="400"/>
      <c r="I4478" s="239"/>
    </row>
    <row r="4479" spans="6:9" x14ac:dyDescent="0.35">
      <c r="F4479" s="33"/>
      <c r="G4479" s="70"/>
      <c r="H4479" s="400"/>
      <c r="I4479" s="239"/>
    </row>
    <row r="4480" spans="6:9" x14ac:dyDescent="0.35">
      <c r="F4480" s="33"/>
      <c r="G4480" s="70"/>
      <c r="H4480" s="400"/>
      <c r="I4480" s="239"/>
    </row>
    <row r="4481" spans="6:9" x14ac:dyDescent="0.35">
      <c r="F4481" s="33"/>
      <c r="G4481" s="70"/>
      <c r="H4481" s="400"/>
      <c r="I4481" s="239"/>
    </row>
    <row r="4482" spans="6:9" x14ac:dyDescent="0.35">
      <c r="F4482" s="33"/>
      <c r="G4482" s="70"/>
      <c r="H4482" s="400"/>
      <c r="I4482" s="239"/>
    </row>
    <row r="4483" spans="6:9" x14ac:dyDescent="0.35">
      <c r="F4483" s="33"/>
      <c r="G4483" s="70"/>
      <c r="H4483" s="400"/>
      <c r="I4483" s="239"/>
    </row>
    <row r="4484" spans="6:9" x14ac:dyDescent="0.35">
      <c r="F4484" s="33"/>
      <c r="G4484" s="70"/>
      <c r="H4484" s="400"/>
      <c r="I4484" s="239"/>
    </row>
    <row r="4485" spans="6:9" x14ac:dyDescent="0.35">
      <c r="F4485" s="33"/>
      <c r="G4485" s="70"/>
      <c r="H4485" s="400"/>
      <c r="I4485" s="239"/>
    </row>
    <row r="4486" spans="6:9" x14ac:dyDescent="0.35">
      <c r="F4486" s="33"/>
      <c r="G4486" s="70"/>
      <c r="H4486" s="400"/>
      <c r="I4486" s="239"/>
    </row>
    <row r="4487" spans="6:9" x14ac:dyDescent="0.35">
      <c r="F4487" s="33"/>
      <c r="G4487" s="70"/>
      <c r="H4487" s="400"/>
      <c r="I4487" s="239"/>
    </row>
    <row r="4488" spans="6:9" x14ac:dyDescent="0.35">
      <c r="F4488" s="33"/>
      <c r="G4488" s="70"/>
      <c r="H4488" s="400"/>
      <c r="I4488" s="239"/>
    </row>
    <row r="4489" spans="6:9" x14ac:dyDescent="0.35">
      <c r="F4489" s="33"/>
      <c r="G4489" s="70"/>
      <c r="H4489" s="400"/>
      <c r="I4489" s="239"/>
    </row>
    <row r="4490" spans="6:9" x14ac:dyDescent="0.35">
      <c r="F4490" s="33"/>
      <c r="G4490" s="70"/>
      <c r="H4490" s="400"/>
      <c r="I4490" s="239"/>
    </row>
    <row r="4491" spans="6:9" x14ac:dyDescent="0.35">
      <c r="F4491" s="33"/>
      <c r="G4491" s="70"/>
      <c r="H4491" s="400"/>
      <c r="I4491" s="239"/>
    </row>
    <row r="4492" spans="6:9" x14ac:dyDescent="0.35">
      <c r="F4492" s="33"/>
      <c r="G4492" s="70"/>
      <c r="H4492" s="400"/>
      <c r="I4492" s="239"/>
    </row>
    <row r="4493" spans="6:9" x14ac:dyDescent="0.35">
      <c r="F4493" s="33"/>
      <c r="G4493" s="70"/>
      <c r="H4493" s="400"/>
      <c r="I4493" s="239"/>
    </row>
    <row r="4494" spans="6:9" x14ac:dyDescent="0.35">
      <c r="F4494" s="33"/>
      <c r="G4494" s="70"/>
      <c r="H4494" s="400"/>
      <c r="I4494" s="239"/>
    </row>
    <row r="4495" spans="6:9" x14ac:dyDescent="0.35">
      <c r="F4495" s="33"/>
      <c r="G4495" s="70"/>
      <c r="H4495" s="400"/>
      <c r="I4495" s="239"/>
    </row>
    <row r="4496" spans="6:9" x14ac:dyDescent="0.35">
      <c r="F4496" s="33"/>
      <c r="G4496" s="70"/>
      <c r="H4496" s="400"/>
      <c r="I4496" s="239"/>
    </row>
    <row r="4497" spans="6:9" x14ac:dyDescent="0.35">
      <c r="F4497" s="33"/>
      <c r="G4497" s="70"/>
      <c r="H4497" s="400"/>
      <c r="I4497" s="239"/>
    </row>
    <row r="4498" spans="6:9" x14ac:dyDescent="0.35">
      <c r="F4498" s="33"/>
      <c r="G4498" s="70"/>
      <c r="H4498" s="400"/>
      <c r="I4498" s="239"/>
    </row>
    <row r="4499" spans="6:9" x14ac:dyDescent="0.35">
      <c r="F4499" s="33"/>
      <c r="G4499" s="70"/>
      <c r="H4499" s="400"/>
      <c r="I4499" s="239"/>
    </row>
    <row r="4500" spans="6:9" x14ac:dyDescent="0.35">
      <c r="F4500" s="33"/>
      <c r="G4500" s="70"/>
      <c r="H4500" s="400"/>
      <c r="I4500" s="239"/>
    </row>
    <row r="4501" spans="6:9" x14ac:dyDescent="0.35">
      <c r="F4501" s="33"/>
      <c r="G4501" s="70"/>
      <c r="H4501" s="400"/>
      <c r="I4501" s="239"/>
    </row>
    <row r="4502" spans="6:9" x14ac:dyDescent="0.35">
      <c r="F4502" s="33"/>
      <c r="G4502" s="70"/>
      <c r="H4502" s="400"/>
      <c r="I4502" s="239"/>
    </row>
    <row r="4503" spans="6:9" x14ac:dyDescent="0.35">
      <c r="F4503" s="33"/>
      <c r="G4503" s="70"/>
      <c r="H4503" s="400"/>
      <c r="I4503" s="239"/>
    </row>
    <row r="4504" spans="6:9" x14ac:dyDescent="0.35">
      <c r="F4504" s="33"/>
      <c r="G4504" s="70"/>
      <c r="H4504" s="400"/>
      <c r="I4504" s="239"/>
    </row>
    <row r="4505" spans="6:9" x14ac:dyDescent="0.35">
      <c r="F4505" s="33"/>
      <c r="G4505" s="70"/>
      <c r="H4505" s="400"/>
      <c r="I4505" s="239"/>
    </row>
    <row r="4506" spans="6:9" x14ac:dyDescent="0.35">
      <c r="F4506" s="33"/>
      <c r="G4506" s="70"/>
      <c r="H4506" s="400"/>
      <c r="I4506" s="239"/>
    </row>
    <row r="4507" spans="6:9" x14ac:dyDescent="0.35">
      <c r="F4507" s="33"/>
      <c r="G4507" s="70"/>
      <c r="H4507" s="400"/>
      <c r="I4507" s="239"/>
    </row>
    <row r="4508" spans="6:9" x14ac:dyDescent="0.35">
      <c r="F4508" s="33"/>
      <c r="G4508" s="70"/>
      <c r="H4508" s="400"/>
      <c r="I4508" s="239"/>
    </row>
    <row r="4509" spans="6:9" x14ac:dyDescent="0.35">
      <c r="F4509" s="33"/>
      <c r="G4509" s="70"/>
      <c r="H4509" s="400"/>
      <c r="I4509" s="239"/>
    </row>
    <row r="4510" spans="6:9" x14ac:dyDescent="0.35">
      <c r="F4510" s="33"/>
      <c r="G4510" s="70"/>
      <c r="H4510" s="400"/>
      <c r="I4510" s="239"/>
    </row>
    <row r="4511" spans="6:9" x14ac:dyDescent="0.35">
      <c r="F4511" s="33"/>
      <c r="G4511" s="70"/>
      <c r="H4511" s="400"/>
      <c r="I4511" s="239"/>
    </row>
    <row r="4512" spans="6:9" x14ac:dyDescent="0.35">
      <c r="F4512" s="33"/>
      <c r="G4512" s="70"/>
      <c r="H4512" s="400"/>
      <c r="I4512" s="239"/>
    </row>
    <row r="4513" spans="6:9" x14ac:dyDescent="0.35">
      <c r="F4513" s="33"/>
      <c r="G4513" s="70"/>
      <c r="H4513" s="400"/>
      <c r="I4513" s="239"/>
    </row>
    <row r="4514" spans="6:9" x14ac:dyDescent="0.35">
      <c r="F4514" s="33"/>
      <c r="G4514" s="70"/>
      <c r="H4514" s="400"/>
      <c r="I4514" s="239"/>
    </row>
    <row r="4515" spans="6:9" x14ac:dyDescent="0.35">
      <c r="F4515" s="33"/>
      <c r="G4515" s="70"/>
      <c r="H4515" s="400"/>
      <c r="I4515" s="239"/>
    </row>
    <row r="4516" spans="6:9" x14ac:dyDescent="0.35">
      <c r="F4516" s="33"/>
      <c r="G4516" s="70"/>
      <c r="H4516" s="400"/>
      <c r="I4516" s="239"/>
    </row>
    <row r="4517" spans="6:9" x14ac:dyDescent="0.35">
      <c r="F4517" s="33"/>
      <c r="G4517" s="70"/>
      <c r="H4517" s="400"/>
      <c r="I4517" s="239"/>
    </row>
    <row r="4518" spans="6:9" x14ac:dyDescent="0.35">
      <c r="F4518" s="33"/>
      <c r="G4518" s="70"/>
      <c r="H4518" s="400"/>
      <c r="I4518" s="239"/>
    </row>
    <row r="4519" spans="6:9" x14ac:dyDescent="0.35">
      <c r="F4519" s="33"/>
      <c r="G4519" s="70"/>
      <c r="H4519" s="400"/>
      <c r="I4519" s="239"/>
    </row>
    <row r="4520" spans="6:9" x14ac:dyDescent="0.35">
      <c r="F4520" s="33"/>
      <c r="G4520" s="70"/>
      <c r="H4520" s="400"/>
      <c r="I4520" s="239"/>
    </row>
    <row r="4521" spans="6:9" x14ac:dyDescent="0.35">
      <c r="F4521" s="33"/>
      <c r="G4521" s="70"/>
      <c r="H4521" s="400"/>
      <c r="I4521" s="239"/>
    </row>
    <row r="4522" spans="6:9" x14ac:dyDescent="0.35">
      <c r="F4522" s="33"/>
      <c r="G4522" s="70"/>
      <c r="H4522" s="400"/>
      <c r="I4522" s="239"/>
    </row>
    <row r="4523" spans="6:9" x14ac:dyDescent="0.35">
      <c r="F4523" s="33"/>
      <c r="G4523" s="70"/>
      <c r="H4523" s="400"/>
      <c r="I4523" s="239"/>
    </row>
    <row r="4524" spans="6:9" x14ac:dyDescent="0.35">
      <c r="F4524" s="33"/>
      <c r="G4524" s="70"/>
      <c r="H4524" s="400"/>
      <c r="I4524" s="239"/>
    </row>
    <row r="4525" spans="6:9" x14ac:dyDescent="0.35">
      <c r="F4525" s="33"/>
      <c r="G4525" s="70"/>
      <c r="H4525" s="400"/>
      <c r="I4525" s="239"/>
    </row>
    <row r="4526" spans="6:9" x14ac:dyDescent="0.35">
      <c r="F4526" s="33"/>
      <c r="G4526" s="70"/>
      <c r="H4526" s="400"/>
      <c r="I4526" s="239"/>
    </row>
    <row r="4527" spans="6:9" x14ac:dyDescent="0.35">
      <c r="F4527" s="33"/>
      <c r="G4527" s="70"/>
      <c r="H4527" s="400"/>
      <c r="I4527" s="239"/>
    </row>
    <row r="4528" spans="6:9" x14ac:dyDescent="0.35">
      <c r="F4528" s="33"/>
      <c r="G4528" s="70"/>
      <c r="H4528" s="400"/>
      <c r="I4528" s="239"/>
    </row>
    <row r="4529" spans="6:9" x14ac:dyDescent="0.35">
      <c r="F4529" s="33"/>
      <c r="G4529" s="70"/>
      <c r="H4529" s="400"/>
      <c r="I4529" s="239"/>
    </row>
    <row r="4530" spans="6:9" x14ac:dyDescent="0.35">
      <c r="F4530" s="33"/>
      <c r="G4530" s="70"/>
      <c r="H4530" s="400"/>
      <c r="I4530" s="239"/>
    </row>
    <row r="4531" spans="6:9" x14ac:dyDescent="0.35">
      <c r="F4531" s="33"/>
      <c r="G4531" s="70"/>
      <c r="H4531" s="400"/>
      <c r="I4531" s="239"/>
    </row>
    <row r="4532" spans="6:9" x14ac:dyDescent="0.35">
      <c r="F4532" s="33"/>
      <c r="G4532" s="70"/>
      <c r="H4532" s="400"/>
      <c r="I4532" s="239"/>
    </row>
    <row r="4533" spans="6:9" x14ac:dyDescent="0.35">
      <c r="F4533" s="33"/>
      <c r="G4533" s="70"/>
      <c r="H4533" s="400"/>
      <c r="I4533" s="239"/>
    </row>
    <row r="4534" spans="6:9" x14ac:dyDescent="0.35">
      <c r="F4534" s="33"/>
      <c r="G4534" s="70"/>
      <c r="H4534" s="400"/>
      <c r="I4534" s="239"/>
    </row>
    <row r="4535" spans="6:9" x14ac:dyDescent="0.35">
      <c r="F4535" s="33"/>
      <c r="G4535" s="70"/>
      <c r="H4535" s="400"/>
      <c r="I4535" s="239"/>
    </row>
    <row r="4536" spans="6:9" x14ac:dyDescent="0.35">
      <c r="F4536" s="33"/>
      <c r="G4536" s="70"/>
      <c r="H4536" s="400"/>
      <c r="I4536" s="239"/>
    </row>
    <row r="4537" spans="6:9" x14ac:dyDescent="0.35">
      <c r="F4537" s="33"/>
      <c r="G4537" s="70"/>
      <c r="H4537" s="400"/>
      <c r="I4537" s="239"/>
    </row>
    <row r="4538" spans="6:9" x14ac:dyDescent="0.35">
      <c r="F4538" s="33"/>
      <c r="G4538" s="70"/>
      <c r="H4538" s="400"/>
      <c r="I4538" s="239"/>
    </row>
    <row r="4539" spans="6:9" x14ac:dyDescent="0.35">
      <c r="F4539" s="33"/>
      <c r="G4539" s="70"/>
      <c r="H4539" s="400"/>
      <c r="I4539" s="239"/>
    </row>
    <row r="4540" spans="6:9" x14ac:dyDescent="0.35">
      <c r="F4540" s="33"/>
      <c r="G4540" s="70"/>
      <c r="H4540" s="400"/>
      <c r="I4540" s="239"/>
    </row>
    <row r="4541" spans="6:9" x14ac:dyDescent="0.35">
      <c r="F4541" s="33"/>
      <c r="G4541" s="70"/>
      <c r="H4541" s="400"/>
      <c r="I4541" s="239"/>
    </row>
    <row r="4542" spans="6:9" x14ac:dyDescent="0.35">
      <c r="F4542" s="33"/>
      <c r="G4542" s="70"/>
      <c r="H4542" s="400"/>
      <c r="I4542" s="239"/>
    </row>
    <row r="4543" spans="6:9" x14ac:dyDescent="0.35">
      <c r="F4543" s="33"/>
      <c r="G4543" s="70"/>
      <c r="H4543" s="400"/>
      <c r="I4543" s="239"/>
    </row>
    <row r="4544" spans="6:9" x14ac:dyDescent="0.35">
      <c r="F4544" s="33"/>
      <c r="G4544" s="70"/>
      <c r="H4544" s="400"/>
      <c r="I4544" s="239"/>
    </row>
    <row r="4545" spans="6:9" x14ac:dyDescent="0.35">
      <c r="F4545" s="33"/>
      <c r="G4545" s="70"/>
      <c r="H4545" s="400"/>
      <c r="I4545" s="239"/>
    </row>
    <row r="4546" spans="6:9" x14ac:dyDescent="0.35">
      <c r="F4546" s="33"/>
      <c r="G4546" s="70"/>
      <c r="H4546" s="400"/>
      <c r="I4546" s="239"/>
    </row>
    <row r="4547" spans="6:9" x14ac:dyDescent="0.35">
      <c r="F4547" s="33"/>
      <c r="G4547" s="70"/>
      <c r="H4547" s="400"/>
      <c r="I4547" s="239"/>
    </row>
    <row r="4548" spans="6:9" x14ac:dyDescent="0.35">
      <c r="F4548" s="33"/>
      <c r="G4548" s="70"/>
      <c r="H4548" s="400"/>
      <c r="I4548" s="239"/>
    </row>
    <row r="4549" spans="6:9" x14ac:dyDescent="0.35">
      <c r="F4549" s="33"/>
      <c r="G4549" s="70"/>
      <c r="H4549" s="400"/>
      <c r="I4549" s="239"/>
    </row>
    <row r="4550" spans="6:9" x14ac:dyDescent="0.35">
      <c r="F4550" s="33"/>
      <c r="G4550" s="70"/>
      <c r="H4550" s="400"/>
      <c r="I4550" s="239"/>
    </row>
    <row r="4551" spans="6:9" x14ac:dyDescent="0.35">
      <c r="F4551" s="33"/>
      <c r="G4551" s="70"/>
      <c r="H4551" s="400"/>
      <c r="I4551" s="239"/>
    </row>
    <row r="4552" spans="6:9" x14ac:dyDescent="0.35">
      <c r="F4552" s="33"/>
      <c r="G4552" s="70"/>
      <c r="H4552" s="400"/>
      <c r="I4552" s="239"/>
    </row>
    <row r="4553" spans="6:9" x14ac:dyDescent="0.35">
      <c r="F4553" s="33"/>
      <c r="G4553" s="70"/>
      <c r="H4553" s="400"/>
      <c r="I4553" s="239"/>
    </row>
    <row r="4554" spans="6:9" x14ac:dyDescent="0.35">
      <c r="F4554" s="33"/>
      <c r="G4554" s="70"/>
      <c r="H4554" s="400"/>
      <c r="I4554" s="239"/>
    </row>
    <row r="4555" spans="6:9" x14ac:dyDescent="0.35">
      <c r="F4555" s="33"/>
      <c r="G4555" s="70"/>
      <c r="H4555" s="400"/>
      <c r="I4555" s="239"/>
    </row>
    <row r="4556" spans="6:9" x14ac:dyDescent="0.35">
      <c r="F4556" s="33"/>
      <c r="G4556" s="70"/>
      <c r="H4556" s="400"/>
      <c r="I4556" s="239"/>
    </row>
    <row r="4557" spans="6:9" x14ac:dyDescent="0.35">
      <c r="F4557" s="33"/>
      <c r="G4557" s="70"/>
      <c r="H4557" s="400"/>
      <c r="I4557" s="239"/>
    </row>
    <row r="4558" spans="6:9" x14ac:dyDescent="0.35">
      <c r="F4558" s="33"/>
      <c r="G4558" s="70"/>
      <c r="H4558" s="400"/>
      <c r="I4558" s="239"/>
    </row>
    <row r="4559" spans="6:9" x14ac:dyDescent="0.35">
      <c r="F4559" s="33"/>
      <c r="G4559" s="70"/>
      <c r="H4559" s="400"/>
      <c r="I4559" s="239"/>
    </row>
    <row r="4560" spans="6:9" x14ac:dyDescent="0.35">
      <c r="F4560" s="33"/>
      <c r="G4560" s="70"/>
      <c r="H4560" s="400"/>
      <c r="I4560" s="239"/>
    </row>
    <row r="4561" spans="6:9" x14ac:dyDescent="0.35">
      <c r="F4561" s="33"/>
      <c r="G4561" s="70"/>
      <c r="H4561" s="400"/>
      <c r="I4561" s="239"/>
    </row>
    <row r="4562" spans="6:9" x14ac:dyDescent="0.35">
      <c r="F4562" s="33"/>
      <c r="G4562" s="70"/>
      <c r="H4562" s="400"/>
      <c r="I4562" s="239"/>
    </row>
    <row r="4563" spans="6:9" x14ac:dyDescent="0.35">
      <c r="F4563" s="33"/>
      <c r="G4563" s="70"/>
      <c r="H4563" s="400"/>
      <c r="I4563" s="239"/>
    </row>
    <row r="4564" spans="6:9" x14ac:dyDescent="0.35">
      <c r="F4564" s="33"/>
      <c r="G4564" s="70"/>
      <c r="H4564" s="400"/>
      <c r="I4564" s="239"/>
    </row>
    <row r="4565" spans="6:9" x14ac:dyDescent="0.35">
      <c r="F4565" s="33"/>
      <c r="G4565" s="70"/>
      <c r="H4565" s="400"/>
      <c r="I4565" s="239"/>
    </row>
    <row r="4566" spans="6:9" x14ac:dyDescent="0.35">
      <c r="F4566" s="33"/>
      <c r="G4566" s="70"/>
      <c r="H4566" s="400"/>
      <c r="I4566" s="239"/>
    </row>
    <row r="4567" spans="6:9" x14ac:dyDescent="0.35">
      <c r="F4567" s="33"/>
      <c r="G4567" s="70"/>
      <c r="H4567" s="400"/>
      <c r="I4567" s="239"/>
    </row>
    <row r="4568" spans="6:9" x14ac:dyDescent="0.35">
      <c r="F4568" s="33"/>
      <c r="G4568" s="70"/>
      <c r="H4568" s="400"/>
      <c r="I4568" s="239"/>
    </row>
    <row r="4569" spans="6:9" x14ac:dyDescent="0.35">
      <c r="F4569" s="33"/>
      <c r="G4569" s="70"/>
      <c r="H4569" s="400"/>
      <c r="I4569" s="239"/>
    </row>
    <row r="4570" spans="6:9" x14ac:dyDescent="0.35">
      <c r="F4570" s="33"/>
      <c r="G4570" s="70"/>
      <c r="H4570" s="400"/>
      <c r="I4570" s="239"/>
    </row>
    <row r="4571" spans="6:9" x14ac:dyDescent="0.35">
      <c r="F4571" s="33"/>
      <c r="G4571" s="70"/>
      <c r="H4571" s="400"/>
      <c r="I4571" s="239"/>
    </row>
    <row r="4572" spans="6:9" x14ac:dyDescent="0.35">
      <c r="F4572" s="33"/>
      <c r="G4572" s="70"/>
      <c r="H4572" s="400"/>
      <c r="I4572" s="239"/>
    </row>
    <row r="4573" spans="6:9" x14ac:dyDescent="0.35">
      <c r="F4573" s="33"/>
      <c r="G4573" s="70"/>
      <c r="H4573" s="400"/>
      <c r="I4573" s="239"/>
    </row>
    <row r="4574" spans="6:9" x14ac:dyDescent="0.35">
      <c r="F4574" s="33"/>
      <c r="G4574" s="70"/>
      <c r="H4574" s="400"/>
      <c r="I4574" s="239"/>
    </row>
    <row r="4575" spans="6:9" x14ac:dyDescent="0.35">
      <c r="F4575" s="33"/>
      <c r="G4575" s="70"/>
      <c r="H4575" s="400"/>
      <c r="I4575" s="239"/>
    </row>
    <row r="4576" spans="6:9" x14ac:dyDescent="0.35">
      <c r="F4576" s="33"/>
      <c r="G4576" s="70"/>
      <c r="H4576" s="400"/>
      <c r="I4576" s="239"/>
    </row>
    <row r="4577" spans="6:9" x14ac:dyDescent="0.35">
      <c r="F4577" s="33"/>
      <c r="G4577" s="70"/>
      <c r="H4577" s="400"/>
      <c r="I4577" s="239"/>
    </row>
    <row r="4578" spans="6:9" x14ac:dyDescent="0.35">
      <c r="F4578" s="33"/>
      <c r="G4578" s="70"/>
      <c r="H4578" s="400"/>
      <c r="I4578" s="239"/>
    </row>
    <row r="4579" spans="6:9" x14ac:dyDescent="0.35">
      <c r="F4579" s="33"/>
      <c r="G4579" s="70"/>
      <c r="H4579" s="400"/>
      <c r="I4579" s="239"/>
    </row>
    <row r="4580" spans="6:9" x14ac:dyDescent="0.35">
      <c r="F4580" s="33"/>
      <c r="G4580" s="70"/>
      <c r="H4580" s="400"/>
      <c r="I4580" s="239"/>
    </row>
    <row r="4581" spans="6:9" x14ac:dyDescent="0.35">
      <c r="F4581" s="33"/>
      <c r="G4581" s="70"/>
      <c r="H4581" s="400"/>
      <c r="I4581" s="239"/>
    </row>
    <row r="4582" spans="6:9" x14ac:dyDescent="0.35">
      <c r="F4582" s="33"/>
      <c r="G4582" s="70"/>
      <c r="H4582" s="400"/>
      <c r="I4582" s="239"/>
    </row>
    <row r="4583" spans="6:9" x14ac:dyDescent="0.35">
      <c r="F4583" s="33"/>
      <c r="G4583" s="70"/>
      <c r="H4583" s="400"/>
      <c r="I4583" s="239"/>
    </row>
    <row r="4584" spans="6:9" x14ac:dyDescent="0.35">
      <c r="F4584" s="33"/>
      <c r="G4584" s="70"/>
      <c r="H4584" s="400"/>
      <c r="I4584" s="239"/>
    </row>
    <row r="4585" spans="6:9" x14ac:dyDescent="0.35">
      <c r="F4585" s="33"/>
      <c r="G4585" s="70"/>
      <c r="H4585" s="400"/>
      <c r="I4585" s="239"/>
    </row>
    <row r="4586" spans="6:9" x14ac:dyDescent="0.35">
      <c r="F4586" s="33"/>
      <c r="G4586" s="70"/>
      <c r="H4586" s="400"/>
      <c r="I4586" s="239"/>
    </row>
    <row r="4587" spans="6:9" x14ac:dyDescent="0.35">
      <c r="F4587" s="33"/>
      <c r="G4587" s="70"/>
      <c r="H4587" s="400"/>
      <c r="I4587" s="239"/>
    </row>
    <row r="4588" spans="6:9" x14ac:dyDescent="0.35">
      <c r="F4588" s="33"/>
      <c r="G4588" s="70"/>
      <c r="H4588" s="400"/>
      <c r="I4588" s="239"/>
    </row>
    <row r="4589" spans="6:9" x14ac:dyDescent="0.35">
      <c r="F4589" s="33"/>
      <c r="G4589" s="70"/>
      <c r="H4589" s="400"/>
      <c r="I4589" s="239"/>
    </row>
    <row r="4590" spans="6:9" x14ac:dyDescent="0.35">
      <c r="F4590" s="33"/>
      <c r="G4590" s="70"/>
      <c r="H4590" s="400"/>
      <c r="I4590" s="239"/>
    </row>
    <row r="4591" spans="6:9" x14ac:dyDescent="0.35">
      <c r="F4591" s="33"/>
      <c r="G4591" s="70"/>
      <c r="H4591" s="400"/>
      <c r="I4591" s="239"/>
    </row>
    <row r="4592" spans="6:9" x14ac:dyDescent="0.35">
      <c r="F4592" s="33"/>
      <c r="G4592" s="70"/>
      <c r="H4592" s="400"/>
      <c r="I4592" s="239"/>
    </row>
    <row r="4593" spans="6:9" x14ac:dyDescent="0.35">
      <c r="F4593" s="33"/>
      <c r="G4593" s="70"/>
      <c r="H4593" s="400"/>
      <c r="I4593" s="239"/>
    </row>
    <row r="4594" spans="6:9" x14ac:dyDescent="0.35">
      <c r="F4594" s="33"/>
      <c r="G4594" s="70"/>
      <c r="H4594" s="400"/>
      <c r="I4594" s="239"/>
    </row>
    <row r="4595" spans="6:9" x14ac:dyDescent="0.35">
      <c r="F4595" s="33"/>
      <c r="G4595" s="70"/>
      <c r="H4595" s="400"/>
      <c r="I4595" s="239"/>
    </row>
    <row r="4596" spans="6:9" x14ac:dyDescent="0.35">
      <c r="F4596" s="33"/>
      <c r="G4596" s="70"/>
      <c r="H4596" s="400"/>
      <c r="I4596" s="239"/>
    </row>
    <row r="4597" spans="6:9" x14ac:dyDescent="0.35">
      <c r="F4597" s="33"/>
      <c r="G4597" s="70"/>
      <c r="H4597" s="400"/>
      <c r="I4597" s="239"/>
    </row>
    <row r="4598" spans="6:9" x14ac:dyDescent="0.35">
      <c r="F4598" s="33"/>
      <c r="G4598" s="70"/>
      <c r="H4598" s="400"/>
      <c r="I4598" s="239"/>
    </row>
    <row r="4599" spans="6:9" x14ac:dyDescent="0.35">
      <c r="F4599" s="33"/>
      <c r="G4599" s="70"/>
      <c r="H4599" s="400"/>
      <c r="I4599" s="239"/>
    </row>
    <row r="4600" spans="6:9" x14ac:dyDescent="0.35">
      <c r="F4600" s="33"/>
      <c r="G4600" s="70"/>
      <c r="H4600" s="400"/>
      <c r="I4600" s="239"/>
    </row>
    <row r="4601" spans="6:9" x14ac:dyDescent="0.35">
      <c r="F4601" s="33"/>
      <c r="G4601" s="70"/>
      <c r="H4601" s="400"/>
      <c r="I4601" s="239"/>
    </row>
    <row r="4602" spans="6:9" x14ac:dyDescent="0.35">
      <c r="F4602" s="33"/>
      <c r="G4602" s="70"/>
      <c r="H4602" s="400"/>
      <c r="I4602" s="239"/>
    </row>
    <row r="4603" spans="6:9" x14ac:dyDescent="0.35">
      <c r="F4603" s="33"/>
      <c r="G4603" s="70"/>
      <c r="H4603" s="400"/>
      <c r="I4603" s="239"/>
    </row>
    <row r="4604" spans="6:9" x14ac:dyDescent="0.35">
      <c r="F4604" s="33"/>
      <c r="G4604" s="70"/>
      <c r="H4604" s="400"/>
      <c r="I4604" s="239"/>
    </row>
    <row r="4605" spans="6:9" x14ac:dyDescent="0.35">
      <c r="F4605" s="33"/>
      <c r="G4605" s="70"/>
      <c r="H4605" s="400"/>
      <c r="I4605" s="239"/>
    </row>
    <row r="4606" spans="6:9" x14ac:dyDescent="0.35">
      <c r="F4606" s="33"/>
      <c r="G4606" s="70"/>
      <c r="H4606" s="400"/>
      <c r="I4606" s="239"/>
    </row>
    <row r="4607" spans="6:9" x14ac:dyDescent="0.35">
      <c r="F4607" s="33"/>
      <c r="G4607" s="70"/>
      <c r="H4607" s="400"/>
      <c r="I4607" s="239"/>
    </row>
    <row r="4608" spans="6:9" x14ac:dyDescent="0.35">
      <c r="F4608" s="33"/>
      <c r="G4608" s="70"/>
      <c r="H4608" s="400"/>
      <c r="I4608" s="239"/>
    </row>
    <row r="4609" spans="6:9" x14ac:dyDescent="0.35">
      <c r="F4609" s="33"/>
      <c r="G4609" s="70"/>
      <c r="H4609" s="400"/>
      <c r="I4609" s="239"/>
    </row>
    <row r="4610" spans="6:9" x14ac:dyDescent="0.35">
      <c r="F4610" s="33"/>
      <c r="G4610" s="70"/>
      <c r="H4610" s="400"/>
      <c r="I4610" s="239"/>
    </row>
    <row r="4611" spans="6:9" x14ac:dyDescent="0.35">
      <c r="F4611" s="33"/>
      <c r="G4611" s="70"/>
      <c r="H4611" s="400"/>
      <c r="I4611" s="239"/>
    </row>
    <row r="4612" spans="6:9" x14ac:dyDescent="0.35">
      <c r="F4612" s="33"/>
      <c r="G4612" s="70"/>
      <c r="H4612" s="400"/>
      <c r="I4612" s="239"/>
    </row>
    <row r="4613" spans="6:9" x14ac:dyDescent="0.35">
      <c r="F4613" s="33"/>
      <c r="G4613" s="70"/>
      <c r="H4613" s="400"/>
      <c r="I4613" s="239"/>
    </row>
    <row r="4614" spans="6:9" x14ac:dyDescent="0.35">
      <c r="F4614" s="33"/>
      <c r="G4614" s="70"/>
      <c r="H4614" s="400"/>
      <c r="I4614" s="239"/>
    </row>
    <row r="4615" spans="6:9" x14ac:dyDescent="0.35">
      <c r="F4615" s="33"/>
      <c r="G4615" s="70"/>
      <c r="H4615" s="400"/>
      <c r="I4615" s="239"/>
    </row>
    <row r="4616" spans="6:9" x14ac:dyDescent="0.35">
      <c r="F4616" s="33"/>
      <c r="G4616" s="70"/>
      <c r="H4616" s="400"/>
      <c r="I4616" s="239"/>
    </row>
    <row r="4617" spans="6:9" x14ac:dyDescent="0.35">
      <c r="F4617" s="33"/>
      <c r="G4617" s="70"/>
      <c r="H4617" s="400"/>
      <c r="I4617" s="239"/>
    </row>
    <row r="4618" spans="6:9" x14ac:dyDescent="0.35">
      <c r="F4618" s="33"/>
      <c r="G4618" s="70"/>
      <c r="H4618" s="400"/>
      <c r="I4618" s="239"/>
    </row>
    <row r="4619" spans="6:9" x14ac:dyDescent="0.35">
      <c r="F4619" s="33"/>
      <c r="G4619" s="70"/>
      <c r="H4619" s="400"/>
      <c r="I4619" s="239"/>
    </row>
    <row r="4620" spans="6:9" x14ac:dyDescent="0.35">
      <c r="F4620" s="33"/>
      <c r="G4620" s="70"/>
      <c r="H4620" s="400"/>
      <c r="I4620" s="239"/>
    </row>
    <row r="4621" spans="6:9" x14ac:dyDescent="0.35">
      <c r="F4621" s="33"/>
      <c r="G4621" s="70"/>
      <c r="H4621" s="400"/>
      <c r="I4621" s="239"/>
    </row>
    <row r="4622" spans="6:9" x14ac:dyDescent="0.35">
      <c r="F4622" s="33"/>
      <c r="G4622" s="70"/>
      <c r="H4622" s="400"/>
      <c r="I4622" s="239"/>
    </row>
    <row r="4623" spans="6:9" x14ac:dyDescent="0.35">
      <c r="F4623" s="33"/>
      <c r="G4623" s="70"/>
      <c r="H4623" s="400"/>
      <c r="I4623" s="239"/>
    </row>
    <row r="4624" spans="6:9" x14ac:dyDescent="0.35">
      <c r="F4624" s="33"/>
      <c r="G4624" s="70"/>
      <c r="H4624" s="400"/>
      <c r="I4624" s="239"/>
    </row>
    <row r="4625" spans="6:9" x14ac:dyDescent="0.35">
      <c r="F4625" s="33"/>
      <c r="G4625" s="70"/>
      <c r="H4625" s="400"/>
      <c r="I4625" s="239"/>
    </row>
    <row r="4626" spans="6:9" x14ac:dyDescent="0.35">
      <c r="F4626" s="33"/>
      <c r="G4626" s="70"/>
      <c r="H4626" s="400"/>
      <c r="I4626" s="239"/>
    </row>
    <row r="4627" spans="6:9" x14ac:dyDescent="0.35">
      <c r="F4627" s="33"/>
      <c r="G4627" s="70"/>
      <c r="H4627" s="400"/>
      <c r="I4627" s="239"/>
    </row>
    <row r="4628" spans="6:9" x14ac:dyDescent="0.35">
      <c r="F4628" s="33"/>
      <c r="G4628" s="70"/>
      <c r="H4628" s="400"/>
      <c r="I4628" s="239"/>
    </row>
    <row r="4629" spans="6:9" x14ac:dyDescent="0.35">
      <c r="F4629" s="33"/>
      <c r="G4629" s="70"/>
      <c r="H4629" s="400"/>
      <c r="I4629" s="239"/>
    </row>
    <row r="4630" spans="6:9" x14ac:dyDescent="0.35">
      <c r="F4630" s="33"/>
      <c r="G4630" s="70"/>
      <c r="H4630" s="400"/>
      <c r="I4630" s="239"/>
    </row>
    <row r="4631" spans="6:9" x14ac:dyDescent="0.35">
      <c r="F4631" s="33"/>
      <c r="G4631" s="70"/>
      <c r="H4631" s="400"/>
      <c r="I4631" s="239"/>
    </row>
    <row r="4632" spans="6:9" x14ac:dyDescent="0.35">
      <c r="F4632" s="33"/>
      <c r="G4632" s="70"/>
      <c r="H4632" s="400"/>
      <c r="I4632" s="239"/>
    </row>
    <row r="4633" spans="6:9" x14ac:dyDescent="0.35">
      <c r="F4633" s="33"/>
      <c r="G4633" s="70"/>
      <c r="H4633" s="400"/>
      <c r="I4633" s="239"/>
    </row>
    <row r="4634" spans="6:9" x14ac:dyDescent="0.35">
      <c r="F4634" s="33"/>
      <c r="G4634" s="70"/>
      <c r="H4634" s="400"/>
      <c r="I4634" s="239"/>
    </row>
    <row r="4635" spans="6:9" x14ac:dyDescent="0.35">
      <c r="F4635" s="33"/>
      <c r="G4635" s="70"/>
      <c r="H4635" s="400"/>
      <c r="I4635" s="239"/>
    </row>
    <row r="4636" spans="6:9" x14ac:dyDescent="0.35">
      <c r="F4636" s="33"/>
      <c r="G4636" s="70"/>
      <c r="H4636" s="400"/>
      <c r="I4636" s="239"/>
    </row>
    <row r="4637" spans="6:9" x14ac:dyDescent="0.35">
      <c r="F4637" s="33"/>
      <c r="G4637" s="70"/>
      <c r="H4637" s="400"/>
      <c r="I4637" s="239"/>
    </row>
    <row r="4638" spans="6:9" x14ac:dyDescent="0.35">
      <c r="F4638" s="33"/>
      <c r="G4638" s="70"/>
      <c r="H4638" s="400"/>
      <c r="I4638" s="239"/>
    </row>
    <row r="4639" spans="6:9" x14ac:dyDescent="0.35">
      <c r="F4639" s="33"/>
      <c r="G4639" s="70"/>
      <c r="H4639" s="400"/>
      <c r="I4639" s="239"/>
    </row>
    <row r="4640" spans="6:9" x14ac:dyDescent="0.35">
      <c r="F4640" s="33"/>
      <c r="G4640" s="70"/>
      <c r="H4640" s="400"/>
      <c r="I4640" s="239"/>
    </row>
    <row r="4641" spans="6:9" x14ac:dyDescent="0.35">
      <c r="F4641" s="33"/>
      <c r="G4641" s="70"/>
      <c r="H4641" s="400"/>
      <c r="I4641" s="239"/>
    </row>
    <row r="4642" spans="6:9" x14ac:dyDescent="0.35">
      <c r="F4642" s="33"/>
      <c r="G4642" s="70"/>
      <c r="H4642" s="400"/>
      <c r="I4642" s="239"/>
    </row>
    <row r="4643" spans="6:9" x14ac:dyDescent="0.35">
      <c r="F4643" s="33"/>
      <c r="G4643" s="70"/>
      <c r="H4643" s="400"/>
      <c r="I4643" s="239"/>
    </row>
    <row r="4644" spans="6:9" x14ac:dyDescent="0.35">
      <c r="F4644" s="33"/>
      <c r="G4644" s="70"/>
      <c r="H4644" s="400"/>
      <c r="I4644" s="239"/>
    </row>
    <row r="4645" spans="6:9" x14ac:dyDescent="0.35">
      <c r="F4645" s="33"/>
      <c r="G4645" s="70"/>
      <c r="H4645" s="400"/>
      <c r="I4645" s="239"/>
    </row>
    <row r="4646" spans="6:9" x14ac:dyDescent="0.35">
      <c r="F4646" s="33"/>
      <c r="G4646" s="70"/>
      <c r="H4646" s="400"/>
      <c r="I4646" s="239"/>
    </row>
    <row r="4647" spans="6:9" x14ac:dyDescent="0.35">
      <c r="F4647" s="33"/>
      <c r="G4647" s="70"/>
      <c r="H4647" s="400"/>
      <c r="I4647" s="239"/>
    </row>
    <row r="4648" spans="6:9" x14ac:dyDescent="0.35">
      <c r="F4648" s="33"/>
      <c r="G4648" s="70"/>
      <c r="H4648" s="400"/>
      <c r="I4648" s="239"/>
    </row>
    <row r="4649" spans="6:9" x14ac:dyDescent="0.35">
      <c r="F4649" s="33"/>
      <c r="G4649" s="70"/>
      <c r="H4649" s="400"/>
      <c r="I4649" s="239"/>
    </row>
    <row r="4650" spans="6:9" x14ac:dyDescent="0.35">
      <c r="F4650" s="33"/>
      <c r="G4650" s="70"/>
      <c r="H4650" s="400"/>
      <c r="I4650" s="239"/>
    </row>
    <row r="4651" spans="6:9" x14ac:dyDescent="0.35">
      <c r="F4651" s="33"/>
      <c r="G4651" s="70"/>
      <c r="H4651" s="400"/>
      <c r="I4651" s="239"/>
    </row>
    <row r="4652" spans="6:9" x14ac:dyDescent="0.35">
      <c r="F4652" s="33"/>
      <c r="G4652" s="70"/>
      <c r="H4652" s="400"/>
      <c r="I4652" s="239"/>
    </row>
    <row r="4653" spans="6:9" x14ac:dyDescent="0.35">
      <c r="F4653" s="33"/>
      <c r="G4653" s="70"/>
      <c r="H4653" s="400"/>
      <c r="I4653" s="239"/>
    </row>
    <row r="4654" spans="6:9" x14ac:dyDescent="0.35">
      <c r="F4654" s="33"/>
      <c r="G4654" s="70"/>
      <c r="H4654" s="400"/>
      <c r="I4654" s="239"/>
    </row>
    <row r="4655" spans="6:9" x14ac:dyDescent="0.35">
      <c r="F4655" s="33"/>
      <c r="G4655" s="70"/>
      <c r="H4655" s="400"/>
      <c r="I4655" s="239"/>
    </row>
    <row r="4656" spans="6:9" x14ac:dyDescent="0.35">
      <c r="F4656" s="33"/>
      <c r="G4656" s="70"/>
      <c r="H4656" s="400"/>
      <c r="I4656" s="239"/>
    </row>
    <row r="4657" spans="6:9" x14ac:dyDescent="0.35">
      <c r="F4657" s="33"/>
      <c r="G4657" s="70"/>
      <c r="H4657" s="400"/>
      <c r="I4657" s="239"/>
    </row>
    <row r="4658" spans="6:9" x14ac:dyDescent="0.35">
      <c r="F4658" s="33"/>
      <c r="G4658" s="70"/>
      <c r="H4658" s="400"/>
      <c r="I4658" s="239"/>
    </row>
    <row r="4659" spans="6:9" x14ac:dyDescent="0.35">
      <c r="F4659" s="33"/>
      <c r="G4659" s="70"/>
      <c r="H4659" s="400"/>
      <c r="I4659" s="239"/>
    </row>
    <row r="4660" spans="6:9" x14ac:dyDescent="0.35">
      <c r="F4660" s="33"/>
      <c r="G4660" s="70"/>
      <c r="H4660" s="400"/>
      <c r="I4660" s="239"/>
    </row>
    <row r="4661" spans="6:9" x14ac:dyDescent="0.35">
      <c r="F4661" s="33"/>
      <c r="G4661" s="70"/>
      <c r="H4661" s="400"/>
      <c r="I4661" s="239"/>
    </row>
    <row r="4662" spans="6:9" x14ac:dyDescent="0.35">
      <c r="F4662" s="33"/>
      <c r="G4662" s="70"/>
      <c r="H4662" s="400"/>
      <c r="I4662" s="239"/>
    </row>
    <row r="4663" spans="6:9" x14ac:dyDescent="0.35">
      <c r="F4663" s="33"/>
      <c r="G4663" s="70"/>
      <c r="H4663" s="400"/>
      <c r="I4663" s="239"/>
    </row>
    <row r="4664" spans="6:9" x14ac:dyDescent="0.35">
      <c r="F4664" s="33"/>
      <c r="G4664" s="70"/>
      <c r="H4664" s="400"/>
      <c r="I4664" s="239"/>
    </row>
    <row r="4665" spans="6:9" x14ac:dyDescent="0.35">
      <c r="F4665" s="33"/>
      <c r="G4665" s="70"/>
      <c r="H4665" s="400"/>
      <c r="I4665" s="239"/>
    </row>
    <row r="4666" spans="6:9" x14ac:dyDescent="0.35">
      <c r="F4666" s="33"/>
      <c r="G4666" s="70"/>
      <c r="H4666" s="400"/>
      <c r="I4666" s="239"/>
    </row>
    <row r="4667" spans="6:9" x14ac:dyDescent="0.35">
      <c r="F4667" s="33"/>
      <c r="G4667" s="70"/>
      <c r="H4667" s="400"/>
      <c r="I4667" s="239"/>
    </row>
    <row r="4668" spans="6:9" x14ac:dyDescent="0.35">
      <c r="F4668" s="33"/>
      <c r="G4668" s="70"/>
      <c r="H4668" s="400"/>
      <c r="I4668" s="239"/>
    </row>
    <row r="4669" spans="6:9" x14ac:dyDescent="0.35">
      <c r="F4669" s="33"/>
      <c r="G4669" s="70"/>
      <c r="H4669" s="400"/>
      <c r="I4669" s="239"/>
    </row>
    <row r="4670" spans="6:9" x14ac:dyDescent="0.35">
      <c r="F4670" s="33"/>
      <c r="G4670" s="70"/>
      <c r="H4670" s="400"/>
      <c r="I4670" s="239"/>
    </row>
    <row r="4671" spans="6:9" x14ac:dyDescent="0.35">
      <c r="F4671" s="33"/>
      <c r="G4671" s="70"/>
      <c r="H4671" s="400"/>
      <c r="I4671" s="239"/>
    </row>
    <row r="4672" spans="6:9" x14ac:dyDescent="0.35">
      <c r="F4672" s="33"/>
      <c r="G4672" s="70"/>
      <c r="H4672" s="400"/>
      <c r="I4672" s="239"/>
    </row>
    <row r="4673" spans="6:9" x14ac:dyDescent="0.35">
      <c r="F4673" s="33"/>
      <c r="G4673" s="70"/>
      <c r="H4673" s="400"/>
      <c r="I4673" s="239"/>
    </row>
    <row r="4674" spans="6:9" x14ac:dyDescent="0.35">
      <c r="F4674" s="33"/>
      <c r="G4674" s="70"/>
      <c r="H4674" s="400"/>
      <c r="I4674" s="239"/>
    </row>
    <row r="4675" spans="6:9" x14ac:dyDescent="0.35">
      <c r="F4675" s="33"/>
      <c r="G4675" s="70"/>
      <c r="H4675" s="400"/>
      <c r="I4675" s="239"/>
    </row>
    <row r="4676" spans="6:9" x14ac:dyDescent="0.35">
      <c r="F4676" s="33"/>
      <c r="G4676" s="70"/>
      <c r="H4676" s="400"/>
      <c r="I4676" s="239"/>
    </row>
    <row r="4677" spans="6:9" x14ac:dyDescent="0.35">
      <c r="F4677" s="33"/>
      <c r="G4677" s="70"/>
      <c r="H4677" s="400"/>
      <c r="I4677" s="239"/>
    </row>
    <row r="4678" spans="6:9" x14ac:dyDescent="0.35">
      <c r="F4678" s="33"/>
      <c r="G4678" s="70"/>
      <c r="H4678" s="400"/>
      <c r="I4678" s="239"/>
    </row>
    <row r="4679" spans="6:9" x14ac:dyDescent="0.35">
      <c r="F4679" s="33"/>
      <c r="G4679" s="70"/>
      <c r="H4679" s="400"/>
      <c r="I4679" s="239"/>
    </row>
    <row r="4680" spans="6:9" x14ac:dyDescent="0.35">
      <c r="F4680" s="33"/>
      <c r="G4680" s="70"/>
      <c r="H4680" s="400"/>
      <c r="I4680" s="239"/>
    </row>
    <row r="4681" spans="6:9" x14ac:dyDescent="0.35">
      <c r="F4681" s="33"/>
      <c r="G4681" s="70"/>
      <c r="H4681" s="400"/>
      <c r="I4681" s="239"/>
    </row>
    <row r="4682" spans="6:9" x14ac:dyDescent="0.35">
      <c r="F4682" s="33"/>
      <c r="G4682" s="70"/>
      <c r="H4682" s="400"/>
      <c r="I4682" s="239"/>
    </row>
    <row r="4683" spans="6:9" x14ac:dyDescent="0.35">
      <c r="F4683" s="33"/>
      <c r="G4683" s="70"/>
      <c r="H4683" s="400"/>
      <c r="I4683" s="239"/>
    </row>
    <row r="4684" spans="6:9" x14ac:dyDescent="0.35">
      <c r="F4684" s="33"/>
      <c r="G4684" s="70"/>
      <c r="H4684" s="400"/>
      <c r="I4684" s="239"/>
    </row>
    <row r="4685" spans="6:9" x14ac:dyDescent="0.35">
      <c r="F4685" s="33"/>
      <c r="G4685" s="70"/>
      <c r="H4685" s="400"/>
      <c r="I4685" s="239"/>
    </row>
    <row r="4686" spans="6:9" x14ac:dyDescent="0.35">
      <c r="F4686" s="33"/>
      <c r="G4686" s="70"/>
      <c r="H4686" s="400"/>
      <c r="I4686" s="239"/>
    </row>
    <row r="4687" spans="6:9" x14ac:dyDescent="0.35">
      <c r="F4687" s="33"/>
      <c r="G4687" s="70"/>
      <c r="H4687" s="400"/>
      <c r="I4687" s="239"/>
    </row>
    <row r="4688" spans="6:9" x14ac:dyDescent="0.35">
      <c r="F4688" s="33"/>
      <c r="G4688" s="70"/>
      <c r="H4688" s="400"/>
      <c r="I4688" s="239"/>
    </row>
    <row r="4689" spans="6:9" x14ac:dyDescent="0.35">
      <c r="F4689" s="33"/>
      <c r="G4689" s="70"/>
      <c r="H4689" s="400"/>
      <c r="I4689" s="239"/>
    </row>
    <row r="4690" spans="6:9" x14ac:dyDescent="0.35">
      <c r="F4690" s="33"/>
      <c r="G4690" s="70"/>
      <c r="H4690" s="400"/>
      <c r="I4690" s="239"/>
    </row>
    <row r="4691" spans="6:9" x14ac:dyDescent="0.35">
      <c r="F4691" s="33"/>
      <c r="G4691" s="70"/>
      <c r="H4691" s="400"/>
      <c r="I4691" s="239"/>
    </row>
    <row r="4692" spans="6:9" x14ac:dyDescent="0.35">
      <c r="F4692" s="33"/>
      <c r="G4692" s="70"/>
      <c r="H4692" s="400"/>
      <c r="I4692" s="239"/>
    </row>
    <row r="4693" spans="6:9" x14ac:dyDescent="0.35">
      <c r="F4693" s="33"/>
      <c r="G4693" s="70"/>
      <c r="H4693" s="400"/>
      <c r="I4693" s="239"/>
    </row>
    <row r="4694" spans="6:9" x14ac:dyDescent="0.35">
      <c r="F4694" s="33"/>
      <c r="G4694" s="70"/>
      <c r="H4694" s="400"/>
      <c r="I4694" s="239"/>
    </row>
    <row r="4695" spans="6:9" x14ac:dyDescent="0.35">
      <c r="F4695" s="33"/>
      <c r="G4695" s="70"/>
      <c r="H4695" s="400"/>
      <c r="I4695" s="239"/>
    </row>
    <row r="4696" spans="6:9" x14ac:dyDescent="0.35">
      <c r="F4696" s="33"/>
      <c r="G4696" s="70"/>
      <c r="H4696" s="400"/>
      <c r="I4696" s="239"/>
    </row>
    <row r="4697" spans="6:9" x14ac:dyDescent="0.35">
      <c r="F4697" s="33"/>
      <c r="G4697" s="70"/>
      <c r="H4697" s="400"/>
      <c r="I4697" s="239"/>
    </row>
    <row r="4698" spans="6:9" x14ac:dyDescent="0.35">
      <c r="F4698" s="33"/>
      <c r="G4698" s="70"/>
      <c r="H4698" s="400"/>
      <c r="I4698" s="239"/>
    </row>
    <row r="4699" spans="6:9" x14ac:dyDescent="0.35">
      <c r="F4699" s="33"/>
      <c r="G4699" s="70"/>
      <c r="H4699" s="400"/>
      <c r="I4699" s="239"/>
    </row>
    <row r="4700" spans="6:9" x14ac:dyDescent="0.35">
      <c r="F4700" s="33"/>
      <c r="G4700" s="70"/>
      <c r="H4700" s="400"/>
      <c r="I4700" s="239"/>
    </row>
    <row r="4701" spans="6:9" x14ac:dyDescent="0.35">
      <c r="F4701" s="33"/>
      <c r="G4701" s="70"/>
      <c r="H4701" s="400"/>
      <c r="I4701" s="239"/>
    </row>
    <row r="4702" spans="6:9" x14ac:dyDescent="0.35">
      <c r="F4702" s="33"/>
      <c r="G4702" s="70"/>
      <c r="H4702" s="400"/>
      <c r="I4702" s="239"/>
    </row>
    <row r="4703" spans="6:9" x14ac:dyDescent="0.35">
      <c r="F4703" s="33"/>
      <c r="G4703" s="70"/>
      <c r="H4703" s="400"/>
      <c r="I4703" s="239"/>
    </row>
    <row r="4704" spans="6:9" x14ac:dyDescent="0.35">
      <c r="F4704" s="33"/>
      <c r="G4704" s="70"/>
      <c r="H4704" s="400"/>
      <c r="I4704" s="239"/>
    </row>
    <row r="4705" spans="6:9" x14ac:dyDescent="0.35">
      <c r="F4705" s="33"/>
      <c r="G4705" s="70"/>
      <c r="H4705" s="400"/>
      <c r="I4705" s="239"/>
    </row>
    <row r="4706" spans="6:9" x14ac:dyDescent="0.35">
      <c r="F4706" s="33"/>
      <c r="G4706" s="70"/>
      <c r="H4706" s="400"/>
      <c r="I4706" s="239"/>
    </row>
    <row r="4707" spans="6:9" x14ac:dyDescent="0.35">
      <c r="F4707" s="33"/>
      <c r="G4707" s="70"/>
      <c r="H4707" s="400"/>
      <c r="I4707" s="239"/>
    </row>
    <row r="4708" spans="6:9" x14ac:dyDescent="0.35">
      <c r="F4708" s="33"/>
      <c r="G4708" s="70"/>
      <c r="H4708" s="400"/>
      <c r="I4708" s="239"/>
    </row>
    <row r="4709" spans="6:9" x14ac:dyDescent="0.35">
      <c r="F4709" s="33"/>
      <c r="G4709" s="70"/>
      <c r="H4709" s="400"/>
      <c r="I4709" s="239"/>
    </row>
    <row r="4710" spans="6:9" x14ac:dyDescent="0.35">
      <c r="F4710" s="33"/>
      <c r="G4710" s="70"/>
      <c r="H4710" s="400"/>
      <c r="I4710" s="239"/>
    </row>
    <row r="4711" spans="6:9" x14ac:dyDescent="0.35">
      <c r="F4711" s="33"/>
      <c r="G4711" s="70"/>
      <c r="H4711" s="400"/>
      <c r="I4711" s="239"/>
    </row>
    <row r="4712" spans="6:9" x14ac:dyDescent="0.35">
      <c r="F4712" s="33"/>
      <c r="G4712" s="70"/>
      <c r="H4712" s="400"/>
      <c r="I4712" s="239"/>
    </row>
    <row r="4713" spans="6:9" x14ac:dyDescent="0.35">
      <c r="F4713" s="33"/>
      <c r="G4713" s="70"/>
      <c r="H4713" s="400"/>
      <c r="I4713" s="239"/>
    </row>
    <row r="4714" spans="6:9" x14ac:dyDescent="0.35">
      <c r="F4714" s="33"/>
      <c r="G4714" s="70"/>
      <c r="H4714" s="400"/>
      <c r="I4714" s="239"/>
    </row>
    <row r="4715" spans="6:9" x14ac:dyDescent="0.35">
      <c r="F4715" s="33"/>
      <c r="G4715" s="70"/>
      <c r="H4715" s="400"/>
      <c r="I4715" s="239"/>
    </row>
    <row r="4716" spans="6:9" x14ac:dyDescent="0.35">
      <c r="F4716" s="33"/>
      <c r="G4716" s="70"/>
      <c r="H4716" s="400"/>
      <c r="I4716" s="239"/>
    </row>
    <row r="4717" spans="6:9" x14ac:dyDescent="0.35">
      <c r="F4717" s="33"/>
      <c r="G4717" s="70"/>
      <c r="H4717" s="400"/>
      <c r="I4717" s="239"/>
    </row>
    <row r="4718" spans="6:9" x14ac:dyDescent="0.35">
      <c r="F4718" s="33"/>
      <c r="G4718" s="70"/>
      <c r="H4718" s="400"/>
      <c r="I4718" s="239"/>
    </row>
    <row r="4719" spans="6:9" x14ac:dyDescent="0.35">
      <c r="F4719" s="33"/>
      <c r="G4719" s="70"/>
      <c r="H4719" s="400"/>
      <c r="I4719" s="239"/>
    </row>
    <row r="4720" spans="6:9" x14ac:dyDescent="0.35">
      <c r="F4720" s="33"/>
      <c r="G4720" s="70"/>
      <c r="H4720" s="400"/>
      <c r="I4720" s="239"/>
    </row>
    <row r="4721" spans="6:9" x14ac:dyDescent="0.35">
      <c r="F4721" s="33"/>
      <c r="G4721" s="70"/>
      <c r="H4721" s="400"/>
      <c r="I4721" s="239"/>
    </row>
    <row r="4722" spans="6:9" x14ac:dyDescent="0.35">
      <c r="F4722" s="33"/>
      <c r="G4722" s="70"/>
      <c r="H4722" s="400"/>
      <c r="I4722" s="239"/>
    </row>
    <row r="4723" spans="6:9" x14ac:dyDescent="0.35">
      <c r="F4723" s="33"/>
      <c r="G4723" s="70"/>
      <c r="H4723" s="400"/>
      <c r="I4723" s="239"/>
    </row>
    <row r="4724" spans="6:9" x14ac:dyDescent="0.35">
      <c r="F4724" s="33"/>
      <c r="G4724" s="70"/>
      <c r="H4724" s="400"/>
      <c r="I4724" s="239"/>
    </row>
    <row r="4725" spans="6:9" x14ac:dyDescent="0.35">
      <c r="F4725" s="33"/>
      <c r="G4725" s="70"/>
      <c r="H4725" s="400"/>
      <c r="I4725" s="239"/>
    </row>
    <row r="4726" spans="6:9" x14ac:dyDescent="0.35">
      <c r="F4726" s="33"/>
      <c r="G4726" s="70"/>
      <c r="H4726" s="400"/>
      <c r="I4726" s="239"/>
    </row>
    <row r="4727" spans="6:9" x14ac:dyDescent="0.35">
      <c r="F4727" s="33"/>
      <c r="G4727" s="70"/>
      <c r="H4727" s="400"/>
      <c r="I4727" s="239"/>
    </row>
    <row r="4728" spans="6:9" x14ac:dyDescent="0.35">
      <c r="F4728" s="33"/>
      <c r="G4728" s="70"/>
      <c r="H4728" s="400"/>
      <c r="I4728" s="239"/>
    </row>
    <row r="4729" spans="6:9" x14ac:dyDescent="0.35">
      <c r="F4729" s="33"/>
      <c r="G4729" s="70"/>
      <c r="H4729" s="400"/>
      <c r="I4729" s="239"/>
    </row>
    <row r="4730" spans="6:9" x14ac:dyDescent="0.35">
      <c r="F4730" s="33"/>
      <c r="G4730" s="70"/>
      <c r="H4730" s="400"/>
      <c r="I4730" s="239"/>
    </row>
    <row r="4731" spans="6:9" x14ac:dyDescent="0.35">
      <c r="F4731" s="33"/>
      <c r="G4731" s="70"/>
      <c r="H4731" s="400"/>
      <c r="I4731" s="239"/>
    </row>
    <row r="4732" spans="6:9" x14ac:dyDescent="0.35">
      <c r="F4732" s="33"/>
      <c r="G4732" s="70"/>
      <c r="H4732" s="400"/>
      <c r="I4732" s="239"/>
    </row>
    <row r="4733" spans="6:9" x14ac:dyDescent="0.35">
      <c r="F4733" s="33"/>
      <c r="G4733" s="70"/>
      <c r="H4733" s="400"/>
      <c r="I4733" s="239"/>
    </row>
    <row r="4734" spans="6:9" x14ac:dyDescent="0.35">
      <c r="F4734" s="33"/>
      <c r="G4734" s="70"/>
      <c r="H4734" s="400"/>
      <c r="I4734" s="239"/>
    </row>
    <row r="4735" spans="6:9" x14ac:dyDescent="0.35">
      <c r="F4735" s="33"/>
      <c r="G4735" s="70"/>
      <c r="H4735" s="400"/>
      <c r="I4735" s="239"/>
    </row>
    <row r="4736" spans="6:9" x14ac:dyDescent="0.35">
      <c r="F4736" s="33"/>
      <c r="G4736" s="70"/>
      <c r="H4736" s="400"/>
      <c r="I4736" s="239"/>
    </row>
    <row r="4737" spans="6:9" x14ac:dyDescent="0.35">
      <c r="F4737" s="33"/>
      <c r="G4737" s="70"/>
      <c r="H4737" s="400"/>
      <c r="I4737" s="239"/>
    </row>
    <row r="4738" spans="6:9" x14ac:dyDescent="0.35">
      <c r="F4738" s="33"/>
      <c r="G4738" s="70"/>
      <c r="H4738" s="400"/>
      <c r="I4738" s="239"/>
    </row>
    <row r="4739" spans="6:9" x14ac:dyDescent="0.35">
      <c r="F4739" s="33"/>
      <c r="G4739" s="70"/>
      <c r="H4739" s="400"/>
      <c r="I4739" s="239"/>
    </row>
    <row r="4740" spans="6:9" x14ac:dyDescent="0.35">
      <c r="F4740" s="33"/>
      <c r="G4740" s="70"/>
      <c r="H4740" s="400"/>
      <c r="I4740" s="239"/>
    </row>
    <row r="4741" spans="6:9" x14ac:dyDescent="0.35">
      <c r="F4741" s="33"/>
      <c r="G4741" s="70"/>
      <c r="H4741" s="400"/>
      <c r="I4741" s="239"/>
    </row>
    <row r="4742" spans="6:9" x14ac:dyDescent="0.35">
      <c r="F4742" s="33"/>
      <c r="G4742" s="70"/>
      <c r="H4742" s="400"/>
      <c r="I4742" s="239"/>
    </row>
    <row r="4743" spans="6:9" x14ac:dyDescent="0.35">
      <c r="F4743" s="33"/>
      <c r="G4743" s="70"/>
      <c r="H4743" s="400"/>
      <c r="I4743" s="239"/>
    </row>
    <row r="4744" spans="6:9" x14ac:dyDescent="0.35">
      <c r="F4744" s="33"/>
      <c r="G4744" s="70"/>
      <c r="H4744" s="400"/>
      <c r="I4744" s="239"/>
    </row>
    <row r="4745" spans="6:9" x14ac:dyDescent="0.35">
      <c r="F4745" s="33"/>
      <c r="G4745" s="70"/>
      <c r="H4745" s="400"/>
      <c r="I4745" s="239"/>
    </row>
    <row r="4746" spans="6:9" x14ac:dyDescent="0.35">
      <c r="F4746" s="33"/>
      <c r="G4746" s="70"/>
      <c r="H4746" s="400"/>
      <c r="I4746" s="239"/>
    </row>
    <row r="4747" spans="6:9" x14ac:dyDescent="0.35">
      <c r="F4747" s="33"/>
      <c r="G4747" s="70"/>
      <c r="H4747" s="400"/>
      <c r="I4747" s="239"/>
    </row>
    <row r="4748" spans="6:9" x14ac:dyDescent="0.35">
      <c r="F4748" s="33"/>
      <c r="G4748" s="70"/>
      <c r="H4748" s="400"/>
      <c r="I4748" s="239"/>
    </row>
    <row r="4749" spans="6:9" x14ac:dyDescent="0.35">
      <c r="F4749" s="33"/>
      <c r="G4749" s="70"/>
      <c r="H4749" s="400"/>
      <c r="I4749" s="239"/>
    </row>
    <row r="4750" spans="6:9" x14ac:dyDescent="0.35">
      <c r="F4750" s="33"/>
      <c r="G4750" s="70"/>
      <c r="H4750" s="400"/>
      <c r="I4750" s="239"/>
    </row>
    <row r="4751" spans="6:9" x14ac:dyDescent="0.35">
      <c r="F4751" s="33"/>
      <c r="G4751" s="70"/>
      <c r="H4751" s="400"/>
      <c r="I4751" s="239"/>
    </row>
    <row r="4752" spans="6:9" x14ac:dyDescent="0.35">
      <c r="F4752" s="33"/>
      <c r="G4752" s="70"/>
      <c r="H4752" s="400"/>
      <c r="I4752" s="239"/>
    </row>
    <row r="4753" spans="6:9" x14ac:dyDescent="0.35">
      <c r="F4753" s="33"/>
      <c r="G4753" s="70"/>
      <c r="H4753" s="400"/>
      <c r="I4753" s="239"/>
    </row>
    <row r="4754" spans="6:9" x14ac:dyDescent="0.35">
      <c r="F4754" s="33"/>
      <c r="G4754" s="70"/>
      <c r="H4754" s="400"/>
      <c r="I4754" s="239"/>
    </row>
    <row r="4755" spans="6:9" x14ac:dyDescent="0.35">
      <c r="F4755" s="33"/>
      <c r="G4755" s="70"/>
      <c r="H4755" s="400"/>
      <c r="I4755" s="239"/>
    </row>
    <row r="4756" spans="6:9" x14ac:dyDescent="0.35">
      <c r="F4756" s="33"/>
      <c r="G4756" s="70"/>
      <c r="H4756" s="400"/>
      <c r="I4756" s="239"/>
    </row>
    <row r="4757" spans="6:9" x14ac:dyDescent="0.35">
      <c r="F4757" s="33"/>
      <c r="G4757" s="70"/>
      <c r="H4757" s="400"/>
      <c r="I4757" s="239"/>
    </row>
    <row r="4758" spans="6:9" x14ac:dyDescent="0.35">
      <c r="F4758" s="33"/>
      <c r="G4758" s="70"/>
      <c r="H4758" s="400"/>
      <c r="I4758" s="239"/>
    </row>
    <row r="4759" spans="6:9" x14ac:dyDescent="0.35">
      <c r="F4759" s="33"/>
      <c r="G4759" s="70"/>
      <c r="H4759" s="400"/>
      <c r="I4759" s="239"/>
    </row>
    <row r="4760" spans="6:9" x14ac:dyDescent="0.35">
      <c r="F4760" s="33"/>
      <c r="G4760" s="70"/>
      <c r="H4760" s="400"/>
      <c r="I4760" s="239"/>
    </row>
    <row r="4761" spans="6:9" x14ac:dyDescent="0.35">
      <c r="F4761" s="33"/>
      <c r="G4761" s="70"/>
      <c r="H4761" s="400"/>
      <c r="I4761" s="239"/>
    </row>
    <row r="4762" spans="6:9" x14ac:dyDescent="0.35">
      <c r="F4762" s="33"/>
      <c r="G4762" s="70"/>
      <c r="H4762" s="400"/>
      <c r="I4762" s="239"/>
    </row>
    <row r="4763" spans="6:9" x14ac:dyDescent="0.35">
      <c r="F4763" s="33"/>
      <c r="G4763" s="70"/>
      <c r="H4763" s="400"/>
      <c r="I4763" s="239"/>
    </row>
    <row r="4764" spans="6:9" x14ac:dyDescent="0.35">
      <c r="F4764" s="33"/>
      <c r="G4764" s="70"/>
      <c r="H4764" s="400"/>
      <c r="I4764" s="239"/>
    </row>
    <row r="4765" spans="6:9" x14ac:dyDescent="0.35">
      <c r="F4765" s="33"/>
      <c r="G4765" s="70"/>
      <c r="H4765" s="400"/>
      <c r="I4765" s="239"/>
    </row>
    <row r="4766" spans="6:9" x14ac:dyDescent="0.35">
      <c r="F4766" s="33"/>
      <c r="G4766" s="70"/>
      <c r="H4766" s="400"/>
      <c r="I4766" s="239"/>
    </row>
    <row r="4767" spans="6:9" x14ac:dyDescent="0.35">
      <c r="F4767" s="33"/>
      <c r="G4767" s="70"/>
      <c r="H4767" s="400"/>
      <c r="I4767" s="239"/>
    </row>
    <row r="4768" spans="6:9" x14ac:dyDescent="0.35">
      <c r="F4768" s="33"/>
      <c r="G4768" s="70"/>
      <c r="H4768" s="400"/>
      <c r="I4768" s="239"/>
    </row>
    <row r="4769" spans="6:9" x14ac:dyDescent="0.35">
      <c r="F4769" s="33"/>
      <c r="G4769" s="70"/>
      <c r="H4769" s="400"/>
      <c r="I4769" s="239"/>
    </row>
    <row r="4770" spans="6:9" x14ac:dyDescent="0.35">
      <c r="F4770" s="33"/>
      <c r="G4770" s="70"/>
      <c r="H4770" s="400"/>
      <c r="I4770" s="239"/>
    </row>
    <row r="4771" spans="6:9" x14ac:dyDescent="0.35">
      <c r="F4771" s="33"/>
      <c r="G4771" s="70"/>
      <c r="H4771" s="400"/>
      <c r="I4771" s="239"/>
    </row>
    <row r="4772" spans="6:9" x14ac:dyDescent="0.35">
      <c r="F4772" s="33"/>
      <c r="G4772" s="70"/>
      <c r="H4772" s="400"/>
      <c r="I4772" s="239"/>
    </row>
    <row r="4773" spans="6:9" x14ac:dyDescent="0.35">
      <c r="F4773" s="33"/>
      <c r="G4773" s="70"/>
      <c r="H4773" s="400"/>
      <c r="I4773" s="239"/>
    </row>
    <row r="4774" spans="6:9" x14ac:dyDescent="0.35">
      <c r="F4774" s="33"/>
      <c r="G4774" s="70"/>
      <c r="H4774" s="400"/>
      <c r="I4774" s="239"/>
    </row>
    <row r="4775" spans="6:9" x14ac:dyDescent="0.35">
      <c r="F4775" s="33"/>
      <c r="G4775" s="70"/>
      <c r="H4775" s="400"/>
      <c r="I4775" s="239"/>
    </row>
    <row r="4776" spans="6:9" x14ac:dyDescent="0.35">
      <c r="F4776" s="33"/>
      <c r="G4776" s="70"/>
      <c r="H4776" s="400"/>
      <c r="I4776" s="239"/>
    </row>
    <row r="4777" spans="6:9" x14ac:dyDescent="0.35">
      <c r="F4777" s="33"/>
      <c r="G4777" s="70"/>
      <c r="H4777" s="400"/>
      <c r="I4777" s="239"/>
    </row>
    <row r="4778" spans="6:9" x14ac:dyDescent="0.35">
      <c r="F4778" s="33"/>
      <c r="G4778" s="70"/>
      <c r="H4778" s="400"/>
      <c r="I4778" s="239"/>
    </row>
    <row r="4779" spans="6:9" x14ac:dyDescent="0.35">
      <c r="F4779" s="33"/>
      <c r="G4779" s="70"/>
      <c r="H4779" s="400"/>
      <c r="I4779" s="239"/>
    </row>
    <row r="4780" spans="6:9" x14ac:dyDescent="0.35">
      <c r="F4780" s="33"/>
      <c r="G4780" s="70"/>
      <c r="H4780" s="400"/>
      <c r="I4780" s="239"/>
    </row>
    <row r="4781" spans="6:9" x14ac:dyDescent="0.35">
      <c r="F4781" s="33"/>
      <c r="G4781" s="70"/>
      <c r="H4781" s="400"/>
      <c r="I4781" s="239"/>
    </row>
    <row r="4782" spans="6:9" x14ac:dyDescent="0.35">
      <c r="F4782" s="33"/>
      <c r="G4782" s="70"/>
      <c r="H4782" s="400"/>
      <c r="I4782" s="239"/>
    </row>
    <row r="4783" spans="6:9" x14ac:dyDescent="0.35">
      <c r="F4783" s="33"/>
      <c r="G4783" s="70"/>
      <c r="H4783" s="400"/>
      <c r="I4783" s="239"/>
    </row>
    <row r="4784" spans="6:9" x14ac:dyDescent="0.35">
      <c r="F4784" s="33"/>
      <c r="G4784" s="70"/>
      <c r="H4784" s="400"/>
      <c r="I4784" s="239"/>
    </row>
    <row r="4785" spans="6:9" x14ac:dyDescent="0.35">
      <c r="F4785" s="33"/>
      <c r="G4785" s="70"/>
      <c r="H4785" s="400"/>
      <c r="I4785" s="239"/>
    </row>
    <row r="4786" spans="6:9" x14ac:dyDescent="0.35">
      <c r="F4786" s="33"/>
      <c r="G4786" s="70"/>
      <c r="H4786" s="400"/>
      <c r="I4786" s="239"/>
    </row>
    <row r="4787" spans="6:9" x14ac:dyDescent="0.35">
      <c r="F4787" s="33"/>
      <c r="G4787" s="70"/>
      <c r="H4787" s="400"/>
      <c r="I4787" s="239"/>
    </row>
    <row r="4788" spans="6:9" x14ac:dyDescent="0.35">
      <c r="F4788" s="33"/>
      <c r="G4788" s="70"/>
      <c r="H4788" s="400"/>
      <c r="I4788" s="239"/>
    </row>
    <row r="4789" spans="6:9" x14ac:dyDescent="0.35">
      <c r="F4789" s="33"/>
      <c r="G4789" s="70"/>
      <c r="H4789" s="400"/>
      <c r="I4789" s="239"/>
    </row>
    <row r="4790" spans="6:9" x14ac:dyDescent="0.35">
      <c r="F4790" s="33"/>
      <c r="G4790" s="70"/>
      <c r="H4790" s="400"/>
      <c r="I4790" s="239"/>
    </row>
    <row r="4791" spans="6:9" x14ac:dyDescent="0.35">
      <c r="F4791" s="33"/>
      <c r="G4791" s="70"/>
      <c r="H4791" s="400"/>
      <c r="I4791" s="239"/>
    </row>
    <row r="4792" spans="6:9" x14ac:dyDescent="0.35">
      <c r="F4792" s="33"/>
      <c r="G4792" s="70"/>
      <c r="H4792" s="400"/>
      <c r="I4792" s="239"/>
    </row>
    <row r="4793" spans="6:9" x14ac:dyDescent="0.35">
      <c r="F4793" s="33"/>
      <c r="G4793" s="70"/>
      <c r="H4793" s="400"/>
      <c r="I4793" s="239"/>
    </row>
    <row r="4794" spans="6:9" x14ac:dyDescent="0.35">
      <c r="F4794" s="33"/>
      <c r="G4794" s="70"/>
      <c r="H4794" s="400"/>
      <c r="I4794" s="239"/>
    </row>
    <row r="4795" spans="6:9" x14ac:dyDescent="0.35">
      <c r="F4795" s="33"/>
      <c r="G4795" s="70"/>
      <c r="H4795" s="400"/>
      <c r="I4795" s="239"/>
    </row>
    <row r="4796" spans="6:9" x14ac:dyDescent="0.35">
      <c r="F4796" s="33"/>
      <c r="G4796" s="70"/>
      <c r="H4796" s="400"/>
      <c r="I4796" s="239"/>
    </row>
    <row r="4797" spans="6:9" x14ac:dyDescent="0.35">
      <c r="F4797" s="33"/>
      <c r="G4797" s="70"/>
      <c r="H4797" s="400"/>
      <c r="I4797" s="239"/>
    </row>
    <row r="4798" spans="6:9" x14ac:dyDescent="0.35">
      <c r="F4798" s="33"/>
      <c r="G4798" s="70"/>
      <c r="H4798" s="400"/>
      <c r="I4798" s="239"/>
    </row>
    <row r="4799" spans="6:9" x14ac:dyDescent="0.35">
      <c r="F4799" s="33"/>
      <c r="G4799" s="70"/>
      <c r="H4799" s="400"/>
      <c r="I4799" s="239"/>
    </row>
    <row r="4800" spans="6:9" x14ac:dyDescent="0.35">
      <c r="F4800" s="33"/>
      <c r="G4800" s="70"/>
      <c r="H4800" s="400"/>
      <c r="I4800" s="239"/>
    </row>
    <row r="4801" spans="6:9" x14ac:dyDescent="0.35">
      <c r="F4801" s="33"/>
      <c r="G4801" s="70"/>
      <c r="H4801" s="400"/>
      <c r="I4801" s="239"/>
    </row>
    <row r="4802" spans="6:9" x14ac:dyDescent="0.35">
      <c r="F4802" s="33"/>
      <c r="G4802" s="70"/>
      <c r="H4802" s="400"/>
      <c r="I4802" s="239"/>
    </row>
    <row r="4803" spans="6:9" x14ac:dyDescent="0.35">
      <c r="F4803" s="33"/>
      <c r="G4803" s="70"/>
      <c r="H4803" s="400"/>
      <c r="I4803" s="239"/>
    </row>
    <row r="4804" spans="6:9" x14ac:dyDescent="0.35">
      <c r="F4804" s="33"/>
      <c r="G4804" s="70"/>
      <c r="H4804" s="400"/>
      <c r="I4804" s="239"/>
    </row>
    <row r="4805" spans="6:9" x14ac:dyDescent="0.35">
      <c r="F4805" s="33"/>
      <c r="G4805" s="70"/>
      <c r="H4805" s="400"/>
      <c r="I4805" s="239"/>
    </row>
    <row r="4806" spans="6:9" x14ac:dyDescent="0.35">
      <c r="F4806" s="33"/>
      <c r="G4806" s="70"/>
      <c r="H4806" s="400"/>
      <c r="I4806" s="239"/>
    </row>
    <row r="4807" spans="6:9" x14ac:dyDescent="0.35">
      <c r="F4807" s="33"/>
      <c r="G4807" s="70"/>
      <c r="H4807" s="400"/>
      <c r="I4807" s="239"/>
    </row>
    <row r="4808" spans="6:9" x14ac:dyDescent="0.35">
      <c r="F4808" s="33"/>
      <c r="G4808" s="70"/>
      <c r="H4808" s="400"/>
      <c r="I4808" s="239"/>
    </row>
    <row r="4809" spans="6:9" x14ac:dyDescent="0.35">
      <c r="F4809" s="33"/>
      <c r="G4809" s="70"/>
      <c r="H4809" s="400"/>
      <c r="I4809" s="239"/>
    </row>
    <row r="4810" spans="6:9" x14ac:dyDescent="0.35">
      <c r="F4810" s="33"/>
      <c r="G4810" s="70"/>
      <c r="H4810" s="400"/>
      <c r="I4810" s="239"/>
    </row>
    <row r="4811" spans="6:9" x14ac:dyDescent="0.35">
      <c r="F4811" s="33"/>
      <c r="G4811" s="70"/>
      <c r="H4811" s="400"/>
      <c r="I4811" s="239"/>
    </row>
    <row r="4812" spans="6:9" x14ac:dyDescent="0.35">
      <c r="F4812" s="33"/>
      <c r="G4812" s="70"/>
      <c r="H4812" s="400"/>
      <c r="I4812" s="239"/>
    </row>
    <row r="4813" spans="6:9" x14ac:dyDescent="0.35">
      <c r="F4813" s="33"/>
      <c r="G4813" s="70"/>
      <c r="H4813" s="400"/>
      <c r="I4813" s="239"/>
    </row>
    <row r="4814" spans="6:9" x14ac:dyDescent="0.35">
      <c r="F4814" s="33"/>
      <c r="G4814" s="70"/>
      <c r="H4814" s="400"/>
      <c r="I4814" s="239"/>
    </row>
    <row r="4815" spans="6:9" x14ac:dyDescent="0.35">
      <c r="F4815" s="33"/>
      <c r="G4815" s="70"/>
      <c r="H4815" s="400"/>
      <c r="I4815" s="239"/>
    </row>
    <row r="4816" spans="6:9" x14ac:dyDescent="0.35">
      <c r="F4816" s="33"/>
      <c r="G4816" s="70"/>
      <c r="H4816" s="400"/>
      <c r="I4816" s="239"/>
    </row>
    <row r="4817" spans="6:9" x14ac:dyDescent="0.35">
      <c r="F4817" s="33"/>
      <c r="G4817" s="70"/>
      <c r="H4817" s="400"/>
      <c r="I4817" s="239"/>
    </row>
    <row r="4818" spans="6:9" x14ac:dyDescent="0.35">
      <c r="F4818" s="33"/>
      <c r="G4818" s="70"/>
      <c r="H4818" s="400"/>
      <c r="I4818" s="239"/>
    </row>
    <row r="4819" spans="6:9" x14ac:dyDescent="0.35">
      <c r="F4819" s="33"/>
      <c r="G4819" s="70"/>
      <c r="H4819" s="400"/>
      <c r="I4819" s="239"/>
    </row>
    <row r="4820" spans="6:9" x14ac:dyDescent="0.35">
      <c r="F4820" s="33"/>
      <c r="G4820" s="70"/>
      <c r="H4820" s="400"/>
      <c r="I4820" s="239"/>
    </row>
    <row r="4821" spans="6:9" x14ac:dyDescent="0.35">
      <c r="F4821" s="33"/>
      <c r="G4821" s="70"/>
      <c r="H4821" s="400"/>
      <c r="I4821" s="239"/>
    </row>
    <row r="4822" spans="6:9" x14ac:dyDescent="0.35">
      <c r="F4822" s="33"/>
      <c r="G4822" s="70"/>
      <c r="H4822" s="400"/>
      <c r="I4822" s="239"/>
    </row>
    <row r="4823" spans="6:9" x14ac:dyDescent="0.35">
      <c r="F4823" s="33"/>
      <c r="G4823" s="70"/>
      <c r="H4823" s="400"/>
      <c r="I4823" s="239"/>
    </row>
    <row r="4824" spans="6:9" x14ac:dyDescent="0.35">
      <c r="F4824" s="33"/>
      <c r="G4824" s="70"/>
      <c r="H4824" s="400"/>
      <c r="I4824" s="239"/>
    </row>
    <row r="4825" spans="6:9" x14ac:dyDescent="0.35">
      <c r="F4825" s="33"/>
      <c r="G4825" s="70"/>
      <c r="H4825" s="400"/>
      <c r="I4825" s="239"/>
    </row>
    <row r="4826" spans="6:9" x14ac:dyDescent="0.35">
      <c r="F4826" s="33"/>
      <c r="G4826" s="70"/>
      <c r="H4826" s="400"/>
      <c r="I4826" s="239"/>
    </row>
    <row r="4827" spans="6:9" x14ac:dyDescent="0.35">
      <c r="F4827" s="33"/>
      <c r="G4827" s="70"/>
      <c r="H4827" s="400"/>
      <c r="I4827" s="239"/>
    </row>
    <row r="4828" spans="6:9" x14ac:dyDescent="0.35">
      <c r="F4828" s="33"/>
      <c r="G4828" s="70"/>
      <c r="H4828" s="400"/>
      <c r="I4828" s="239"/>
    </row>
    <row r="4829" spans="6:9" x14ac:dyDescent="0.35">
      <c r="F4829" s="33"/>
      <c r="G4829" s="70"/>
      <c r="H4829" s="400"/>
      <c r="I4829" s="239"/>
    </row>
    <row r="4830" spans="6:9" x14ac:dyDescent="0.35">
      <c r="F4830" s="33"/>
      <c r="G4830" s="70"/>
      <c r="H4830" s="400"/>
      <c r="I4830" s="239"/>
    </row>
    <row r="4831" spans="6:9" x14ac:dyDescent="0.35">
      <c r="F4831" s="33"/>
      <c r="G4831" s="70"/>
      <c r="H4831" s="400"/>
      <c r="I4831" s="239"/>
    </row>
    <row r="4832" spans="6:9" x14ac:dyDescent="0.35">
      <c r="F4832" s="33"/>
      <c r="G4832" s="70"/>
      <c r="H4832" s="400"/>
      <c r="I4832" s="239"/>
    </row>
    <row r="4833" spans="6:9" x14ac:dyDescent="0.35">
      <c r="F4833" s="33"/>
      <c r="G4833" s="70"/>
      <c r="H4833" s="400"/>
      <c r="I4833" s="239"/>
    </row>
    <row r="4834" spans="6:9" x14ac:dyDescent="0.35">
      <c r="F4834" s="33"/>
      <c r="G4834" s="70"/>
      <c r="H4834" s="400"/>
      <c r="I4834" s="239"/>
    </row>
    <row r="4835" spans="6:9" x14ac:dyDescent="0.35">
      <c r="F4835" s="33"/>
      <c r="G4835" s="70"/>
      <c r="H4835" s="400"/>
      <c r="I4835" s="239"/>
    </row>
    <row r="4836" spans="6:9" x14ac:dyDescent="0.35">
      <c r="F4836" s="33"/>
      <c r="G4836" s="70"/>
      <c r="H4836" s="400"/>
      <c r="I4836" s="239"/>
    </row>
    <row r="4837" spans="6:9" x14ac:dyDescent="0.35">
      <c r="F4837" s="33"/>
      <c r="G4837" s="70"/>
      <c r="H4837" s="400"/>
      <c r="I4837" s="239"/>
    </row>
    <row r="4838" spans="6:9" x14ac:dyDescent="0.35">
      <c r="F4838" s="33"/>
      <c r="G4838" s="70"/>
      <c r="H4838" s="400"/>
      <c r="I4838" s="239"/>
    </row>
    <row r="4839" spans="6:9" x14ac:dyDescent="0.35">
      <c r="F4839" s="33"/>
      <c r="G4839" s="70"/>
      <c r="H4839" s="400"/>
      <c r="I4839" s="239"/>
    </row>
    <row r="4840" spans="6:9" x14ac:dyDescent="0.35">
      <c r="F4840" s="33"/>
      <c r="G4840" s="70"/>
      <c r="H4840" s="400"/>
      <c r="I4840" s="239"/>
    </row>
    <row r="4841" spans="6:9" x14ac:dyDescent="0.35">
      <c r="F4841" s="33"/>
      <c r="G4841" s="70"/>
      <c r="H4841" s="400"/>
      <c r="I4841" s="239"/>
    </row>
    <row r="4842" spans="6:9" x14ac:dyDescent="0.35">
      <c r="F4842" s="33"/>
      <c r="G4842" s="70"/>
      <c r="H4842" s="400"/>
      <c r="I4842" s="239"/>
    </row>
    <row r="4843" spans="6:9" x14ac:dyDescent="0.35">
      <c r="F4843" s="33"/>
      <c r="G4843" s="70"/>
      <c r="H4843" s="400"/>
      <c r="I4843" s="239"/>
    </row>
    <row r="4844" spans="6:9" x14ac:dyDescent="0.35">
      <c r="F4844" s="33"/>
      <c r="G4844" s="70"/>
      <c r="H4844" s="400"/>
      <c r="I4844" s="239"/>
    </row>
    <row r="4845" spans="6:9" x14ac:dyDescent="0.35">
      <c r="F4845" s="33"/>
      <c r="G4845" s="70"/>
      <c r="H4845" s="400"/>
      <c r="I4845" s="239"/>
    </row>
    <row r="4846" spans="6:9" x14ac:dyDescent="0.35">
      <c r="F4846" s="33"/>
      <c r="G4846" s="70"/>
      <c r="H4846" s="400"/>
      <c r="I4846" s="239"/>
    </row>
    <row r="4847" spans="6:9" x14ac:dyDescent="0.35">
      <c r="F4847" s="33"/>
      <c r="G4847" s="70"/>
      <c r="H4847" s="400"/>
      <c r="I4847" s="239"/>
    </row>
    <row r="4848" spans="6:9" x14ac:dyDescent="0.35">
      <c r="F4848" s="33"/>
      <c r="G4848" s="70"/>
      <c r="H4848" s="400"/>
      <c r="I4848" s="239"/>
    </row>
    <row r="4849" spans="6:9" x14ac:dyDescent="0.35">
      <c r="F4849" s="33"/>
      <c r="G4849" s="70"/>
      <c r="H4849" s="400"/>
      <c r="I4849" s="239"/>
    </row>
    <row r="4850" spans="6:9" x14ac:dyDescent="0.35">
      <c r="F4850" s="33"/>
      <c r="G4850" s="70"/>
      <c r="H4850" s="400"/>
      <c r="I4850" s="239"/>
    </row>
    <row r="4851" spans="6:9" x14ac:dyDescent="0.35">
      <c r="F4851" s="33"/>
      <c r="G4851" s="70"/>
      <c r="H4851" s="400"/>
      <c r="I4851" s="239"/>
    </row>
    <row r="4852" spans="6:9" x14ac:dyDescent="0.35">
      <c r="F4852" s="33"/>
      <c r="G4852" s="70"/>
      <c r="H4852" s="400"/>
      <c r="I4852" s="239"/>
    </row>
    <row r="4853" spans="6:9" x14ac:dyDescent="0.35">
      <c r="F4853" s="33"/>
      <c r="G4853" s="70"/>
      <c r="H4853" s="400"/>
      <c r="I4853" s="239"/>
    </row>
    <row r="4854" spans="6:9" x14ac:dyDescent="0.35">
      <c r="F4854" s="33"/>
      <c r="G4854" s="70"/>
      <c r="H4854" s="400"/>
      <c r="I4854" s="239"/>
    </row>
    <row r="4855" spans="6:9" x14ac:dyDescent="0.35">
      <c r="F4855" s="33"/>
      <c r="G4855" s="70"/>
      <c r="H4855" s="400"/>
      <c r="I4855" s="239"/>
    </row>
    <row r="4856" spans="6:9" x14ac:dyDescent="0.35">
      <c r="F4856" s="33"/>
      <c r="G4856" s="70"/>
      <c r="H4856" s="400"/>
      <c r="I4856" s="239"/>
    </row>
    <row r="4857" spans="6:9" x14ac:dyDescent="0.35">
      <c r="F4857" s="33"/>
      <c r="G4857" s="70"/>
      <c r="H4857" s="400"/>
      <c r="I4857" s="239"/>
    </row>
    <row r="4858" spans="6:9" x14ac:dyDescent="0.35">
      <c r="F4858" s="33"/>
      <c r="G4858" s="70"/>
      <c r="H4858" s="400"/>
      <c r="I4858" s="239"/>
    </row>
    <row r="4859" spans="6:9" x14ac:dyDescent="0.35">
      <c r="F4859" s="33"/>
      <c r="G4859" s="70"/>
      <c r="H4859" s="400"/>
      <c r="I4859" s="239"/>
    </row>
    <row r="4860" spans="6:9" x14ac:dyDescent="0.35">
      <c r="F4860" s="33"/>
      <c r="G4860" s="70"/>
      <c r="H4860" s="400"/>
      <c r="I4860" s="239"/>
    </row>
    <row r="4861" spans="6:9" x14ac:dyDescent="0.35">
      <c r="F4861" s="33"/>
      <c r="G4861" s="70"/>
      <c r="H4861" s="400"/>
      <c r="I4861" s="239"/>
    </row>
    <row r="4862" spans="6:9" x14ac:dyDescent="0.35">
      <c r="F4862" s="33"/>
      <c r="G4862" s="70"/>
      <c r="H4862" s="400"/>
      <c r="I4862" s="239"/>
    </row>
    <row r="4863" spans="6:9" x14ac:dyDescent="0.35">
      <c r="F4863" s="33"/>
      <c r="G4863" s="70"/>
      <c r="H4863" s="400"/>
      <c r="I4863" s="239"/>
    </row>
    <row r="4864" spans="6:9" x14ac:dyDescent="0.35">
      <c r="F4864" s="33"/>
      <c r="G4864" s="70"/>
      <c r="H4864" s="400"/>
      <c r="I4864" s="239"/>
    </row>
    <row r="4865" spans="6:9" x14ac:dyDescent="0.35">
      <c r="F4865" s="33"/>
      <c r="G4865" s="70"/>
      <c r="H4865" s="400"/>
      <c r="I4865" s="239"/>
    </row>
    <row r="4866" spans="6:9" x14ac:dyDescent="0.35">
      <c r="F4866" s="33"/>
      <c r="G4866" s="70"/>
      <c r="H4866" s="400"/>
      <c r="I4866" s="239"/>
    </row>
    <row r="4867" spans="6:9" x14ac:dyDescent="0.35">
      <c r="F4867" s="33"/>
      <c r="G4867" s="70"/>
      <c r="H4867" s="400"/>
      <c r="I4867" s="239"/>
    </row>
    <row r="4868" spans="6:9" x14ac:dyDescent="0.35">
      <c r="F4868" s="33"/>
      <c r="G4868" s="70"/>
      <c r="H4868" s="400"/>
      <c r="I4868" s="239"/>
    </row>
    <row r="4869" spans="6:9" x14ac:dyDescent="0.35">
      <c r="F4869" s="33"/>
      <c r="G4869" s="70"/>
      <c r="H4869" s="400"/>
      <c r="I4869" s="239"/>
    </row>
    <row r="4870" spans="6:9" x14ac:dyDescent="0.35">
      <c r="F4870" s="33"/>
      <c r="G4870" s="70"/>
      <c r="H4870" s="400"/>
      <c r="I4870" s="239"/>
    </row>
    <row r="4871" spans="6:9" x14ac:dyDescent="0.35">
      <c r="F4871" s="33"/>
      <c r="G4871" s="70"/>
      <c r="H4871" s="400"/>
      <c r="I4871" s="239"/>
    </row>
    <row r="4872" spans="6:9" x14ac:dyDescent="0.35">
      <c r="F4872" s="33"/>
      <c r="G4872" s="70"/>
      <c r="H4872" s="400"/>
      <c r="I4872" s="239"/>
    </row>
    <row r="4873" spans="6:9" x14ac:dyDescent="0.35">
      <c r="F4873" s="33"/>
      <c r="G4873" s="70"/>
      <c r="H4873" s="400"/>
      <c r="I4873" s="239"/>
    </row>
    <row r="4874" spans="6:9" x14ac:dyDescent="0.35">
      <c r="F4874" s="33"/>
      <c r="G4874" s="70"/>
      <c r="H4874" s="400"/>
      <c r="I4874" s="239"/>
    </row>
    <row r="4875" spans="6:9" x14ac:dyDescent="0.35">
      <c r="F4875" s="33"/>
      <c r="G4875" s="70"/>
      <c r="H4875" s="400"/>
      <c r="I4875" s="239"/>
    </row>
    <row r="4876" spans="6:9" x14ac:dyDescent="0.35">
      <c r="F4876" s="33"/>
      <c r="G4876" s="70"/>
      <c r="H4876" s="400"/>
      <c r="I4876" s="239"/>
    </row>
    <row r="4877" spans="6:9" x14ac:dyDescent="0.35">
      <c r="F4877" s="33"/>
      <c r="G4877" s="70"/>
      <c r="H4877" s="400"/>
      <c r="I4877" s="239"/>
    </row>
    <row r="4878" spans="6:9" x14ac:dyDescent="0.35">
      <c r="F4878" s="33"/>
      <c r="G4878" s="70"/>
      <c r="H4878" s="400"/>
      <c r="I4878" s="239"/>
    </row>
    <row r="4879" spans="6:9" x14ac:dyDescent="0.35">
      <c r="F4879" s="33"/>
      <c r="G4879" s="70"/>
      <c r="H4879" s="400"/>
      <c r="I4879" s="239"/>
    </row>
    <row r="4880" spans="6:9" x14ac:dyDescent="0.35">
      <c r="F4880" s="33"/>
      <c r="G4880" s="70"/>
      <c r="H4880" s="400"/>
      <c r="I4880" s="239"/>
    </row>
    <row r="4881" spans="6:9" x14ac:dyDescent="0.35">
      <c r="F4881" s="33"/>
      <c r="G4881" s="70"/>
      <c r="H4881" s="400"/>
      <c r="I4881" s="239"/>
    </row>
    <row r="4882" spans="6:9" x14ac:dyDescent="0.35">
      <c r="F4882" s="33"/>
      <c r="G4882" s="70"/>
      <c r="H4882" s="400"/>
      <c r="I4882" s="239"/>
    </row>
    <row r="4883" spans="6:9" x14ac:dyDescent="0.35">
      <c r="F4883" s="33"/>
      <c r="G4883" s="70"/>
      <c r="H4883" s="400"/>
      <c r="I4883" s="239"/>
    </row>
    <row r="4884" spans="6:9" x14ac:dyDescent="0.35">
      <c r="F4884" s="33"/>
      <c r="G4884" s="70"/>
      <c r="H4884" s="400"/>
      <c r="I4884" s="239"/>
    </row>
    <row r="4885" spans="6:9" x14ac:dyDescent="0.35">
      <c r="F4885" s="33"/>
      <c r="G4885" s="70"/>
      <c r="H4885" s="400"/>
      <c r="I4885" s="239"/>
    </row>
    <row r="4886" spans="6:9" x14ac:dyDescent="0.35">
      <c r="F4886" s="33"/>
      <c r="G4886" s="70"/>
      <c r="H4886" s="400"/>
      <c r="I4886" s="239"/>
    </row>
    <row r="4887" spans="6:9" x14ac:dyDescent="0.35">
      <c r="F4887" s="33"/>
      <c r="G4887" s="70"/>
      <c r="H4887" s="400"/>
      <c r="I4887" s="239"/>
    </row>
    <row r="4888" spans="6:9" x14ac:dyDescent="0.35">
      <c r="F4888" s="33"/>
      <c r="G4888" s="70"/>
      <c r="H4888" s="400"/>
      <c r="I4888" s="239"/>
    </row>
    <row r="4889" spans="6:9" x14ac:dyDescent="0.35">
      <c r="F4889" s="33"/>
      <c r="G4889" s="70"/>
      <c r="H4889" s="400"/>
      <c r="I4889" s="239"/>
    </row>
    <row r="4890" spans="6:9" x14ac:dyDescent="0.35">
      <c r="F4890" s="33"/>
      <c r="G4890" s="70"/>
      <c r="H4890" s="400"/>
      <c r="I4890" s="239"/>
    </row>
    <row r="4891" spans="6:9" x14ac:dyDescent="0.35">
      <c r="F4891" s="33"/>
      <c r="G4891" s="70"/>
      <c r="H4891" s="400"/>
      <c r="I4891" s="239"/>
    </row>
    <row r="4892" spans="6:9" x14ac:dyDescent="0.35">
      <c r="F4892" s="33"/>
      <c r="G4892" s="70"/>
      <c r="H4892" s="400"/>
      <c r="I4892" s="239"/>
    </row>
    <row r="4893" spans="6:9" x14ac:dyDescent="0.35">
      <c r="F4893" s="33"/>
      <c r="G4893" s="70"/>
      <c r="H4893" s="400"/>
      <c r="I4893" s="239"/>
    </row>
    <row r="4894" spans="6:9" x14ac:dyDescent="0.35">
      <c r="F4894" s="33"/>
      <c r="G4894" s="70"/>
      <c r="H4894" s="400"/>
      <c r="I4894" s="239"/>
    </row>
    <row r="4895" spans="6:9" x14ac:dyDescent="0.35">
      <c r="F4895" s="33"/>
      <c r="G4895" s="70"/>
      <c r="H4895" s="400"/>
      <c r="I4895" s="239"/>
    </row>
    <row r="4896" spans="6:9" x14ac:dyDescent="0.35">
      <c r="F4896" s="33"/>
      <c r="G4896" s="70"/>
      <c r="H4896" s="400"/>
      <c r="I4896" s="239"/>
    </row>
    <row r="4897" spans="6:9" x14ac:dyDescent="0.35">
      <c r="F4897" s="33"/>
      <c r="G4897" s="70"/>
      <c r="H4897" s="400"/>
      <c r="I4897" s="239"/>
    </row>
    <row r="4898" spans="6:9" x14ac:dyDescent="0.35">
      <c r="F4898" s="33"/>
      <c r="G4898" s="70"/>
      <c r="H4898" s="400"/>
      <c r="I4898" s="239"/>
    </row>
    <row r="4899" spans="6:9" x14ac:dyDescent="0.35">
      <c r="F4899" s="33"/>
      <c r="G4899" s="70"/>
      <c r="H4899" s="400"/>
      <c r="I4899" s="239"/>
    </row>
    <row r="4900" spans="6:9" x14ac:dyDescent="0.35">
      <c r="F4900" s="33"/>
      <c r="G4900" s="70"/>
      <c r="H4900" s="400"/>
      <c r="I4900" s="239"/>
    </row>
    <row r="4901" spans="6:9" x14ac:dyDescent="0.35">
      <c r="F4901" s="33"/>
      <c r="G4901" s="70"/>
      <c r="H4901" s="400"/>
      <c r="I4901" s="239"/>
    </row>
    <row r="4902" spans="6:9" x14ac:dyDescent="0.35">
      <c r="F4902" s="33"/>
      <c r="G4902" s="70"/>
      <c r="H4902" s="400"/>
      <c r="I4902" s="239"/>
    </row>
    <row r="4903" spans="6:9" x14ac:dyDescent="0.35">
      <c r="F4903" s="33"/>
      <c r="G4903" s="70"/>
      <c r="H4903" s="400"/>
      <c r="I4903" s="239"/>
    </row>
    <row r="4904" spans="6:9" x14ac:dyDescent="0.35">
      <c r="F4904" s="33"/>
      <c r="G4904" s="70"/>
      <c r="H4904" s="400"/>
      <c r="I4904" s="239"/>
    </row>
    <row r="4905" spans="6:9" x14ac:dyDescent="0.35">
      <c r="F4905" s="33"/>
      <c r="G4905" s="70"/>
      <c r="H4905" s="400"/>
      <c r="I4905" s="239"/>
    </row>
    <row r="4906" spans="6:9" x14ac:dyDescent="0.35">
      <c r="F4906" s="33"/>
      <c r="G4906" s="70"/>
      <c r="H4906" s="400"/>
      <c r="I4906" s="239"/>
    </row>
    <row r="4907" spans="6:9" x14ac:dyDescent="0.35">
      <c r="F4907" s="33"/>
      <c r="G4907" s="70"/>
      <c r="H4907" s="400"/>
      <c r="I4907" s="239"/>
    </row>
    <row r="4908" spans="6:9" x14ac:dyDescent="0.35">
      <c r="F4908" s="33"/>
      <c r="G4908" s="70"/>
      <c r="H4908" s="400"/>
      <c r="I4908" s="239"/>
    </row>
    <row r="4909" spans="6:9" x14ac:dyDescent="0.35">
      <c r="F4909" s="33"/>
      <c r="G4909" s="70"/>
      <c r="H4909" s="400"/>
      <c r="I4909" s="239"/>
    </row>
    <row r="4910" spans="6:9" x14ac:dyDescent="0.35">
      <c r="F4910" s="33"/>
      <c r="G4910" s="70"/>
      <c r="H4910" s="400"/>
      <c r="I4910" s="239"/>
    </row>
    <row r="4911" spans="6:9" x14ac:dyDescent="0.35">
      <c r="F4911" s="33"/>
      <c r="G4911" s="70"/>
      <c r="H4911" s="400"/>
      <c r="I4911" s="239"/>
    </row>
    <row r="4912" spans="6:9" x14ac:dyDescent="0.35">
      <c r="F4912" s="33"/>
      <c r="G4912" s="70"/>
      <c r="H4912" s="400"/>
      <c r="I4912" s="239"/>
    </row>
    <row r="4913" spans="6:9" x14ac:dyDescent="0.35">
      <c r="F4913" s="33"/>
      <c r="G4913" s="70"/>
      <c r="H4913" s="400"/>
      <c r="I4913" s="239"/>
    </row>
    <row r="4914" spans="6:9" x14ac:dyDescent="0.35">
      <c r="F4914" s="33"/>
      <c r="G4914" s="70"/>
      <c r="H4914" s="400"/>
      <c r="I4914" s="239"/>
    </row>
    <row r="4915" spans="6:9" x14ac:dyDescent="0.35">
      <c r="F4915" s="33"/>
      <c r="G4915" s="70"/>
      <c r="H4915" s="400"/>
      <c r="I4915" s="239"/>
    </row>
    <row r="4916" spans="6:9" x14ac:dyDescent="0.35">
      <c r="F4916" s="33"/>
      <c r="G4916" s="70"/>
      <c r="H4916" s="400"/>
      <c r="I4916" s="239"/>
    </row>
    <row r="4917" spans="6:9" x14ac:dyDescent="0.35">
      <c r="F4917" s="33"/>
      <c r="G4917" s="70"/>
      <c r="H4917" s="400"/>
      <c r="I4917" s="239"/>
    </row>
    <row r="4918" spans="6:9" x14ac:dyDescent="0.35">
      <c r="F4918" s="33"/>
      <c r="G4918" s="70"/>
      <c r="H4918" s="400"/>
      <c r="I4918" s="239"/>
    </row>
    <row r="4919" spans="6:9" x14ac:dyDescent="0.35">
      <c r="F4919" s="33"/>
      <c r="G4919" s="70"/>
      <c r="H4919" s="400"/>
      <c r="I4919" s="239"/>
    </row>
    <row r="4920" spans="6:9" x14ac:dyDescent="0.35">
      <c r="F4920" s="33"/>
      <c r="G4920" s="70"/>
      <c r="H4920" s="400"/>
      <c r="I4920" s="239"/>
    </row>
    <row r="4921" spans="6:9" x14ac:dyDescent="0.35">
      <c r="F4921" s="33"/>
      <c r="G4921" s="70"/>
      <c r="H4921" s="400"/>
      <c r="I4921" s="239"/>
    </row>
    <row r="4922" spans="6:9" x14ac:dyDescent="0.35">
      <c r="F4922" s="33"/>
      <c r="G4922" s="70"/>
      <c r="H4922" s="400"/>
      <c r="I4922" s="239"/>
    </row>
    <row r="4923" spans="6:9" x14ac:dyDescent="0.35">
      <c r="F4923" s="33"/>
      <c r="G4923" s="70"/>
      <c r="H4923" s="400"/>
      <c r="I4923" s="239"/>
    </row>
    <row r="4924" spans="6:9" x14ac:dyDescent="0.35">
      <c r="F4924" s="33"/>
      <c r="G4924" s="70"/>
      <c r="H4924" s="400"/>
      <c r="I4924" s="239"/>
    </row>
    <row r="4925" spans="6:9" x14ac:dyDescent="0.35">
      <c r="F4925" s="33"/>
      <c r="G4925" s="70"/>
      <c r="H4925" s="400"/>
      <c r="I4925" s="239"/>
    </row>
    <row r="4926" spans="6:9" x14ac:dyDescent="0.35">
      <c r="F4926" s="33"/>
      <c r="G4926" s="70"/>
      <c r="H4926" s="400"/>
      <c r="I4926" s="239"/>
    </row>
    <row r="4927" spans="6:9" x14ac:dyDescent="0.35">
      <c r="F4927" s="33"/>
      <c r="G4927" s="70"/>
      <c r="H4927" s="400"/>
      <c r="I4927" s="239"/>
    </row>
    <row r="4928" spans="6:9" x14ac:dyDescent="0.35">
      <c r="F4928" s="33"/>
      <c r="G4928" s="70"/>
      <c r="H4928" s="400"/>
      <c r="I4928" s="239"/>
    </row>
    <row r="4929" spans="6:9" x14ac:dyDescent="0.35">
      <c r="F4929" s="33"/>
      <c r="G4929" s="70"/>
      <c r="H4929" s="400"/>
      <c r="I4929" s="239"/>
    </row>
    <row r="4930" spans="6:9" x14ac:dyDescent="0.35">
      <c r="F4930" s="33"/>
      <c r="G4930" s="70"/>
      <c r="H4930" s="400"/>
      <c r="I4930" s="239"/>
    </row>
    <row r="4931" spans="6:9" x14ac:dyDescent="0.35">
      <c r="F4931" s="33"/>
      <c r="G4931" s="70"/>
      <c r="H4931" s="400"/>
      <c r="I4931" s="239"/>
    </row>
    <row r="4932" spans="6:9" x14ac:dyDescent="0.35">
      <c r="F4932" s="33"/>
      <c r="G4932" s="70"/>
      <c r="H4932" s="400"/>
      <c r="I4932" s="239"/>
    </row>
    <row r="4933" spans="6:9" x14ac:dyDescent="0.35">
      <c r="F4933" s="33"/>
      <c r="G4933" s="70"/>
      <c r="H4933" s="400"/>
      <c r="I4933" s="239"/>
    </row>
    <row r="4934" spans="6:9" x14ac:dyDescent="0.35">
      <c r="F4934" s="33"/>
      <c r="G4934" s="70"/>
      <c r="H4934" s="400"/>
      <c r="I4934" s="239"/>
    </row>
    <row r="4935" spans="6:9" x14ac:dyDescent="0.35">
      <c r="F4935" s="33"/>
      <c r="G4935" s="70"/>
      <c r="H4935" s="400"/>
      <c r="I4935" s="239"/>
    </row>
    <row r="4936" spans="6:9" x14ac:dyDescent="0.35">
      <c r="F4936" s="33"/>
      <c r="G4936" s="70"/>
      <c r="H4936" s="400"/>
      <c r="I4936" s="239"/>
    </row>
    <row r="4937" spans="6:9" x14ac:dyDescent="0.35">
      <c r="F4937" s="33"/>
      <c r="G4937" s="70"/>
      <c r="H4937" s="400"/>
      <c r="I4937" s="239"/>
    </row>
    <row r="4938" spans="6:9" x14ac:dyDescent="0.35">
      <c r="F4938" s="33"/>
      <c r="G4938" s="70"/>
      <c r="H4938" s="400"/>
      <c r="I4938" s="239"/>
    </row>
    <row r="4939" spans="6:9" x14ac:dyDescent="0.35">
      <c r="F4939" s="33"/>
      <c r="G4939" s="70"/>
      <c r="H4939" s="400"/>
      <c r="I4939" s="239"/>
    </row>
    <row r="4940" spans="6:9" x14ac:dyDescent="0.35">
      <c r="F4940" s="33"/>
      <c r="G4940" s="70"/>
      <c r="H4940" s="400"/>
      <c r="I4940" s="239"/>
    </row>
    <row r="4941" spans="6:9" x14ac:dyDescent="0.35">
      <c r="F4941" s="33"/>
      <c r="G4941" s="70"/>
      <c r="H4941" s="400"/>
      <c r="I4941" s="239"/>
    </row>
    <row r="4942" spans="6:9" x14ac:dyDescent="0.35">
      <c r="F4942" s="33"/>
      <c r="G4942" s="70"/>
      <c r="H4942" s="400"/>
      <c r="I4942" s="239"/>
    </row>
    <row r="4943" spans="6:9" x14ac:dyDescent="0.35">
      <c r="F4943" s="33"/>
      <c r="G4943" s="70"/>
      <c r="H4943" s="400"/>
      <c r="I4943" s="239"/>
    </row>
    <row r="4944" spans="6:9" x14ac:dyDescent="0.35">
      <c r="F4944" s="33"/>
      <c r="G4944" s="70"/>
      <c r="H4944" s="400"/>
      <c r="I4944" s="239"/>
    </row>
    <row r="4945" spans="6:9" x14ac:dyDescent="0.35">
      <c r="F4945" s="33"/>
      <c r="G4945" s="70"/>
      <c r="H4945" s="400"/>
      <c r="I4945" s="239"/>
    </row>
    <row r="4946" spans="6:9" x14ac:dyDescent="0.35">
      <c r="F4946" s="33"/>
      <c r="G4946" s="70"/>
      <c r="H4946" s="400"/>
      <c r="I4946" s="239"/>
    </row>
    <row r="4947" spans="6:9" x14ac:dyDescent="0.35">
      <c r="F4947" s="33"/>
      <c r="G4947" s="70"/>
      <c r="H4947" s="400"/>
      <c r="I4947" s="239"/>
    </row>
    <row r="4948" spans="6:9" x14ac:dyDescent="0.35">
      <c r="F4948" s="33"/>
      <c r="G4948" s="70"/>
      <c r="H4948" s="400"/>
      <c r="I4948" s="239"/>
    </row>
    <row r="4949" spans="6:9" x14ac:dyDescent="0.35">
      <c r="F4949" s="33"/>
      <c r="G4949" s="70"/>
      <c r="H4949" s="400"/>
      <c r="I4949" s="239"/>
    </row>
    <row r="4950" spans="6:9" x14ac:dyDescent="0.35">
      <c r="F4950" s="33"/>
      <c r="G4950" s="70"/>
      <c r="H4950" s="400"/>
      <c r="I4950" s="239"/>
    </row>
    <row r="4951" spans="6:9" x14ac:dyDescent="0.35">
      <c r="F4951" s="33"/>
      <c r="G4951" s="70"/>
      <c r="H4951" s="400"/>
      <c r="I4951" s="239"/>
    </row>
    <row r="4952" spans="6:9" x14ac:dyDescent="0.35">
      <c r="F4952" s="33"/>
      <c r="G4952" s="70"/>
      <c r="H4952" s="400"/>
      <c r="I4952" s="239"/>
    </row>
    <row r="4953" spans="6:9" x14ac:dyDescent="0.35">
      <c r="F4953" s="33"/>
      <c r="G4953" s="70"/>
      <c r="H4953" s="400"/>
      <c r="I4953" s="239"/>
    </row>
    <row r="4954" spans="6:9" x14ac:dyDescent="0.35">
      <c r="F4954" s="33"/>
      <c r="G4954" s="70"/>
      <c r="H4954" s="400"/>
      <c r="I4954" s="239"/>
    </row>
    <row r="4955" spans="6:9" x14ac:dyDescent="0.35">
      <c r="F4955" s="33"/>
      <c r="G4955" s="70"/>
      <c r="H4955" s="400"/>
      <c r="I4955" s="239"/>
    </row>
    <row r="4956" spans="6:9" x14ac:dyDescent="0.35">
      <c r="F4956" s="33"/>
      <c r="G4956" s="70"/>
      <c r="H4956" s="400"/>
      <c r="I4956" s="239"/>
    </row>
    <row r="4957" spans="6:9" x14ac:dyDescent="0.35">
      <c r="F4957" s="33"/>
      <c r="G4957" s="70"/>
      <c r="H4957" s="400"/>
      <c r="I4957" s="239"/>
    </row>
    <row r="4958" spans="6:9" x14ac:dyDescent="0.35">
      <c r="F4958" s="33"/>
      <c r="G4958" s="70"/>
      <c r="H4958" s="400"/>
      <c r="I4958" s="239"/>
    </row>
    <row r="4959" spans="6:9" x14ac:dyDescent="0.35">
      <c r="F4959" s="33"/>
      <c r="G4959" s="70"/>
      <c r="H4959" s="400"/>
      <c r="I4959" s="239"/>
    </row>
    <row r="4960" spans="6:9" x14ac:dyDescent="0.35">
      <c r="F4960" s="33"/>
      <c r="G4960" s="70"/>
      <c r="H4960" s="400"/>
      <c r="I4960" s="239"/>
    </row>
    <row r="4961" spans="6:9" x14ac:dyDescent="0.35">
      <c r="F4961" s="33"/>
      <c r="G4961" s="70"/>
      <c r="H4961" s="400"/>
      <c r="I4961" s="239"/>
    </row>
    <row r="4962" spans="6:9" x14ac:dyDescent="0.35">
      <c r="F4962" s="33"/>
      <c r="G4962" s="70"/>
      <c r="H4962" s="400"/>
      <c r="I4962" s="239"/>
    </row>
    <row r="4963" spans="6:9" x14ac:dyDescent="0.35">
      <c r="F4963" s="33"/>
      <c r="G4963" s="70"/>
      <c r="H4963" s="400"/>
      <c r="I4963" s="239"/>
    </row>
    <row r="4964" spans="6:9" x14ac:dyDescent="0.35">
      <c r="F4964" s="33"/>
      <c r="G4964" s="70"/>
      <c r="H4964" s="400"/>
      <c r="I4964" s="239"/>
    </row>
    <row r="4965" spans="6:9" x14ac:dyDescent="0.35">
      <c r="F4965" s="33"/>
      <c r="G4965" s="70"/>
      <c r="H4965" s="400"/>
      <c r="I4965" s="239"/>
    </row>
    <row r="4966" spans="6:9" x14ac:dyDescent="0.35">
      <c r="F4966" s="33"/>
      <c r="G4966" s="70"/>
      <c r="H4966" s="400"/>
      <c r="I4966" s="239"/>
    </row>
    <row r="4967" spans="6:9" x14ac:dyDescent="0.35">
      <c r="F4967" s="33"/>
      <c r="G4967" s="70"/>
      <c r="H4967" s="400"/>
      <c r="I4967" s="239"/>
    </row>
    <row r="4968" spans="6:9" x14ac:dyDescent="0.35">
      <c r="F4968" s="33"/>
      <c r="G4968" s="70"/>
      <c r="H4968" s="400"/>
      <c r="I4968" s="239"/>
    </row>
    <row r="4969" spans="6:9" x14ac:dyDescent="0.35">
      <c r="F4969" s="33"/>
      <c r="G4969" s="70"/>
      <c r="H4969" s="400"/>
      <c r="I4969" s="239"/>
    </row>
    <row r="4970" spans="6:9" x14ac:dyDescent="0.35">
      <c r="F4970" s="33"/>
      <c r="G4970" s="70"/>
      <c r="H4970" s="400"/>
      <c r="I4970" s="239"/>
    </row>
    <row r="4971" spans="6:9" x14ac:dyDescent="0.35">
      <c r="F4971" s="33"/>
      <c r="G4971" s="70"/>
      <c r="H4971" s="400"/>
      <c r="I4971" s="239"/>
    </row>
    <row r="4972" spans="6:9" x14ac:dyDescent="0.35">
      <c r="F4972" s="33"/>
      <c r="G4972" s="70"/>
      <c r="H4972" s="400"/>
      <c r="I4972" s="239"/>
    </row>
    <row r="4973" spans="6:9" x14ac:dyDescent="0.35">
      <c r="F4973" s="33"/>
      <c r="G4973" s="70"/>
      <c r="H4973" s="400"/>
      <c r="I4973" s="239"/>
    </row>
    <row r="4974" spans="6:9" x14ac:dyDescent="0.35">
      <c r="F4974" s="33"/>
      <c r="G4974" s="70"/>
      <c r="H4974" s="400"/>
      <c r="I4974" s="239"/>
    </row>
    <row r="4975" spans="6:9" x14ac:dyDescent="0.35">
      <c r="F4975" s="33"/>
      <c r="G4975" s="70"/>
      <c r="H4975" s="400"/>
      <c r="I4975" s="239"/>
    </row>
    <row r="4976" spans="6:9" x14ac:dyDescent="0.35">
      <c r="F4976" s="33"/>
      <c r="G4976" s="70"/>
      <c r="H4976" s="400"/>
      <c r="I4976" s="239"/>
    </row>
    <row r="4977" spans="6:9" x14ac:dyDescent="0.35">
      <c r="F4977" s="33"/>
      <c r="G4977" s="70"/>
      <c r="H4977" s="400"/>
      <c r="I4977" s="239"/>
    </row>
    <row r="4978" spans="6:9" x14ac:dyDescent="0.35">
      <c r="F4978" s="33"/>
      <c r="G4978" s="70"/>
      <c r="H4978" s="400"/>
      <c r="I4978" s="239"/>
    </row>
    <row r="4979" spans="6:9" x14ac:dyDescent="0.35">
      <c r="F4979" s="33"/>
      <c r="G4979" s="70"/>
      <c r="H4979" s="400"/>
      <c r="I4979" s="239"/>
    </row>
    <row r="4980" spans="6:9" x14ac:dyDescent="0.35">
      <c r="F4980" s="33"/>
      <c r="G4980" s="70"/>
      <c r="H4980" s="400"/>
      <c r="I4980" s="239"/>
    </row>
    <row r="4981" spans="6:9" x14ac:dyDescent="0.35">
      <c r="F4981" s="33"/>
      <c r="G4981" s="70"/>
      <c r="H4981" s="400"/>
      <c r="I4981" s="239"/>
    </row>
    <row r="4982" spans="6:9" x14ac:dyDescent="0.35">
      <c r="F4982" s="33"/>
      <c r="G4982" s="70"/>
      <c r="H4982" s="400"/>
      <c r="I4982" s="239"/>
    </row>
    <row r="4983" spans="6:9" x14ac:dyDescent="0.35">
      <c r="F4983" s="33"/>
      <c r="G4983" s="70"/>
      <c r="H4983" s="400"/>
      <c r="I4983" s="239"/>
    </row>
    <row r="4984" spans="6:9" x14ac:dyDescent="0.35">
      <c r="F4984" s="33"/>
      <c r="G4984" s="70"/>
      <c r="H4984" s="400"/>
      <c r="I4984" s="239"/>
    </row>
    <row r="4985" spans="6:9" x14ac:dyDescent="0.35">
      <c r="F4985" s="33"/>
      <c r="G4985" s="70"/>
      <c r="H4985" s="400"/>
      <c r="I4985" s="239"/>
    </row>
    <row r="4986" spans="6:9" x14ac:dyDescent="0.35">
      <c r="F4986" s="33"/>
      <c r="G4986" s="70"/>
      <c r="H4986" s="400"/>
      <c r="I4986" s="239"/>
    </row>
    <row r="4987" spans="6:9" x14ac:dyDescent="0.35">
      <c r="F4987" s="33"/>
      <c r="G4987" s="70"/>
      <c r="H4987" s="400"/>
      <c r="I4987" s="239"/>
    </row>
    <row r="4988" spans="6:9" x14ac:dyDescent="0.35">
      <c r="F4988" s="33"/>
      <c r="G4988" s="70"/>
      <c r="H4988" s="400"/>
      <c r="I4988" s="239"/>
    </row>
    <row r="4989" spans="6:9" x14ac:dyDescent="0.35">
      <c r="F4989" s="33"/>
      <c r="G4989" s="70"/>
      <c r="H4989" s="400"/>
      <c r="I4989" s="239"/>
    </row>
    <row r="4990" spans="6:9" x14ac:dyDescent="0.35">
      <c r="F4990" s="33"/>
      <c r="G4990" s="70"/>
      <c r="H4990" s="400"/>
      <c r="I4990" s="239"/>
    </row>
    <row r="4991" spans="6:9" x14ac:dyDescent="0.35">
      <c r="F4991" s="33"/>
      <c r="G4991" s="70"/>
      <c r="H4991" s="400"/>
      <c r="I4991" s="239"/>
    </row>
    <row r="4992" spans="6:9" x14ac:dyDescent="0.35">
      <c r="F4992" s="33"/>
      <c r="G4992" s="70"/>
      <c r="H4992" s="400"/>
      <c r="I4992" s="239"/>
    </row>
    <row r="4993" spans="6:9" x14ac:dyDescent="0.35">
      <c r="F4993" s="33"/>
      <c r="G4993" s="70"/>
      <c r="H4993" s="400"/>
      <c r="I4993" s="239"/>
    </row>
    <row r="4994" spans="6:9" x14ac:dyDescent="0.35">
      <c r="F4994" s="33"/>
      <c r="G4994" s="70"/>
      <c r="H4994" s="400"/>
      <c r="I4994" s="239"/>
    </row>
    <row r="4995" spans="6:9" x14ac:dyDescent="0.35">
      <c r="F4995" s="33"/>
      <c r="G4995" s="70"/>
      <c r="H4995" s="400"/>
      <c r="I4995" s="239"/>
    </row>
    <row r="4996" spans="6:9" x14ac:dyDescent="0.35">
      <c r="F4996" s="33"/>
      <c r="G4996" s="70"/>
      <c r="H4996" s="400"/>
      <c r="I4996" s="239"/>
    </row>
    <row r="4997" spans="6:9" x14ac:dyDescent="0.35">
      <c r="F4997" s="33"/>
      <c r="G4997" s="70"/>
      <c r="H4997" s="400"/>
      <c r="I4997" s="239"/>
    </row>
    <row r="4998" spans="6:9" x14ac:dyDescent="0.35">
      <c r="F4998" s="33"/>
      <c r="G4998" s="70"/>
      <c r="H4998" s="400"/>
      <c r="I4998" s="239"/>
    </row>
    <row r="4999" spans="6:9" x14ac:dyDescent="0.35">
      <c r="F4999" s="33"/>
      <c r="G4999" s="70"/>
      <c r="H4999" s="400"/>
      <c r="I4999" s="239"/>
    </row>
    <row r="5000" spans="6:9" x14ac:dyDescent="0.35">
      <c r="F5000" s="33"/>
      <c r="G5000" s="70"/>
      <c r="H5000" s="400"/>
      <c r="I5000" s="239"/>
    </row>
    <row r="5001" spans="6:9" x14ac:dyDescent="0.35">
      <c r="F5001" s="33"/>
      <c r="G5001" s="70"/>
      <c r="H5001" s="400"/>
      <c r="I5001" s="239"/>
    </row>
    <row r="5002" spans="6:9" x14ac:dyDescent="0.35">
      <c r="F5002" s="33"/>
      <c r="G5002" s="70"/>
      <c r="H5002" s="400"/>
      <c r="I5002" s="239"/>
    </row>
    <row r="5003" spans="6:9" x14ac:dyDescent="0.35">
      <c r="F5003" s="33"/>
      <c r="G5003" s="70"/>
      <c r="H5003" s="400"/>
      <c r="I5003" s="239"/>
    </row>
    <row r="5004" spans="6:9" x14ac:dyDescent="0.35">
      <c r="F5004" s="33"/>
      <c r="G5004" s="70"/>
      <c r="H5004" s="400"/>
      <c r="I5004" s="239"/>
    </row>
    <row r="5005" spans="6:9" x14ac:dyDescent="0.35">
      <c r="F5005" s="33"/>
      <c r="G5005" s="70"/>
      <c r="H5005" s="400"/>
      <c r="I5005" s="239"/>
    </row>
    <row r="5006" spans="6:9" x14ac:dyDescent="0.35">
      <c r="F5006" s="33"/>
      <c r="G5006" s="70"/>
      <c r="H5006" s="400"/>
      <c r="I5006" s="239"/>
    </row>
    <row r="5007" spans="6:9" x14ac:dyDescent="0.35">
      <c r="F5007" s="33"/>
      <c r="G5007" s="70"/>
      <c r="H5007" s="400"/>
      <c r="I5007" s="239"/>
    </row>
    <row r="5008" spans="6:9" x14ac:dyDescent="0.35">
      <c r="F5008" s="33"/>
      <c r="G5008" s="70"/>
      <c r="H5008" s="400"/>
      <c r="I5008" s="239"/>
    </row>
    <row r="5009" spans="6:9" x14ac:dyDescent="0.35">
      <c r="F5009" s="33"/>
      <c r="G5009" s="70"/>
      <c r="H5009" s="400"/>
      <c r="I5009" s="239"/>
    </row>
    <row r="5010" spans="6:9" x14ac:dyDescent="0.35">
      <c r="F5010" s="33"/>
      <c r="G5010" s="70"/>
      <c r="H5010" s="400"/>
      <c r="I5010" s="239"/>
    </row>
    <row r="5011" spans="6:9" x14ac:dyDescent="0.35">
      <c r="F5011" s="33"/>
      <c r="G5011" s="70"/>
      <c r="H5011" s="400"/>
      <c r="I5011" s="239"/>
    </row>
    <row r="5012" spans="6:9" x14ac:dyDescent="0.35">
      <c r="F5012" s="33"/>
      <c r="G5012" s="70"/>
      <c r="H5012" s="400"/>
      <c r="I5012" s="239"/>
    </row>
    <row r="5013" spans="6:9" x14ac:dyDescent="0.35">
      <c r="F5013" s="33"/>
      <c r="G5013" s="70"/>
      <c r="H5013" s="400"/>
      <c r="I5013" s="239"/>
    </row>
    <row r="5014" spans="6:9" x14ac:dyDescent="0.35">
      <c r="F5014" s="33"/>
      <c r="G5014" s="70"/>
      <c r="H5014" s="400"/>
      <c r="I5014" s="239"/>
    </row>
    <row r="5015" spans="6:9" x14ac:dyDescent="0.35">
      <c r="F5015" s="33"/>
      <c r="G5015" s="70"/>
      <c r="H5015" s="400"/>
      <c r="I5015" s="239"/>
    </row>
    <row r="5016" spans="6:9" x14ac:dyDescent="0.35">
      <c r="F5016" s="33"/>
      <c r="G5016" s="70"/>
      <c r="H5016" s="400"/>
      <c r="I5016" s="239"/>
    </row>
    <row r="5017" spans="6:9" x14ac:dyDescent="0.35">
      <c r="F5017" s="33"/>
      <c r="G5017" s="70"/>
      <c r="H5017" s="400"/>
      <c r="I5017" s="239"/>
    </row>
    <row r="5018" spans="6:9" x14ac:dyDescent="0.35">
      <c r="F5018" s="33"/>
      <c r="G5018" s="70"/>
      <c r="H5018" s="400"/>
      <c r="I5018" s="239"/>
    </row>
    <row r="5019" spans="6:9" x14ac:dyDescent="0.35">
      <c r="F5019" s="33"/>
      <c r="G5019" s="70"/>
      <c r="H5019" s="400"/>
      <c r="I5019" s="239"/>
    </row>
    <row r="5020" spans="6:9" x14ac:dyDescent="0.35">
      <c r="F5020" s="33"/>
      <c r="G5020" s="70"/>
      <c r="H5020" s="400"/>
      <c r="I5020" s="239"/>
    </row>
    <row r="5021" spans="6:9" x14ac:dyDescent="0.35">
      <c r="F5021" s="33"/>
      <c r="G5021" s="70"/>
      <c r="H5021" s="400"/>
      <c r="I5021" s="239"/>
    </row>
    <row r="5022" spans="6:9" x14ac:dyDescent="0.35">
      <c r="F5022" s="33"/>
      <c r="G5022" s="70"/>
      <c r="H5022" s="400"/>
      <c r="I5022" s="239"/>
    </row>
    <row r="5023" spans="6:9" x14ac:dyDescent="0.35">
      <c r="F5023" s="33"/>
      <c r="G5023" s="70"/>
      <c r="H5023" s="400"/>
      <c r="I5023" s="239"/>
    </row>
    <row r="5024" spans="6:9" x14ac:dyDescent="0.35">
      <c r="F5024" s="33"/>
      <c r="G5024" s="70"/>
      <c r="H5024" s="400"/>
      <c r="I5024" s="239"/>
    </row>
    <row r="5025" spans="6:9" x14ac:dyDescent="0.35">
      <c r="F5025" s="33"/>
      <c r="G5025" s="70"/>
      <c r="H5025" s="400"/>
      <c r="I5025" s="239"/>
    </row>
    <row r="5026" spans="6:9" x14ac:dyDescent="0.35">
      <c r="F5026" s="33"/>
      <c r="G5026" s="70"/>
      <c r="H5026" s="400"/>
      <c r="I5026" s="239"/>
    </row>
    <row r="5027" spans="6:9" x14ac:dyDescent="0.35">
      <c r="F5027" s="33"/>
      <c r="G5027" s="70"/>
      <c r="H5027" s="400"/>
      <c r="I5027" s="239"/>
    </row>
    <row r="5028" spans="6:9" x14ac:dyDescent="0.35">
      <c r="F5028" s="33"/>
      <c r="G5028" s="70"/>
      <c r="H5028" s="400"/>
      <c r="I5028" s="239"/>
    </row>
    <row r="5029" spans="6:9" x14ac:dyDescent="0.35">
      <c r="F5029" s="33"/>
      <c r="G5029" s="70"/>
      <c r="H5029" s="400"/>
      <c r="I5029" s="239"/>
    </row>
    <row r="5030" spans="6:9" x14ac:dyDescent="0.35">
      <c r="F5030" s="33"/>
      <c r="G5030" s="70"/>
      <c r="H5030" s="400"/>
      <c r="I5030" s="239"/>
    </row>
    <row r="5031" spans="6:9" x14ac:dyDescent="0.35">
      <c r="F5031" s="33"/>
      <c r="G5031" s="70"/>
      <c r="H5031" s="400"/>
      <c r="I5031" s="239"/>
    </row>
    <row r="5032" spans="6:9" x14ac:dyDescent="0.35">
      <c r="F5032" s="33"/>
      <c r="G5032" s="70"/>
      <c r="H5032" s="400"/>
      <c r="I5032" s="239"/>
    </row>
    <row r="5033" spans="6:9" x14ac:dyDescent="0.35">
      <c r="F5033" s="33"/>
      <c r="G5033" s="70"/>
      <c r="H5033" s="400"/>
      <c r="I5033" s="239"/>
    </row>
    <row r="5034" spans="6:9" x14ac:dyDescent="0.35">
      <c r="F5034" s="33"/>
      <c r="G5034" s="70"/>
      <c r="H5034" s="400"/>
      <c r="I5034" s="239"/>
    </row>
    <row r="5035" spans="6:9" x14ac:dyDescent="0.35">
      <c r="F5035" s="33"/>
      <c r="G5035" s="70"/>
      <c r="H5035" s="400"/>
      <c r="I5035" s="239"/>
    </row>
    <row r="5036" spans="6:9" x14ac:dyDescent="0.35">
      <c r="F5036" s="33"/>
      <c r="G5036" s="70"/>
      <c r="H5036" s="400"/>
      <c r="I5036" s="239"/>
    </row>
    <row r="5037" spans="6:9" x14ac:dyDescent="0.35">
      <c r="F5037" s="33"/>
      <c r="G5037" s="70"/>
      <c r="H5037" s="400"/>
      <c r="I5037" s="239"/>
    </row>
    <row r="5038" spans="6:9" x14ac:dyDescent="0.35">
      <c r="F5038" s="33"/>
      <c r="G5038" s="70"/>
      <c r="H5038" s="400"/>
      <c r="I5038" s="239"/>
    </row>
    <row r="5039" spans="6:9" x14ac:dyDescent="0.35">
      <c r="F5039" s="33"/>
      <c r="G5039" s="70"/>
      <c r="H5039" s="400"/>
      <c r="I5039" s="239"/>
    </row>
    <row r="5040" spans="6:9" x14ac:dyDescent="0.35">
      <c r="F5040" s="33"/>
      <c r="G5040" s="70"/>
      <c r="H5040" s="400"/>
      <c r="I5040" s="239"/>
    </row>
    <row r="5041" spans="6:9" x14ac:dyDescent="0.35">
      <c r="F5041" s="33"/>
      <c r="G5041" s="70"/>
      <c r="H5041" s="400"/>
      <c r="I5041" s="239"/>
    </row>
    <row r="5042" spans="6:9" x14ac:dyDescent="0.35">
      <c r="F5042" s="33"/>
      <c r="G5042" s="70"/>
      <c r="H5042" s="400"/>
      <c r="I5042" s="239"/>
    </row>
    <row r="5043" spans="6:9" x14ac:dyDescent="0.35">
      <c r="F5043" s="33"/>
      <c r="G5043" s="70"/>
      <c r="H5043" s="400"/>
      <c r="I5043" s="239"/>
    </row>
    <row r="5044" spans="6:9" x14ac:dyDescent="0.35">
      <c r="F5044" s="33"/>
      <c r="G5044" s="70"/>
      <c r="H5044" s="400"/>
      <c r="I5044" s="239"/>
    </row>
    <row r="5045" spans="6:9" x14ac:dyDescent="0.35">
      <c r="F5045" s="33"/>
      <c r="G5045" s="70"/>
      <c r="H5045" s="400"/>
      <c r="I5045" s="239"/>
    </row>
    <row r="5046" spans="6:9" x14ac:dyDescent="0.35">
      <c r="F5046" s="33"/>
      <c r="G5046" s="70"/>
      <c r="H5046" s="400"/>
      <c r="I5046" s="239"/>
    </row>
    <row r="5047" spans="6:9" x14ac:dyDescent="0.35">
      <c r="F5047" s="33"/>
      <c r="G5047" s="70"/>
      <c r="H5047" s="400"/>
      <c r="I5047" s="239"/>
    </row>
    <row r="5048" spans="6:9" x14ac:dyDescent="0.35">
      <c r="F5048" s="33"/>
      <c r="G5048" s="70"/>
      <c r="H5048" s="400"/>
      <c r="I5048" s="239"/>
    </row>
    <row r="5049" spans="6:9" x14ac:dyDescent="0.35">
      <c r="F5049" s="33"/>
      <c r="G5049" s="70"/>
      <c r="H5049" s="400"/>
      <c r="I5049" s="239"/>
    </row>
    <row r="5050" spans="6:9" x14ac:dyDescent="0.35">
      <c r="F5050" s="33"/>
      <c r="G5050" s="70"/>
      <c r="H5050" s="400"/>
      <c r="I5050" s="239"/>
    </row>
    <row r="5051" spans="6:9" x14ac:dyDescent="0.35">
      <c r="F5051" s="33"/>
      <c r="G5051" s="70"/>
      <c r="H5051" s="400"/>
      <c r="I5051" s="239"/>
    </row>
    <row r="5052" spans="6:9" x14ac:dyDescent="0.35">
      <c r="F5052" s="33"/>
      <c r="G5052" s="70"/>
      <c r="H5052" s="400"/>
      <c r="I5052" s="239"/>
    </row>
    <row r="5053" spans="6:9" x14ac:dyDescent="0.35">
      <c r="F5053" s="33"/>
      <c r="G5053" s="70"/>
      <c r="H5053" s="400"/>
      <c r="I5053" s="239"/>
    </row>
    <row r="5054" spans="6:9" x14ac:dyDescent="0.35">
      <c r="F5054" s="33"/>
      <c r="G5054" s="70"/>
      <c r="H5054" s="400"/>
      <c r="I5054" s="239"/>
    </row>
    <row r="5055" spans="6:9" x14ac:dyDescent="0.35">
      <c r="F5055" s="33"/>
      <c r="G5055" s="70"/>
      <c r="H5055" s="400"/>
      <c r="I5055" s="239"/>
    </row>
    <row r="5056" spans="6:9" x14ac:dyDescent="0.35">
      <c r="F5056" s="33"/>
      <c r="G5056" s="70"/>
      <c r="H5056" s="400"/>
      <c r="I5056" s="239"/>
    </row>
    <row r="5057" spans="6:9" x14ac:dyDescent="0.35">
      <c r="F5057" s="33"/>
      <c r="G5057" s="70"/>
      <c r="H5057" s="400"/>
      <c r="I5057" s="239"/>
    </row>
    <row r="5058" spans="6:9" x14ac:dyDescent="0.35">
      <c r="F5058" s="33"/>
      <c r="G5058" s="70"/>
      <c r="H5058" s="400"/>
      <c r="I5058" s="239"/>
    </row>
    <row r="5059" spans="6:9" x14ac:dyDescent="0.35">
      <c r="F5059" s="33"/>
      <c r="G5059" s="70"/>
      <c r="H5059" s="400"/>
      <c r="I5059" s="239"/>
    </row>
    <row r="5060" spans="6:9" x14ac:dyDescent="0.35">
      <c r="F5060" s="33"/>
      <c r="G5060" s="70"/>
      <c r="H5060" s="400"/>
      <c r="I5060" s="239"/>
    </row>
    <row r="5061" spans="6:9" x14ac:dyDescent="0.35">
      <c r="F5061" s="33"/>
      <c r="G5061" s="70"/>
      <c r="H5061" s="400"/>
      <c r="I5061" s="239"/>
    </row>
    <row r="5062" spans="6:9" x14ac:dyDescent="0.35">
      <c r="F5062" s="33"/>
      <c r="G5062" s="70"/>
      <c r="H5062" s="400"/>
      <c r="I5062" s="239"/>
    </row>
    <row r="5063" spans="6:9" x14ac:dyDescent="0.35">
      <c r="F5063" s="33"/>
      <c r="G5063" s="70"/>
      <c r="H5063" s="400"/>
      <c r="I5063" s="239"/>
    </row>
    <row r="5064" spans="6:9" x14ac:dyDescent="0.35">
      <c r="F5064" s="33"/>
      <c r="G5064" s="70"/>
      <c r="H5064" s="400"/>
      <c r="I5064" s="239"/>
    </row>
    <row r="5065" spans="6:9" x14ac:dyDescent="0.35">
      <c r="F5065" s="33"/>
      <c r="G5065" s="70"/>
      <c r="H5065" s="400"/>
      <c r="I5065" s="239"/>
    </row>
    <row r="5066" spans="6:9" x14ac:dyDescent="0.35">
      <c r="F5066" s="33"/>
      <c r="G5066" s="70"/>
      <c r="H5066" s="400"/>
      <c r="I5066" s="239"/>
    </row>
    <row r="5067" spans="6:9" x14ac:dyDescent="0.35">
      <c r="F5067" s="33"/>
      <c r="G5067" s="70"/>
      <c r="H5067" s="400"/>
      <c r="I5067" s="239"/>
    </row>
    <row r="5068" spans="6:9" x14ac:dyDescent="0.35">
      <c r="F5068" s="33"/>
      <c r="G5068" s="70"/>
      <c r="H5068" s="400"/>
      <c r="I5068" s="239"/>
    </row>
    <row r="5069" spans="6:9" x14ac:dyDescent="0.35">
      <c r="F5069" s="33"/>
      <c r="G5069" s="70"/>
      <c r="H5069" s="400"/>
      <c r="I5069" s="239"/>
    </row>
    <row r="5070" spans="6:9" x14ac:dyDescent="0.35">
      <c r="F5070" s="33"/>
      <c r="G5070" s="70"/>
      <c r="H5070" s="400"/>
      <c r="I5070" s="239"/>
    </row>
    <row r="5071" spans="6:9" x14ac:dyDescent="0.35">
      <c r="F5071" s="33"/>
      <c r="G5071" s="70"/>
      <c r="H5071" s="400"/>
      <c r="I5071" s="239"/>
    </row>
    <row r="5072" spans="6:9" x14ac:dyDescent="0.35">
      <c r="F5072" s="33"/>
      <c r="G5072" s="70"/>
      <c r="H5072" s="400"/>
      <c r="I5072" s="239"/>
    </row>
    <row r="5073" spans="6:9" x14ac:dyDescent="0.35">
      <c r="F5073" s="33"/>
      <c r="G5073" s="70"/>
      <c r="H5073" s="400"/>
      <c r="I5073" s="239"/>
    </row>
    <row r="5074" spans="6:9" x14ac:dyDescent="0.35">
      <c r="F5074" s="33"/>
      <c r="G5074" s="70"/>
      <c r="H5074" s="400"/>
      <c r="I5074" s="239"/>
    </row>
    <row r="5075" spans="6:9" x14ac:dyDescent="0.35">
      <c r="F5075" s="33"/>
      <c r="G5075" s="70"/>
      <c r="H5075" s="400"/>
      <c r="I5075" s="239"/>
    </row>
    <row r="5076" spans="6:9" x14ac:dyDescent="0.35">
      <c r="F5076" s="33"/>
      <c r="G5076" s="70"/>
      <c r="H5076" s="400"/>
      <c r="I5076" s="239"/>
    </row>
    <row r="5077" spans="6:9" x14ac:dyDescent="0.35">
      <c r="F5077" s="33"/>
      <c r="G5077" s="70"/>
      <c r="H5077" s="400"/>
      <c r="I5077" s="239"/>
    </row>
    <row r="5078" spans="6:9" x14ac:dyDescent="0.35">
      <c r="F5078" s="33"/>
      <c r="G5078" s="70"/>
      <c r="H5078" s="400"/>
      <c r="I5078" s="239"/>
    </row>
    <row r="5079" spans="6:9" x14ac:dyDescent="0.35">
      <c r="F5079" s="33"/>
      <c r="G5079" s="70"/>
      <c r="H5079" s="400"/>
      <c r="I5079" s="239"/>
    </row>
    <row r="5080" spans="6:9" x14ac:dyDescent="0.35">
      <c r="F5080" s="33"/>
      <c r="G5080" s="70"/>
      <c r="H5080" s="400"/>
      <c r="I5080" s="239"/>
    </row>
    <row r="5081" spans="6:9" x14ac:dyDescent="0.35">
      <c r="F5081" s="33"/>
      <c r="G5081" s="70"/>
      <c r="H5081" s="400"/>
      <c r="I5081" s="239"/>
    </row>
    <row r="5082" spans="6:9" x14ac:dyDescent="0.35">
      <c r="F5082" s="33"/>
      <c r="G5082" s="70"/>
      <c r="H5082" s="400"/>
      <c r="I5082" s="239"/>
    </row>
    <row r="5083" spans="6:9" x14ac:dyDescent="0.35">
      <c r="F5083" s="33"/>
      <c r="G5083" s="70"/>
      <c r="H5083" s="400"/>
      <c r="I5083" s="239"/>
    </row>
    <row r="5084" spans="6:9" x14ac:dyDescent="0.35">
      <c r="F5084" s="33"/>
      <c r="G5084" s="70"/>
      <c r="H5084" s="400"/>
      <c r="I5084" s="239"/>
    </row>
    <row r="5085" spans="6:9" x14ac:dyDescent="0.35">
      <c r="F5085" s="33"/>
      <c r="G5085" s="70"/>
      <c r="H5085" s="400"/>
      <c r="I5085" s="239"/>
    </row>
    <row r="5086" spans="6:9" x14ac:dyDescent="0.35">
      <c r="F5086" s="33"/>
      <c r="G5086" s="70"/>
      <c r="H5086" s="400"/>
      <c r="I5086" s="239"/>
    </row>
    <row r="5087" spans="6:9" x14ac:dyDescent="0.35">
      <c r="F5087" s="33"/>
      <c r="G5087" s="70"/>
      <c r="H5087" s="400"/>
      <c r="I5087" s="239"/>
    </row>
    <row r="5088" spans="6:9" x14ac:dyDescent="0.35">
      <c r="F5088" s="33"/>
      <c r="G5088" s="70"/>
      <c r="H5088" s="400"/>
      <c r="I5088" s="239"/>
    </row>
    <row r="5089" spans="6:9" x14ac:dyDescent="0.35">
      <c r="F5089" s="33"/>
      <c r="G5089" s="70"/>
      <c r="H5089" s="400"/>
      <c r="I5089" s="239"/>
    </row>
    <row r="5090" spans="6:9" x14ac:dyDescent="0.35">
      <c r="F5090" s="33"/>
      <c r="G5090" s="70"/>
      <c r="H5090" s="400"/>
      <c r="I5090" s="239"/>
    </row>
    <row r="5091" spans="6:9" x14ac:dyDescent="0.35">
      <c r="F5091" s="33"/>
      <c r="G5091" s="70"/>
      <c r="H5091" s="400"/>
      <c r="I5091" s="239"/>
    </row>
    <row r="5092" spans="6:9" x14ac:dyDescent="0.35">
      <c r="F5092" s="33"/>
      <c r="G5092" s="70"/>
      <c r="H5092" s="400"/>
      <c r="I5092" s="239"/>
    </row>
    <row r="5093" spans="6:9" x14ac:dyDescent="0.35">
      <c r="F5093" s="33"/>
      <c r="G5093" s="70"/>
      <c r="H5093" s="400"/>
      <c r="I5093" s="239"/>
    </row>
    <row r="5094" spans="6:9" x14ac:dyDescent="0.35">
      <c r="F5094" s="33"/>
      <c r="G5094" s="70"/>
      <c r="H5094" s="400"/>
      <c r="I5094" s="239"/>
    </row>
    <row r="5095" spans="6:9" x14ac:dyDescent="0.35">
      <c r="F5095" s="33"/>
      <c r="G5095" s="70"/>
      <c r="H5095" s="400"/>
      <c r="I5095" s="239"/>
    </row>
    <row r="5096" spans="6:9" x14ac:dyDescent="0.35">
      <c r="F5096" s="33"/>
      <c r="G5096" s="70"/>
      <c r="H5096" s="400"/>
      <c r="I5096" s="239"/>
    </row>
    <row r="5097" spans="6:9" x14ac:dyDescent="0.35">
      <c r="F5097" s="33"/>
      <c r="G5097" s="70"/>
      <c r="H5097" s="400"/>
      <c r="I5097" s="239"/>
    </row>
    <row r="5098" spans="6:9" x14ac:dyDescent="0.35">
      <c r="F5098" s="33"/>
      <c r="G5098" s="70"/>
      <c r="H5098" s="400"/>
      <c r="I5098" s="239"/>
    </row>
    <row r="5099" spans="6:9" x14ac:dyDescent="0.35">
      <c r="F5099" s="33"/>
      <c r="G5099" s="70"/>
      <c r="H5099" s="400"/>
      <c r="I5099" s="239"/>
    </row>
    <row r="5100" spans="6:9" x14ac:dyDescent="0.35">
      <c r="F5100" s="33"/>
      <c r="G5100" s="70"/>
      <c r="H5100" s="400"/>
      <c r="I5100" s="239"/>
    </row>
    <row r="5101" spans="6:9" x14ac:dyDescent="0.35">
      <c r="F5101" s="33"/>
      <c r="G5101" s="70"/>
      <c r="H5101" s="400"/>
      <c r="I5101" s="239"/>
    </row>
    <row r="5102" spans="6:9" x14ac:dyDescent="0.35">
      <c r="F5102" s="33"/>
      <c r="G5102" s="70"/>
      <c r="H5102" s="400"/>
      <c r="I5102" s="239"/>
    </row>
    <row r="5103" spans="6:9" x14ac:dyDescent="0.35">
      <c r="F5103" s="33"/>
      <c r="G5103" s="70"/>
      <c r="H5103" s="400"/>
      <c r="I5103" s="239"/>
    </row>
    <row r="5104" spans="6:9" x14ac:dyDescent="0.35">
      <c r="F5104" s="33"/>
      <c r="G5104" s="70"/>
      <c r="H5104" s="400"/>
      <c r="I5104" s="239"/>
    </row>
    <row r="5105" spans="6:9" x14ac:dyDescent="0.35">
      <c r="F5105" s="33"/>
      <c r="G5105" s="70"/>
      <c r="H5105" s="400"/>
      <c r="I5105" s="239"/>
    </row>
    <row r="5106" spans="6:9" x14ac:dyDescent="0.35">
      <c r="F5106" s="33"/>
      <c r="G5106" s="70"/>
      <c r="H5106" s="400"/>
      <c r="I5106" s="239"/>
    </row>
    <row r="5107" spans="6:9" x14ac:dyDescent="0.35">
      <c r="F5107" s="33"/>
      <c r="G5107" s="70"/>
      <c r="H5107" s="400"/>
      <c r="I5107" s="239"/>
    </row>
    <row r="5108" spans="6:9" x14ac:dyDescent="0.35">
      <c r="F5108" s="33"/>
      <c r="G5108" s="70"/>
      <c r="H5108" s="400"/>
      <c r="I5108" s="239"/>
    </row>
    <row r="5109" spans="6:9" x14ac:dyDescent="0.35">
      <c r="F5109" s="33"/>
      <c r="G5109" s="70"/>
      <c r="H5109" s="400"/>
      <c r="I5109" s="239"/>
    </row>
    <row r="5110" spans="6:9" x14ac:dyDescent="0.35">
      <c r="F5110" s="33"/>
      <c r="G5110" s="70"/>
      <c r="H5110" s="400"/>
      <c r="I5110" s="239"/>
    </row>
    <row r="5111" spans="6:9" x14ac:dyDescent="0.35">
      <c r="F5111" s="33"/>
      <c r="G5111" s="70"/>
      <c r="H5111" s="400"/>
      <c r="I5111" s="239"/>
    </row>
    <row r="5112" spans="6:9" x14ac:dyDescent="0.35">
      <c r="F5112" s="33"/>
      <c r="G5112" s="70"/>
      <c r="H5112" s="400"/>
      <c r="I5112" s="239"/>
    </row>
    <row r="5113" spans="6:9" x14ac:dyDescent="0.35">
      <c r="F5113" s="33"/>
      <c r="G5113" s="70"/>
      <c r="H5113" s="400"/>
      <c r="I5113" s="239"/>
    </row>
    <row r="5114" spans="6:9" x14ac:dyDescent="0.35">
      <c r="F5114" s="33"/>
      <c r="G5114" s="70"/>
      <c r="H5114" s="400"/>
      <c r="I5114" s="239"/>
    </row>
    <row r="5115" spans="6:9" x14ac:dyDescent="0.35">
      <c r="F5115" s="33"/>
      <c r="G5115" s="70"/>
      <c r="H5115" s="400"/>
      <c r="I5115" s="239"/>
    </row>
    <row r="5116" spans="6:9" x14ac:dyDescent="0.35">
      <c r="F5116" s="33"/>
      <c r="G5116" s="70"/>
      <c r="H5116" s="400"/>
      <c r="I5116" s="239"/>
    </row>
    <row r="5117" spans="6:9" x14ac:dyDescent="0.35">
      <c r="F5117" s="33"/>
      <c r="G5117" s="70"/>
      <c r="H5117" s="400"/>
      <c r="I5117" s="239"/>
    </row>
    <row r="5118" spans="6:9" x14ac:dyDescent="0.35">
      <c r="F5118" s="33"/>
      <c r="G5118" s="70"/>
      <c r="H5118" s="400"/>
      <c r="I5118" s="239"/>
    </row>
    <row r="5119" spans="6:9" x14ac:dyDescent="0.35">
      <c r="F5119" s="33"/>
      <c r="G5119" s="70"/>
      <c r="H5119" s="400"/>
      <c r="I5119" s="239"/>
    </row>
    <row r="5120" spans="6:9" x14ac:dyDescent="0.35">
      <c r="F5120" s="33"/>
      <c r="G5120" s="70"/>
      <c r="H5120" s="400"/>
      <c r="I5120" s="239"/>
    </row>
    <row r="5121" spans="6:9" x14ac:dyDescent="0.35">
      <c r="F5121" s="33"/>
      <c r="G5121" s="70"/>
      <c r="H5121" s="400"/>
      <c r="I5121" s="239"/>
    </row>
    <row r="5122" spans="6:9" x14ac:dyDescent="0.35">
      <c r="F5122" s="33"/>
      <c r="G5122" s="70"/>
      <c r="H5122" s="400"/>
      <c r="I5122" s="239"/>
    </row>
    <row r="5123" spans="6:9" x14ac:dyDescent="0.35">
      <c r="F5123" s="33"/>
      <c r="G5123" s="70"/>
      <c r="H5123" s="400"/>
      <c r="I5123" s="239"/>
    </row>
    <row r="5124" spans="6:9" x14ac:dyDescent="0.35">
      <c r="F5124" s="33"/>
      <c r="G5124" s="70"/>
      <c r="H5124" s="400"/>
      <c r="I5124" s="239"/>
    </row>
    <row r="5125" spans="6:9" x14ac:dyDescent="0.35">
      <c r="F5125" s="33"/>
      <c r="G5125" s="70"/>
      <c r="H5125" s="400"/>
      <c r="I5125" s="239"/>
    </row>
    <row r="5126" spans="6:9" x14ac:dyDescent="0.35">
      <c r="F5126" s="33"/>
      <c r="G5126" s="70"/>
      <c r="H5126" s="400"/>
      <c r="I5126" s="239"/>
    </row>
    <row r="5127" spans="6:9" x14ac:dyDescent="0.35">
      <c r="F5127" s="33"/>
      <c r="G5127" s="70"/>
      <c r="H5127" s="400"/>
      <c r="I5127" s="239"/>
    </row>
    <row r="5128" spans="6:9" x14ac:dyDescent="0.35">
      <c r="F5128" s="33"/>
      <c r="G5128" s="70"/>
      <c r="H5128" s="400"/>
      <c r="I5128" s="239"/>
    </row>
    <row r="5129" spans="6:9" x14ac:dyDescent="0.35">
      <c r="F5129" s="33"/>
      <c r="G5129" s="70"/>
      <c r="H5129" s="400"/>
      <c r="I5129" s="239"/>
    </row>
    <row r="5130" spans="6:9" x14ac:dyDescent="0.35">
      <c r="F5130" s="33"/>
      <c r="G5130" s="70"/>
      <c r="H5130" s="400"/>
      <c r="I5130" s="239"/>
    </row>
    <row r="5131" spans="6:9" x14ac:dyDescent="0.35">
      <c r="F5131" s="33"/>
      <c r="G5131" s="70"/>
      <c r="H5131" s="400"/>
      <c r="I5131" s="239"/>
    </row>
    <row r="5132" spans="6:9" x14ac:dyDescent="0.35">
      <c r="F5132" s="33"/>
      <c r="G5132" s="70"/>
      <c r="H5132" s="400"/>
      <c r="I5132" s="239"/>
    </row>
    <row r="5133" spans="6:9" x14ac:dyDescent="0.35">
      <c r="F5133" s="33"/>
      <c r="G5133" s="70"/>
      <c r="H5133" s="400"/>
      <c r="I5133" s="239"/>
    </row>
    <row r="5134" spans="6:9" x14ac:dyDescent="0.35">
      <c r="F5134" s="33"/>
      <c r="G5134" s="70"/>
      <c r="H5134" s="400"/>
      <c r="I5134" s="239"/>
    </row>
    <row r="5135" spans="6:9" x14ac:dyDescent="0.35">
      <c r="F5135" s="33"/>
      <c r="G5135" s="70"/>
      <c r="H5135" s="400"/>
      <c r="I5135" s="239"/>
    </row>
    <row r="5136" spans="6:9" x14ac:dyDescent="0.35">
      <c r="F5136" s="33"/>
      <c r="G5136" s="70"/>
      <c r="H5136" s="400"/>
      <c r="I5136" s="239"/>
    </row>
    <row r="5137" spans="6:9" x14ac:dyDescent="0.35">
      <c r="F5137" s="33"/>
      <c r="G5137" s="70"/>
      <c r="H5137" s="400"/>
      <c r="I5137" s="239"/>
    </row>
    <row r="5138" spans="6:9" x14ac:dyDescent="0.35">
      <c r="F5138" s="33"/>
      <c r="G5138" s="70"/>
      <c r="H5138" s="400"/>
      <c r="I5138" s="239"/>
    </row>
    <row r="5139" spans="6:9" x14ac:dyDescent="0.35">
      <c r="F5139" s="33"/>
      <c r="G5139" s="70"/>
      <c r="H5139" s="400"/>
      <c r="I5139" s="239"/>
    </row>
    <row r="5140" spans="6:9" x14ac:dyDescent="0.35">
      <c r="F5140" s="33"/>
      <c r="G5140" s="70"/>
      <c r="H5140" s="400"/>
      <c r="I5140" s="239"/>
    </row>
    <row r="5141" spans="6:9" x14ac:dyDescent="0.35">
      <c r="F5141" s="33"/>
      <c r="G5141" s="70"/>
      <c r="H5141" s="400"/>
      <c r="I5141" s="239"/>
    </row>
    <row r="5142" spans="6:9" x14ac:dyDescent="0.35">
      <c r="F5142" s="33"/>
      <c r="G5142" s="70"/>
      <c r="H5142" s="400"/>
      <c r="I5142" s="239"/>
    </row>
    <row r="5143" spans="6:9" x14ac:dyDescent="0.35">
      <c r="F5143" s="33"/>
      <c r="G5143" s="70"/>
      <c r="H5143" s="400"/>
      <c r="I5143" s="239"/>
    </row>
    <row r="5144" spans="6:9" x14ac:dyDescent="0.35">
      <c r="F5144" s="33"/>
      <c r="G5144" s="70"/>
      <c r="H5144" s="400"/>
      <c r="I5144" s="239"/>
    </row>
    <row r="5145" spans="6:9" x14ac:dyDescent="0.35">
      <c r="F5145" s="33"/>
      <c r="G5145" s="70"/>
      <c r="H5145" s="400"/>
      <c r="I5145" s="239"/>
    </row>
    <row r="5146" spans="6:9" x14ac:dyDescent="0.35">
      <c r="F5146" s="33"/>
      <c r="G5146" s="70"/>
      <c r="H5146" s="400"/>
      <c r="I5146" s="239"/>
    </row>
    <row r="5147" spans="6:9" x14ac:dyDescent="0.35">
      <c r="F5147" s="33"/>
      <c r="G5147" s="70"/>
      <c r="H5147" s="400"/>
      <c r="I5147" s="239"/>
    </row>
    <row r="5148" spans="6:9" x14ac:dyDescent="0.35">
      <c r="F5148" s="33"/>
      <c r="G5148" s="70"/>
      <c r="H5148" s="400"/>
      <c r="I5148" s="239"/>
    </row>
    <row r="5149" spans="6:9" x14ac:dyDescent="0.35">
      <c r="F5149" s="33"/>
      <c r="G5149" s="70"/>
      <c r="H5149" s="400"/>
      <c r="I5149" s="239"/>
    </row>
    <row r="5150" spans="6:9" x14ac:dyDescent="0.35">
      <c r="F5150" s="33"/>
      <c r="G5150" s="70"/>
      <c r="H5150" s="400"/>
      <c r="I5150" s="239"/>
    </row>
    <row r="5151" spans="6:9" x14ac:dyDescent="0.35">
      <c r="F5151" s="33"/>
      <c r="G5151" s="70"/>
      <c r="H5151" s="400"/>
      <c r="I5151" s="239"/>
    </row>
    <row r="5152" spans="6:9" x14ac:dyDescent="0.35">
      <c r="F5152" s="33"/>
      <c r="G5152" s="70"/>
      <c r="H5152" s="400"/>
      <c r="I5152" s="239"/>
    </row>
    <row r="5153" spans="6:9" x14ac:dyDescent="0.35">
      <c r="F5153" s="33"/>
      <c r="G5153" s="70"/>
      <c r="H5153" s="400"/>
      <c r="I5153" s="239"/>
    </row>
    <row r="5154" spans="6:9" x14ac:dyDescent="0.35">
      <c r="F5154" s="33"/>
      <c r="G5154" s="70"/>
      <c r="H5154" s="400"/>
      <c r="I5154" s="239"/>
    </row>
    <row r="5155" spans="6:9" x14ac:dyDescent="0.35">
      <c r="F5155" s="33"/>
      <c r="G5155" s="70"/>
      <c r="H5155" s="400"/>
      <c r="I5155" s="239"/>
    </row>
    <row r="5156" spans="6:9" x14ac:dyDescent="0.35">
      <c r="F5156" s="33"/>
      <c r="G5156" s="70"/>
      <c r="H5156" s="400"/>
      <c r="I5156" s="239"/>
    </row>
    <row r="5157" spans="6:9" x14ac:dyDescent="0.35">
      <c r="F5157" s="33"/>
      <c r="G5157" s="70"/>
      <c r="H5157" s="400"/>
      <c r="I5157" s="239"/>
    </row>
    <row r="5158" spans="6:9" x14ac:dyDescent="0.35">
      <c r="F5158" s="33"/>
      <c r="G5158" s="70"/>
      <c r="H5158" s="400"/>
      <c r="I5158" s="239"/>
    </row>
    <row r="5159" spans="6:9" x14ac:dyDescent="0.35">
      <c r="F5159" s="33"/>
      <c r="G5159" s="70"/>
      <c r="H5159" s="400"/>
      <c r="I5159" s="239"/>
    </row>
    <row r="5160" spans="6:9" x14ac:dyDescent="0.35">
      <c r="F5160" s="33"/>
      <c r="G5160" s="70"/>
      <c r="H5160" s="400"/>
      <c r="I5160" s="239"/>
    </row>
    <row r="5161" spans="6:9" x14ac:dyDescent="0.35">
      <c r="F5161" s="33"/>
      <c r="G5161" s="70"/>
      <c r="H5161" s="400"/>
      <c r="I5161" s="239"/>
    </row>
    <row r="5162" spans="6:9" x14ac:dyDescent="0.35">
      <c r="F5162" s="33"/>
      <c r="G5162" s="70"/>
      <c r="H5162" s="400"/>
      <c r="I5162" s="239"/>
    </row>
    <row r="5163" spans="6:9" x14ac:dyDescent="0.35">
      <c r="F5163" s="33"/>
      <c r="G5163" s="70"/>
      <c r="H5163" s="400"/>
      <c r="I5163" s="239"/>
    </row>
    <row r="5164" spans="6:9" x14ac:dyDescent="0.35">
      <c r="F5164" s="33"/>
      <c r="G5164" s="70"/>
      <c r="H5164" s="400"/>
      <c r="I5164" s="239"/>
    </row>
    <row r="5165" spans="6:9" x14ac:dyDescent="0.35">
      <c r="F5165" s="33"/>
      <c r="G5165" s="70"/>
      <c r="H5165" s="400"/>
      <c r="I5165" s="239"/>
    </row>
    <row r="5166" spans="6:9" x14ac:dyDescent="0.35">
      <c r="F5166" s="33"/>
      <c r="G5166" s="70"/>
      <c r="H5166" s="400"/>
      <c r="I5166" s="239"/>
    </row>
    <row r="5167" spans="6:9" x14ac:dyDescent="0.35">
      <c r="F5167" s="33"/>
      <c r="G5167" s="70"/>
      <c r="H5167" s="400"/>
      <c r="I5167" s="239"/>
    </row>
    <row r="5168" spans="6:9" x14ac:dyDescent="0.35">
      <c r="F5168" s="33"/>
      <c r="G5168" s="70"/>
      <c r="H5168" s="400"/>
      <c r="I5168" s="239"/>
    </row>
    <row r="5169" spans="6:9" x14ac:dyDescent="0.35">
      <c r="F5169" s="33"/>
      <c r="G5169" s="70"/>
      <c r="H5169" s="400"/>
      <c r="I5169" s="239"/>
    </row>
    <row r="5170" spans="6:9" x14ac:dyDescent="0.35">
      <c r="F5170" s="33"/>
      <c r="G5170" s="70"/>
      <c r="H5170" s="400"/>
      <c r="I5170" s="239"/>
    </row>
    <row r="5171" spans="6:9" x14ac:dyDescent="0.35">
      <c r="F5171" s="33"/>
      <c r="G5171" s="70"/>
      <c r="H5171" s="400"/>
      <c r="I5171" s="239"/>
    </row>
    <row r="5172" spans="6:9" x14ac:dyDescent="0.35">
      <c r="F5172" s="33"/>
      <c r="G5172" s="70"/>
      <c r="H5172" s="400"/>
      <c r="I5172" s="239"/>
    </row>
    <row r="5173" spans="6:9" x14ac:dyDescent="0.35">
      <c r="F5173" s="33"/>
      <c r="G5173" s="70"/>
      <c r="H5173" s="400"/>
      <c r="I5173" s="239"/>
    </row>
    <row r="5174" spans="6:9" x14ac:dyDescent="0.35">
      <c r="F5174" s="33"/>
      <c r="G5174" s="70"/>
      <c r="H5174" s="400"/>
      <c r="I5174" s="239"/>
    </row>
    <row r="5175" spans="6:9" x14ac:dyDescent="0.35">
      <c r="F5175" s="33"/>
      <c r="G5175" s="70"/>
      <c r="H5175" s="400"/>
      <c r="I5175" s="239"/>
    </row>
    <row r="5176" spans="6:9" x14ac:dyDescent="0.35">
      <c r="F5176" s="33"/>
      <c r="G5176" s="70"/>
      <c r="H5176" s="400"/>
      <c r="I5176" s="239"/>
    </row>
    <row r="5177" spans="6:9" x14ac:dyDescent="0.35">
      <c r="F5177" s="33"/>
      <c r="G5177" s="70"/>
      <c r="H5177" s="400"/>
      <c r="I5177" s="239"/>
    </row>
    <row r="5178" spans="6:9" x14ac:dyDescent="0.35">
      <c r="F5178" s="33"/>
      <c r="G5178" s="70"/>
      <c r="H5178" s="400"/>
      <c r="I5178" s="239"/>
    </row>
    <row r="5179" spans="6:9" x14ac:dyDescent="0.35">
      <c r="F5179" s="33"/>
      <c r="G5179" s="70"/>
      <c r="H5179" s="400"/>
      <c r="I5179" s="239"/>
    </row>
    <row r="5180" spans="6:9" x14ac:dyDescent="0.35">
      <c r="F5180" s="33"/>
      <c r="G5180" s="70"/>
      <c r="H5180" s="400"/>
      <c r="I5180" s="239"/>
    </row>
    <row r="5181" spans="6:9" x14ac:dyDescent="0.35">
      <c r="F5181" s="33"/>
      <c r="G5181" s="70"/>
      <c r="H5181" s="400"/>
      <c r="I5181" s="239"/>
    </row>
    <row r="5182" spans="6:9" x14ac:dyDescent="0.35">
      <c r="F5182" s="33"/>
      <c r="G5182" s="70"/>
      <c r="H5182" s="400"/>
      <c r="I5182" s="239"/>
    </row>
    <row r="5183" spans="6:9" x14ac:dyDescent="0.35">
      <c r="F5183" s="33"/>
      <c r="G5183" s="70"/>
      <c r="H5183" s="400"/>
      <c r="I5183" s="239"/>
    </row>
    <row r="5184" spans="6:9" x14ac:dyDescent="0.35">
      <c r="F5184" s="33"/>
      <c r="G5184" s="70"/>
      <c r="H5184" s="400"/>
      <c r="I5184" s="239"/>
    </row>
    <row r="5185" spans="6:9" x14ac:dyDescent="0.35">
      <c r="F5185" s="33"/>
      <c r="G5185" s="70"/>
      <c r="H5185" s="400"/>
      <c r="I5185" s="239"/>
    </row>
    <row r="5186" spans="6:9" x14ac:dyDescent="0.35">
      <c r="F5186" s="33"/>
      <c r="G5186" s="70"/>
      <c r="H5186" s="400"/>
      <c r="I5186" s="239"/>
    </row>
    <row r="5187" spans="6:9" x14ac:dyDescent="0.35">
      <c r="F5187" s="33"/>
      <c r="G5187" s="70"/>
      <c r="H5187" s="400"/>
      <c r="I5187" s="239"/>
    </row>
    <row r="5188" spans="6:9" x14ac:dyDescent="0.35">
      <c r="F5188" s="33"/>
      <c r="G5188" s="70"/>
      <c r="H5188" s="400"/>
      <c r="I5188" s="239"/>
    </row>
    <row r="5189" spans="6:9" x14ac:dyDescent="0.35">
      <c r="F5189" s="33"/>
      <c r="G5189" s="70"/>
      <c r="H5189" s="400"/>
      <c r="I5189" s="239"/>
    </row>
    <row r="5190" spans="6:9" x14ac:dyDescent="0.35">
      <c r="F5190" s="33"/>
      <c r="G5190" s="70"/>
      <c r="H5190" s="400"/>
      <c r="I5190" s="239"/>
    </row>
    <row r="5191" spans="6:9" x14ac:dyDescent="0.35">
      <c r="F5191" s="33"/>
      <c r="G5191" s="70"/>
      <c r="H5191" s="400"/>
      <c r="I5191" s="239"/>
    </row>
    <row r="5192" spans="6:9" x14ac:dyDescent="0.35">
      <c r="F5192" s="33"/>
      <c r="G5192" s="70"/>
      <c r="H5192" s="400"/>
      <c r="I5192" s="239"/>
    </row>
    <row r="5193" spans="6:9" x14ac:dyDescent="0.35">
      <c r="F5193" s="33"/>
      <c r="G5193" s="70"/>
      <c r="H5193" s="400"/>
      <c r="I5193" s="239"/>
    </row>
    <row r="5194" spans="6:9" x14ac:dyDescent="0.35">
      <c r="F5194" s="33"/>
      <c r="G5194" s="70"/>
      <c r="H5194" s="400"/>
      <c r="I5194" s="239"/>
    </row>
    <row r="5195" spans="6:9" x14ac:dyDescent="0.35">
      <c r="F5195" s="33"/>
      <c r="G5195" s="70"/>
      <c r="H5195" s="400"/>
      <c r="I5195" s="239"/>
    </row>
    <row r="5196" spans="6:9" x14ac:dyDescent="0.35">
      <c r="F5196" s="33"/>
      <c r="G5196" s="70"/>
      <c r="H5196" s="400"/>
      <c r="I5196" s="239"/>
    </row>
    <row r="5197" spans="6:9" x14ac:dyDescent="0.35">
      <c r="F5197" s="33"/>
      <c r="G5197" s="70"/>
      <c r="H5197" s="400"/>
      <c r="I5197" s="239"/>
    </row>
    <row r="5198" spans="6:9" x14ac:dyDescent="0.35">
      <c r="F5198" s="33"/>
      <c r="G5198" s="70"/>
      <c r="H5198" s="400"/>
      <c r="I5198" s="239"/>
    </row>
    <row r="5199" spans="6:9" x14ac:dyDescent="0.35">
      <c r="F5199" s="33"/>
      <c r="G5199" s="70"/>
      <c r="H5199" s="400"/>
      <c r="I5199" s="239"/>
    </row>
    <row r="5200" spans="6:9" x14ac:dyDescent="0.35">
      <c r="F5200" s="33"/>
      <c r="G5200" s="70"/>
      <c r="H5200" s="400"/>
      <c r="I5200" s="239"/>
    </row>
    <row r="5201" spans="6:9" x14ac:dyDescent="0.35">
      <c r="F5201" s="33"/>
      <c r="G5201" s="70"/>
      <c r="H5201" s="400"/>
      <c r="I5201" s="239"/>
    </row>
    <row r="5202" spans="6:9" x14ac:dyDescent="0.35">
      <c r="F5202" s="33"/>
      <c r="G5202" s="70"/>
      <c r="H5202" s="400"/>
      <c r="I5202" s="239"/>
    </row>
    <row r="5203" spans="6:9" x14ac:dyDescent="0.35">
      <c r="F5203" s="33"/>
      <c r="G5203" s="70"/>
      <c r="H5203" s="400"/>
      <c r="I5203" s="239"/>
    </row>
    <row r="5204" spans="6:9" x14ac:dyDescent="0.35">
      <c r="F5204" s="33"/>
      <c r="G5204" s="70"/>
      <c r="H5204" s="400"/>
      <c r="I5204" s="239"/>
    </row>
    <row r="5205" spans="6:9" x14ac:dyDescent="0.35">
      <c r="F5205" s="33"/>
      <c r="G5205" s="70"/>
      <c r="H5205" s="400"/>
      <c r="I5205" s="239"/>
    </row>
    <row r="5206" spans="6:9" x14ac:dyDescent="0.35">
      <c r="F5206" s="33"/>
      <c r="G5206" s="70"/>
      <c r="H5206" s="400"/>
      <c r="I5206" s="239"/>
    </row>
    <row r="5207" spans="6:9" x14ac:dyDescent="0.35">
      <c r="F5207" s="33"/>
      <c r="G5207" s="70"/>
      <c r="H5207" s="400"/>
      <c r="I5207" s="239"/>
    </row>
    <row r="5208" spans="6:9" x14ac:dyDescent="0.35">
      <c r="F5208" s="33"/>
      <c r="G5208" s="70"/>
      <c r="H5208" s="400"/>
      <c r="I5208" s="239"/>
    </row>
    <row r="5209" spans="6:9" x14ac:dyDescent="0.35">
      <c r="F5209" s="33"/>
      <c r="G5209" s="70"/>
      <c r="H5209" s="400"/>
      <c r="I5209" s="239"/>
    </row>
    <row r="5210" spans="6:9" x14ac:dyDescent="0.35">
      <c r="F5210" s="33"/>
      <c r="G5210" s="70"/>
      <c r="H5210" s="400"/>
      <c r="I5210" s="239"/>
    </row>
    <row r="5211" spans="6:9" x14ac:dyDescent="0.35">
      <c r="F5211" s="33"/>
      <c r="G5211" s="70"/>
      <c r="H5211" s="400"/>
      <c r="I5211" s="239"/>
    </row>
    <row r="5212" spans="6:9" x14ac:dyDescent="0.35">
      <c r="F5212" s="33"/>
      <c r="G5212" s="70"/>
      <c r="H5212" s="400"/>
      <c r="I5212" s="239"/>
    </row>
    <row r="5213" spans="6:9" x14ac:dyDescent="0.35">
      <c r="F5213" s="33"/>
      <c r="G5213" s="70"/>
      <c r="H5213" s="400"/>
      <c r="I5213" s="239"/>
    </row>
    <row r="5214" spans="6:9" x14ac:dyDescent="0.35">
      <c r="F5214" s="33"/>
      <c r="G5214" s="70"/>
      <c r="H5214" s="400"/>
      <c r="I5214" s="239"/>
    </row>
    <row r="5215" spans="6:9" x14ac:dyDescent="0.35">
      <c r="F5215" s="33"/>
      <c r="G5215" s="70"/>
      <c r="H5215" s="400"/>
      <c r="I5215" s="239"/>
    </row>
    <row r="5216" spans="6:9" x14ac:dyDescent="0.35">
      <c r="F5216" s="33"/>
      <c r="G5216" s="70"/>
      <c r="H5216" s="400"/>
      <c r="I5216" s="239"/>
    </row>
    <row r="5217" spans="6:9" x14ac:dyDescent="0.35">
      <c r="F5217" s="33"/>
      <c r="G5217" s="70"/>
      <c r="H5217" s="400"/>
      <c r="I5217" s="239"/>
    </row>
    <row r="5218" spans="6:9" x14ac:dyDescent="0.35">
      <c r="F5218" s="33"/>
      <c r="G5218" s="70"/>
      <c r="H5218" s="400"/>
      <c r="I5218" s="239"/>
    </row>
    <row r="5219" spans="6:9" x14ac:dyDescent="0.35">
      <c r="F5219" s="33"/>
      <c r="G5219" s="70"/>
      <c r="H5219" s="400"/>
      <c r="I5219" s="239"/>
    </row>
    <row r="5220" spans="6:9" x14ac:dyDescent="0.35">
      <c r="F5220" s="33"/>
      <c r="G5220" s="70"/>
      <c r="H5220" s="400"/>
      <c r="I5220" s="239"/>
    </row>
    <row r="5221" spans="6:9" x14ac:dyDescent="0.35">
      <c r="F5221" s="33"/>
      <c r="G5221" s="70"/>
      <c r="H5221" s="400"/>
      <c r="I5221" s="239"/>
    </row>
    <row r="5222" spans="6:9" x14ac:dyDescent="0.35">
      <c r="F5222" s="33"/>
      <c r="G5222" s="70"/>
      <c r="H5222" s="400"/>
      <c r="I5222" s="239"/>
    </row>
    <row r="5223" spans="6:9" x14ac:dyDescent="0.35">
      <c r="F5223" s="33"/>
      <c r="G5223" s="70"/>
      <c r="H5223" s="400"/>
      <c r="I5223" s="239"/>
    </row>
    <row r="5224" spans="6:9" x14ac:dyDescent="0.35">
      <c r="F5224" s="33"/>
      <c r="G5224" s="70"/>
      <c r="H5224" s="400"/>
      <c r="I5224" s="239"/>
    </row>
    <row r="5225" spans="6:9" x14ac:dyDescent="0.35">
      <c r="F5225" s="33"/>
      <c r="G5225" s="70"/>
      <c r="H5225" s="400"/>
      <c r="I5225" s="239"/>
    </row>
    <row r="5226" spans="6:9" x14ac:dyDescent="0.35">
      <c r="F5226" s="33"/>
      <c r="G5226" s="70"/>
      <c r="H5226" s="400"/>
      <c r="I5226" s="239"/>
    </row>
    <row r="5227" spans="6:9" x14ac:dyDescent="0.35">
      <c r="F5227" s="33"/>
      <c r="G5227" s="70"/>
      <c r="H5227" s="400"/>
      <c r="I5227" s="239"/>
    </row>
    <row r="5228" spans="6:9" x14ac:dyDescent="0.35">
      <c r="F5228" s="33"/>
      <c r="G5228" s="70"/>
      <c r="H5228" s="400"/>
      <c r="I5228" s="239"/>
    </row>
    <row r="5229" spans="6:9" x14ac:dyDescent="0.35">
      <c r="F5229" s="33"/>
      <c r="G5229" s="70"/>
      <c r="H5229" s="400"/>
      <c r="I5229" s="239"/>
    </row>
    <row r="5230" spans="6:9" x14ac:dyDescent="0.35">
      <c r="F5230" s="33"/>
      <c r="G5230" s="70"/>
      <c r="H5230" s="400"/>
      <c r="I5230" s="239"/>
    </row>
    <row r="5231" spans="6:9" x14ac:dyDescent="0.35">
      <c r="F5231" s="33"/>
      <c r="G5231" s="70"/>
      <c r="H5231" s="400"/>
      <c r="I5231" s="239"/>
    </row>
    <row r="5232" spans="6:9" x14ac:dyDescent="0.35">
      <c r="F5232" s="33"/>
      <c r="G5232" s="70"/>
      <c r="H5232" s="400"/>
      <c r="I5232" s="239"/>
    </row>
    <row r="5233" spans="6:9" x14ac:dyDescent="0.35">
      <c r="F5233" s="33"/>
      <c r="G5233" s="70"/>
      <c r="H5233" s="400"/>
      <c r="I5233" s="239"/>
    </row>
    <row r="5234" spans="6:9" x14ac:dyDescent="0.35">
      <c r="F5234" s="33"/>
      <c r="G5234" s="70"/>
      <c r="H5234" s="400"/>
      <c r="I5234" s="239"/>
    </row>
    <row r="5235" spans="6:9" x14ac:dyDescent="0.35">
      <c r="F5235" s="33"/>
      <c r="G5235" s="70"/>
      <c r="H5235" s="400"/>
      <c r="I5235" s="239"/>
    </row>
    <row r="5236" spans="6:9" x14ac:dyDescent="0.35">
      <c r="F5236" s="33"/>
      <c r="G5236" s="70"/>
      <c r="H5236" s="400"/>
      <c r="I5236" s="239"/>
    </row>
    <row r="5237" spans="6:9" x14ac:dyDescent="0.35">
      <c r="F5237" s="33"/>
      <c r="G5237" s="70"/>
      <c r="H5237" s="400"/>
      <c r="I5237" s="239"/>
    </row>
    <row r="5238" spans="6:9" x14ac:dyDescent="0.35">
      <c r="F5238" s="33"/>
      <c r="G5238" s="70"/>
      <c r="H5238" s="400"/>
      <c r="I5238" s="239"/>
    </row>
    <row r="5239" spans="6:9" x14ac:dyDescent="0.35">
      <c r="F5239" s="33"/>
      <c r="G5239" s="70"/>
      <c r="H5239" s="400"/>
      <c r="I5239" s="239"/>
    </row>
    <row r="5240" spans="6:9" x14ac:dyDescent="0.35">
      <c r="F5240" s="33"/>
      <c r="G5240" s="70"/>
      <c r="H5240" s="400"/>
      <c r="I5240" s="239"/>
    </row>
    <row r="5241" spans="6:9" x14ac:dyDescent="0.35">
      <c r="F5241" s="33"/>
      <c r="G5241" s="70"/>
      <c r="H5241" s="400"/>
      <c r="I5241" s="239"/>
    </row>
    <row r="5242" spans="6:9" x14ac:dyDescent="0.35">
      <c r="F5242" s="33"/>
      <c r="G5242" s="70"/>
      <c r="H5242" s="400"/>
      <c r="I5242" s="239"/>
    </row>
    <row r="5243" spans="6:9" x14ac:dyDescent="0.35">
      <c r="F5243" s="33"/>
      <c r="G5243" s="70"/>
      <c r="H5243" s="400"/>
      <c r="I5243" s="239"/>
    </row>
    <row r="5244" spans="6:9" x14ac:dyDescent="0.35">
      <c r="F5244" s="33"/>
      <c r="G5244" s="70"/>
      <c r="H5244" s="400"/>
      <c r="I5244" s="239"/>
    </row>
    <row r="5245" spans="6:9" x14ac:dyDescent="0.35">
      <c r="F5245" s="33"/>
      <c r="G5245" s="70"/>
      <c r="H5245" s="400"/>
      <c r="I5245" s="239"/>
    </row>
    <row r="5246" spans="6:9" x14ac:dyDescent="0.35">
      <c r="F5246" s="33"/>
      <c r="G5246" s="70"/>
      <c r="H5246" s="400"/>
      <c r="I5246" s="239"/>
    </row>
    <row r="5247" spans="6:9" x14ac:dyDescent="0.35">
      <c r="F5247" s="33"/>
      <c r="G5247" s="70"/>
      <c r="H5247" s="400"/>
      <c r="I5247" s="239"/>
    </row>
    <row r="5248" spans="6:9" x14ac:dyDescent="0.35">
      <c r="F5248" s="33"/>
      <c r="G5248" s="70"/>
      <c r="H5248" s="400"/>
      <c r="I5248" s="239"/>
    </row>
    <row r="5249" spans="6:9" x14ac:dyDescent="0.35">
      <c r="F5249" s="33"/>
      <c r="G5249" s="70"/>
      <c r="H5249" s="400"/>
      <c r="I5249" s="239"/>
    </row>
    <row r="5250" spans="6:9" x14ac:dyDescent="0.35">
      <c r="F5250" s="33"/>
      <c r="G5250" s="70"/>
      <c r="H5250" s="400"/>
      <c r="I5250" s="239"/>
    </row>
    <row r="5251" spans="6:9" x14ac:dyDescent="0.35">
      <c r="F5251" s="33"/>
      <c r="G5251" s="70"/>
      <c r="H5251" s="400"/>
      <c r="I5251" s="239"/>
    </row>
    <row r="5252" spans="6:9" x14ac:dyDescent="0.35">
      <c r="F5252" s="33"/>
      <c r="G5252" s="70"/>
      <c r="H5252" s="400"/>
      <c r="I5252" s="239"/>
    </row>
    <row r="5253" spans="6:9" x14ac:dyDescent="0.35">
      <c r="F5253" s="33"/>
      <c r="G5253" s="70"/>
      <c r="H5253" s="400"/>
      <c r="I5253" s="239"/>
    </row>
    <row r="5254" spans="6:9" x14ac:dyDescent="0.35">
      <c r="F5254" s="33"/>
      <c r="G5254" s="70"/>
      <c r="H5254" s="400"/>
      <c r="I5254" s="239"/>
    </row>
    <row r="5255" spans="6:9" x14ac:dyDescent="0.35">
      <c r="F5255" s="33"/>
      <c r="G5255" s="70"/>
      <c r="H5255" s="400"/>
      <c r="I5255" s="239"/>
    </row>
    <row r="5256" spans="6:9" x14ac:dyDescent="0.35">
      <c r="F5256" s="33"/>
      <c r="G5256" s="70"/>
      <c r="H5256" s="400"/>
      <c r="I5256" s="239"/>
    </row>
    <row r="5257" spans="6:9" x14ac:dyDescent="0.35">
      <c r="F5257" s="33"/>
      <c r="G5257" s="70"/>
      <c r="H5257" s="400"/>
      <c r="I5257" s="239"/>
    </row>
    <row r="5258" spans="6:9" x14ac:dyDescent="0.35">
      <c r="F5258" s="33"/>
      <c r="G5258" s="70"/>
      <c r="H5258" s="400"/>
      <c r="I5258" s="239"/>
    </row>
    <row r="5259" spans="6:9" x14ac:dyDescent="0.35">
      <c r="F5259" s="33"/>
      <c r="G5259" s="70"/>
      <c r="H5259" s="400"/>
      <c r="I5259" s="239"/>
    </row>
    <row r="5260" spans="6:9" x14ac:dyDescent="0.35">
      <c r="F5260" s="33"/>
      <c r="G5260" s="70"/>
      <c r="H5260" s="400"/>
      <c r="I5260" s="239"/>
    </row>
    <row r="5261" spans="6:9" x14ac:dyDescent="0.35">
      <c r="F5261" s="33"/>
      <c r="G5261" s="70"/>
      <c r="H5261" s="400"/>
      <c r="I5261" s="239"/>
    </row>
    <row r="5262" spans="6:9" x14ac:dyDescent="0.35">
      <c r="F5262" s="33"/>
      <c r="G5262" s="70"/>
      <c r="H5262" s="400"/>
      <c r="I5262" s="239"/>
    </row>
    <row r="5263" spans="6:9" x14ac:dyDescent="0.35">
      <c r="F5263" s="33"/>
      <c r="G5263" s="70"/>
      <c r="H5263" s="400"/>
      <c r="I5263" s="239"/>
    </row>
    <row r="5264" spans="6:9" x14ac:dyDescent="0.35">
      <c r="F5264" s="33"/>
      <c r="G5264" s="70"/>
      <c r="H5264" s="400"/>
      <c r="I5264" s="239"/>
    </row>
    <row r="5265" spans="6:9" x14ac:dyDescent="0.35">
      <c r="F5265" s="33"/>
      <c r="G5265" s="70"/>
      <c r="H5265" s="400"/>
      <c r="I5265" s="239"/>
    </row>
    <row r="5266" spans="6:9" x14ac:dyDescent="0.35">
      <c r="F5266" s="33"/>
      <c r="G5266" s="70"/>
      <c r="H5266" s="400"/>
      <c r="I5266" s="239"/>
    </row>
    <row r="5267" spans="6:9" x14ac:dyDescent="0.35">
      <c r="F5267" s="33"/>
      <c r="G5267" s="70"/>
      <c r="H5267" s="400"/>
      <c r="I5267" s="239"/>
    </row>
    <row r="5268" spans="6:9" x14ac:dyDescent="0.35">
      <c r="F5268" s="33"/>
      <c r="G5268" s="70"/>
      <c r="H5268" s="400"/>
      <c r="I5268" s="239"/>
    </row>
    <row r="5269" spans="6:9" x14ac:dyDescent="0.35">
      <c r="F5269" s="33"/>
      <c r="G5269" s="70"/>
      <c r="H5269" s="400"/>
      <c r="I5269" s="239"/>
    </row>
    <row r="5270" spans="6:9" x14ac:dyDescent="0.35">
      <c r="F5270" s="33"/>
      <c r="G5270" s="70"/>
      <c r="H5270" s="400"/>
      <c r="I5270" s="239"/>
    </row>
    <row r="5271" spans="6:9" x14ac:dyDescent="0.35">
      <c r="F5271" s="33"/>
      <c r="G5271" s="70"/>
      <c r="H5271" s="400"/>
      <c r="I5271" s="239"/>
    </row>
    <row r="5272" spans="6:9" x14ac:dyDescent="0.35">
      <c r="F5272" s="33"/>
      <c r="G5272" s="70"/>
      <c r="H5272" s="400"/>
      <c r="I5272" s="239"/>
    </row>
    <row r="5273" spans="6:9" x14ac:dyDescent="0.35">
      <c r="F5273" s="33"/>
      <c r="G5273" s="70"/>
      <c r="H5273" s="400"/>
      <c r="I5273" s="239"/>
    </row>
    <row r="5274" spans="6:9" x14ac:dyDescent="0.35">
      <c r="F5274" s="33"/>
      <c r="G5274" s="70"/>
      <c r="H5274" s="400"/>
      <c r="I5274" s="239"/>
    </row>
    <row r="5275" spans="6:9" x14ac:dyDescent="0.35">
      <c r="F5275" s="33"/>
      <c r="G5275" s="70"/>
      <c r="H5275" s="400"/>
      <c r="I5275" s="239"/>
    </row>
    <row r="5276" spans="6:9" x14ac:dyDescent="0.35">
      <c r="F5276" s="33"/>
      <c r="G5276" s="70"/>
      <c r="H5276" s="400"/>
      <c r="I5276" s="239"/>
    </row>
    <row r="5277" spans="6:9" x14ac:dyDescent="0.35">
      <c r="F5277" s="33"/>
      <c r="G5277" s="70"/>
      <c r="H5277" s="400"/>
      <c r="I5277" s="239"/>
    </row>
    <row r="5278" spans="6:9" x14ac:dyDescent="0.35">
      <c r="F5278" s="33"/>
      <c r="G5278" s="70"/>
      <c r="H5278" s="400"/>
      <c r="I5278" s="239"/>
    </row>
    <row r="5279" spans="6:9" x14ac:dyDescent="0.35">
      <c r="F5279" s="33"/>
      <c r="G5279" s="70"/>
      <c r="H5279" s="400"/>
      <c r="I5279" s="239"/>
    </row>
    <row r="5280" spans="6:9" x14ac:dyDescent="0.35">
      <c r="F5280" s="33"/>
      <c r="G5280" s="70"/>
      <c r="H5280" s="400"/>
      <c r="I5280" s="239"/>
    </row>
    <row r="5281" spans="6:9" x14ac:dyDescent="0.35">
      <c r="F5281" s="33"/>
      <c r="G5281" s="70"/>
      <c r="H5281" s="400"/>
      <c r="I5281" s="239"/>
    </row>
    <row r="5282" spans="6:9" x14ac:dyDescent="0.35">
      <c r="F5282" s="33"/>
      <c r="G5282" s="70"/>
      <c r="H5282" s="400"/>
      <c r="I5282" s="239"/>
    </row>
    <row r="5283" spans="6:9" x14ac:dyDescent="0.35">
      <c r="F5283" s="33"/>
      <c r="G5283" s="70"/>
      <c r="H5283" s="400"/>
      <c r="I5283" s="239"/>
    </row>
    <row r="5284" spans="6:9" x14ac:dyDescent="0.35">
      <c r="F5284" s="33"/>
      <c r="G5284" s="70"/>
      <c r="H5284" s="400"/>
      <c r="I5284" s="239"/>
    </row>
    <row r="5285" spans="6:9" x14ac:dyDescent="0.35">
      <c r="F5285" s="33"/>
      <c r="G5285" s="70"/>
      <c r="H5285" s="400"/>
      <c r="I5285" s="239"/>
    </row>
    <row r="5286" spans="6:9" x14ac:dyDescent="0.35">
      <c r="F5286" s="33"/>
      <c r="G5286" s="70"/>
      <c r="H5286" s="400"/>
      <c r="I5286" s="239"/>
    </row>
    <row r="5287" spans="6:9" x14ac:dyDescent="0.35">
      <c r="F5287" s="33"/>
      <c r="G5287" s="70"/>
      <c r="H5287" s="400"/>
      <c r="I5287" s="239"/>
    </row>
    <row r="5288" spans="6:9" x14ac:dyDescent="0.35">
      <c r="F5288" s="33"/>
      <c r="G5288" s="70"/>
      <c r="H5288" s="400"/>
      <c r="I5288" s="239"/>
    </row>
    <row r="5289" spans="6:9" x14ac:dyDescent="0.35">
      <c r="F5289" s="33"/>
      <c r="G5289" s="70"/>
      <c r="H5289" s="400"/>
      <c r="I5289" s="239"/>
    </row>
    <row r="5290" spans="6:9" x14ac:dyDescent="0.35">
      <c r="F5290" s="33"/>
      <c r="G5290" s="70"/>
      <c r="H5290" s="400"/>
      <c r="I5290" s="239"/>
    </row>
    <row r="5291" spans="6:9" x14ac:dyDescent="0.35">
      <c r="F5291" s="33"/>
      <c r="G5291" s="70"/>
      <c r="H5291" s="400"/>
      <c r="I5291" s="239"/>
    </row>
    <row r="5292" spans="6:9" x14ac:dyDescent="0.35">
      <c r="F5292" s="33"/>
      <c r="G5292" s="70"/>
      <c r="H5292" s="400"/>
      <c r="I5292" s="239"/>
    </row>
    <row r="5293" spans="6:9" x14ac:dyDescent="0.35">
      <c r="F5293" s="33"/>
      <c r="G5293" s="70"/>
      <c r="H5293" s="400"/>
      <c r="I5293" s="239"/>
    </row>
    <row r="5294" spans="6:9" x14ac:dyDescent="0.35">
      <c r="F5294" s="33"/>
      <c r="G5294" s="70"/>
      <c r="H5294" s="400"/>
      <c r="I5294" s="239"/>
    </row>
    <row r="5295" spans="6:9" x14ac:dyDescent="0.35">
      <c r="F5295" s="33"/>
      <c r="G5295" s="70"/>
      <c r="H5295" s="400"/>
      <c r="I5295" s="239"/>
    </row>
    <row r="5296" spans="6:9" x14ac:dyDescent="0.35">
      <c r="F5296" s="33"/>
      <c r="G5296" s="70"/>
      <c r="H5296" s="400"/>
      <c r="I5296" s="239"/>
    </row>
    <row r="5297" spans="6:9" x14ac:dyDescent="0.35">
      <c r="F5297" s="33"/>
      <c r="G5297" s="70"/>
      <c r="H5297" s="400"/>
      <c r="I5297" s="239"/>
    </row>
    <row r="5298" spans="6:9" x14ac:dyDescent="0.35">
      <c r="F5298" s="33"/>
      <c r="G5298" s="70"/>
      <c r="H5298" s="400"/>
      <c r="I5298" s="239"/>
    </row>
    <row r="5299" spans="6:9" x14ac:dyDescent="0.35">
      <c r="F5299" s="33"/>
      <c r="G5299" s="70"/>
      <c r="H5299" s="400"/>
      <c r="I5299" s="239"/>
    </row>
    <row r="5300" spans="6:9" x14ac:dyDescent="0.35">
      <c r="F5300" s="33"/>
      <c r="G5300" s="70"/>
      <c r="H5300" s="400"/>
      <c r="I5300" s="239"/>
    </row>
    <row r="5301" spans="6:9" x14ac:dyDescent="0.35">
      <c r="F5301" s="33"/>
      <c r="G5301" s="70"/>
      <c r="H5301" s="400"/>
      <c r="I5301" s="239"/>
    </row>
    <row r="5302" spans="6:9" x14ac:dyDescent="0.35">
      <c r="F5302" s="33"/>
      <c r="G5302" s="70"/>
      <c r="H5302" s="400"/>
      <c r="I5302" s="239"/>
    </row>
    <row r="5303" spans="6:9" x14ac:dyDescent="0.35">
      <c r="F5303" s="33"/>
      <c r="G5303" s="70"/>
      <c r="H5303" s="400"/>
      <c r="I5303" s="239"/>
    </row>
    <row r="5304" spans="6:9" x14ac:dyDescent="0.35">
      <c r="F5304" s="33"/>
      <c r="G5304" s="70"/>
      <c r="H5304" s="400"/>
      <c r="I5304" s="239"/>
    </row>
    <row r="5305" spans="6:9" x14ac:dyDescent="0.35">
      <c r="F5305" s="33"/>
      <c r="G5305" s="70"/>
      <c r="H5305" s="400"/>
      <c r="I5305" s="239"/>
    </row>
    <row r="5306" spans="6:9" x14ac:dyDescent="0.35">
      <c r="F5306" s="33"/>
      <c r="G5306" s="70"/>
      <c r="H5306" s="400"/>
      <c r="I5306" s="239"/>
    </row>
    <row r="5307" spans="6:9" x14ac:dyDescent="0.35">
      <c r="F5307" s="33"/>
      <c r="G5307" s="70"/>
      <c r="H5307" s="400"/>
      <c r="I5307" s="239"/>
    </row>
    <row r="5308" spans="6:9" x14ac:dyDescent="0.35">
      <c r="F5308" s="33"/>
      <c r="G5308" s="70"/>
      <c r="H5308" s="400"/>
      <c r="I5308" s="239"/>
    </row>
    <row r="5309" spans="6:9" x14ac:dyDescent="0.35">
      <c r="F5309" s="33"/>
      <c r="G5309" s="70"/>
      <c r="H5309" s="400"/>
      <c r="I5309" s="239"/>
    </row>
    <row r="5310" spans="6:9" x14ac:dyDescent="0.35">
      <c r="F5310" s="33"/>
      <c r="G5310" s="70"/>
      <c r="H5310" s="400"/>
      <c r="I5310" s="239"/>
    </row>
    <row r="5311" spans="6:9" x14ac:dyDescent="0.35">
      <c r="F5311" s="33"/>
      <c r="G5311" s="70"/>
      <c r="H5311" s="400"/>
      <c r="I5311" s="239"/>
    </row>
    <row r="5312" spans="6:9" x14ac:dyDescent="0.35">
      <c r="F5312" s="33"/>
      <c r="G5312" s="70"/>
      <c r="H5312" s="400"/>
      <c r="I5312" s="239"/>
    </row>
    <row r="5313" spans="6:9" x14ac:dyDescent="0.35">
      <c r="F5313" s="33"/>
      <c r="G5313" s="70"/>
      <c r="H5313" s="400"/>
      <c r="I5313" s="239"/>
    </row>
    <row r="5314" spans="6:9" x14ac:dyDescent="0.35">
      <c r="F5314" s="33"/>
      <c r="G5314" s="70"/>
      <c r="H5314" s="400"/>
      <c r="I5314" s="239"/>
    </row>
    <row r="5315" spans="6:9" x14ac:dyDescent="0.35">
      <c r="F5315" s="33"/>
      <c r="G5315" s="70"/>
      <c r="H5315" s="400"/>
      <c r="I5315" s="239"/>
    </row>
    <row r="5316" spans="6:9" x14ac:dyDescent="0.35">
      <c r="F5316" s="33"/>
      <c r="G5316" s="70"/>
      <c r="H5316" s="400"/>
      <c r="I5316" s="239"/>
    </row>
    <row r="5317" spans="6:9" x14ac:dyDescent="0.35">
      <c r="F5317" s="33"/>
      <c r="G5317" s="70"/>
      <c r="H5317" s="400"/>
      <c r="I5317" s="239"/>
    </row>
    <row r="5318" spans="6:9" x14ac:dyDescent="0.35">
      <c r="F5318" s="33"/>
      <c r="G5318" s="70"/>
      <c r="H5318" s="400"/>
      <c r="I5318" s="239"/>
    </row>
    <row r="5319" spans="6:9" x14ac:dyDescent="0.35">
      <c r="F5319" s="33"/>
      <c r="G5319" s="70"/>
      <c r="H5319" s="400"/>
      <c r="I5319" s="239"/>
    </row>
    <row r="5320" spans="6:9" x14ac:dyDescent="0.35">
      <c r="F5320" s="33"/>
      <c r="G5320" s="70"/>
      <c r="H5320" s="400"/>
      <c r="I5320" s="239"/>
    </row>
    <row r="5321" spans="6:9" x14ac:dyDescent="0.35">
      <c r="F5321" s="33"/>
      <c r="G5321" s="70"/>
      <c r="H5321" s="400"/>
      <c r="I5321" s="239"/>
    </row>
    <row r="5322" spans="6:9" x14ac:dyDescent="0.35">
      <c r="F5322" s="33"/>
      <c r="G5322" s="70"/>
      <c r="H5322" s="400"/>
      <c r="I5322" s="239"/>
    </row>
    <row r="5323" spans="6:9" x14ac:dyDescent="0.35">
      <c r="F5323" s="33"/>
      <c r="G5323" s="70"/>
      <c r="H5323" s="400"/>
      <c r="I5323" s="239"/>
    </row>
    <row r="5324" spans="6:9" x14ac:dyDescent="0.35">
      <c r="F5324" s="33"/>
      <c r="G5324" s="70"/>
      <c r="H5324" s="400"/>
      <c r="I5324" s="239"/>
    </row>
    <row r="5325" spans="6:9" x14ac:dyDescent="0.35">
      <c r="F5325" s="33"/>
      <c r="G5325" s="70"/>
      <c r="H5325" s="400"/>
      <c r="I5325" s="239"/>
    </row>
    <row r="5326" spans="6:9" x14ac:dyDescent="0.35">
      <c r="F5326" s="33"/>
      <c r="G5326" s="70"/>
      <c r="H5326" s="400"/>
      <c r="I5326" s="239"/>
    </row>
    <row r="5327" spans="6:9" x14ac:dyDescent="0.35">
      <c r="F5327" s="33"/>
      <c r="G5327" s="70"/>
      <c r="H5327" s="400"/>
      <c r="I5327" s="239"/>
    </row>
    <row r="5328" spans="6:9" x14ac:dyDescent="0.35">
      <c r="F5328" s="33"/>
      <c r="G5328" s="70"/>
      <c r="H5328" s="400"/>
      <c r="I5328" s="239"/>
    </row>
    <row r="5329" spans="6:9" x14ac:dyDescent="0.35">
      <c r="F5329" s="33"/>
      <c r="G5329" s="70"/>
      <c r="H5329" s="400"/>
      <c r="I5329" s="239"/>
    </row>
    <row r="5330" spans="6:9" x14ac:dyDescent="0.35">
      <c r="F5330" s="33"/>
      <c r="G5330" s="70"/>
      <c r="H5330" s="400"/>
      <c r="I5330" s="239"/>
    </row>
    <row r="5331" spans="6:9" x14ac:dyDescent="0.35">
      <c r="F5331" s="33"/>
      <c r="G5331" s="70"/>
      <c r="H5331" s="400"/>
      <c r="I5331" s="239"/>
    </row>
    <row r="5332" spans="6:9" x14ac:dyDescent="0.35">
      <c r="F5332" s="33"/>
      <c r="G5332" s="70"/>
      <c r="H5332" s="400"/>
      <c r="I5332" s="239"/>
    </row>
    <row r="5333" spans="6:9" x14ac:dyDescent="0.35">
      <c r="F5333" s="33"/>
      <c r="G5333" s="70"/>
      <c r="H5333" s="400"/>
      <c r="I5333" s="239"/>
    </row>
    <row r="5334" spans="6:9" x14ac:dyDescent="0.35">
      <c r="F5334" s="33"/>
      <c r="G5334" s="70"/>
      <c r="H5334" s="400"/>
      <c r="I5334" s="239"/>
    </row>
    <row r="5335" spans="6:9" x14ac:dyDescent="0.35">
      <c r="F5335" s="33"/>
      <c r="G5335" s="70"/>
      <c r="H5335" s="400"/>
      <c r="I5335" s="239"/>
    </row>
    <row r="5336" spans="6:9" x14ac:dyDescent="0.35">
      <c r="F5336" s="33"/>
      <c r="G5336" s="70"/>
      <c r="H5336" s="400"/>
      <c r="I5336" s="239"/>
    </row>
    <row r="5337" spans="6:9" x14ac:dyDescent="0.35">
      <c r="F5337" s="33"/>
      <c r="G5337" s="70"/>
      <c r="H5337" s="400"/>
      <c r="I5337" s="239"/>
    </row>
    <row r="5338" spans="6:9" x14ac:dyDescent="0.35">
      <c r="F5338" s="33"/>
      <c r="G5338" s="70"/>
      <c r="H5338" s="400"/>
      <c r="I5338" s="239"/>
    </row>
    <row r="5339" spans="6:9" x14ac:dyDescent="0.35">
      <c r="F5339" s="33"/>
      <c r="G5339" s="70"/>
      <c r="H5339" s="400"/>
      <c r="I5339" s="239"/>
    </row>
    <row r="5340" spans="6:9" x14ac:dyDescent="0.35">
      <c r="F5340" s="33"/>
      <c r="G5340" s="70"/>
      <c r="H5340" s="400"/>
      <c r="I5340" s="239"/>
    </row>
    <row r="5341" spans="6:9" x14ac:dyDescent="0.35">
      <c r="F5341" s="33"/>
      <c r="G5341" s="70"/>
      <c r="H5341" s="400"/>
      <c r="I5341" s="239"/>
    </row>
    <row r="5342" spans="6:9" x14ac:dyDescent="0.35">
      <c r="F5342" s="33"/>
      <c r="G5342" s="70"/>
      <c r="H5342" s="400"/>
      <c r="I5342" s="239"/>
    </row>
    <row r="5343" spans="6:9" x14ac:dyDescent="0.35">
      <c r="F5343" s="33"/>
      <c r="G5343" s="70"/>
      <c r="H5343" s="400"/>
      <c r="I5343" s="239"/>
    </row>
    <row r="5344" spans="6:9" x14ac:dyDescent="0.35">
      <c r="F5344" s="33"/>
      <c r="G5344" s="70"/>
      <c r="H5344" s="400"/>
      <c r="I5344" s="239"/>
    </row>
    <row r="5345" spans="6:9" x14ac:dyDescent="0.35">
      <c r="F5345" s="33"/>
      <c r="G5345" s="70"/>
      <c r="H5345" s="400"/>
      <c r="I5345" s="239"/>
    </row>
    <row r="5346" spans="6:9" x14ac:dyDescent="0.35">
      <c r="F5346" s="33"/>
      <c r="G5346" s="70"/>
      <c r="H5346" s="400"/>
      <c r="I5346" s="239"/>
    </row>
    <row r="5347" spans="6:9" x14ac:dyDescent="0.35">
      <c r="F5347" s="33"/>
      <c r="G5347" s="70"/>
      <c r="H5347" s="400"/>
      <c r="I5347" s="239"/>
    </row>
    <row r="5348" spans="6:9" x14ac:dyDescent="0.35">
      <c r="F5348" s="33"/>
      <c r="G5348" s="70"/>
      <c r="H5348" s="400"/>
      <c r="I5348" s="239"/>
    </row>
    <row r="5349" spans="6:9" x14ac:dyDescent="0.35">
      <c r="F5349" s="33"/>
      <c r="G5349" s="70"/>
      <c r="H5349" s="400"/>
      <c r="I5349" s="239"/>
    </row>
    <row r="5350" spans="6:9" x14ac:dyDescent="0.35">
      <c r="F5350" s="33"/>
      <c r="G5350" s="70"/>
      <c r="H5350" s="400"/>
      <c r="I5350" s="239"/>
    </row>
    <row r="5351" spans="6:9" x14ac:dyDescent="0.35">
      <c r="F5351" s="33"/>
      <c r="G5351" s="70"/>
      <c r="H5351" s="400"/>
      <c r="I5351" s="239"/>
    </row>
    <row r="5352" spans="6:9" x14ac:dyDescent="0.35">
      <c r="F5352" s="33"/>
      <c r="G5352" s="70"/>
      <c r="H5352" s="400"/>
      <c r="I5352" s="239"/>
    </row>
    <row r="5353" spans="6:9" x14ac:dyDescent="0.35">
      <c r="F5353" s="33"/>
      <c r="G5353" s="70"/>
      <c r="H5353" s="400"/>
      <c r="I5353" s="239"/>
    </row>
    <row r="5354" spans="6:9" x14ac:dyDescent="0.35">
      <c r="F5354" s="33"/>
      <c r="G5354" s="70"/>
      <c r="H5354" s="400"/>
      <c r="I5354" s="239"/>
    </row>
    <row r="5355" spans="6:9" x14ac:dyDescent="0.35">
      <c r="F5355" s="33"/>
      <c r="G5355" s="70"/>
      <c r="H5355" s="400"/>
      <c r="I5355" s="239"/>
    </row>
    <row r="5356" spans="6:9" x14ac:dyDescent="0.35">
      <c r="F5356" s="33"/>
      <c r="G5356" s="70"/>
      <c r="H5356" s="400"/>
      <c r="I5356" s="239"/>
    </row>
    <row r="5357" spans="6:9" x14ac:dyDescent="0.35">
      <c r="F5357" s="33"/>
      <c r="G5357" s="70"/>
      <c r="H5357" s="400"/>
      <c r="I5357" s="239"/>
    </row>
    <row r="5358" spans="6:9" x14ac:dyDescent="0.35">
      <c r="F5358" s="33"/>
      <c r="G5358" s="70"/>
      <c r="H5358" s="400"/>
      <c r="I5358" s="239"/>
    </row>
    <row r="5359" spans="6:9" x14ac:dyDescent="0.35">
      <c r="F5359" s="33"/>
      <c r="G5359" s="70"/>
      <c r="H5359" s="400"/>
      <c r="I5359" s="239"/>
    </row>
    <row r="5360" spans="6:9" x14ac:dyDescent="0.35">
      <c r="F5360" s="33"/>
      <c r="G5360" s="70"/>
      <c r="H5360" s="400"/>
      <c r="I5360" s="239"/>
    </row>
    <row r="5361" spans="6:9" x14ac:dyDescent="0.35">
      <c r="F5361" s="33"/>
      <c r="G5361" s="70"/>
      <c r="H5361" s="400"/>
      <c r="I5361" s="239"/>
    </row>
    <row r="5362" spans="6:9" x14ac:dyDescent="0.35">
      <c r="F5362" s="33"/>
      <c r="G5362" s="70"/>
      <c r="H5362" s="400"/>
      <c r="I5362" s="239"/>
    </row>
    <row r="5363" spans="6:9" x14ac:dyDescent="0.35">
      <c r="F5363" s="33"/>
      <c r="G5363" s="70"/>
      <c r="H5363" s="400"/>
      <c r="I5363" s="239"/>
    </row>
    <row r="5364" spans="6:9" x14ac:dyDescent="0.35">
      <c r="F5364" s="33"/>
      <c r="G5364" s="70"/>
      <c r="H5364" s="400"/>
      <c r="I5364" s="239"/>
    </row>
    <row r="5365" spans="6:9" x14ac:dyDescent="0.35">
      <c r="F5365" s="33"/>
      <c r="G5365" s="70"/>
      <c r="H5365" s="400"/>
      <c r="I5365" s="239"/>
    </row>
    <row r="5366" spans="6:9" x14ac:dyDescent="0.35">
      <c r="F5366" s="33"/>
      <c r="G5366" s="70"/>
      <c r="H5366" s="400"/>
      <c r="I5366" s="239"/>
    </row>
    <row r="5367" spans="6:9" x14ac:dyDescent="0.35">
      <c r="F5367" s="33"/>
      <c r="G5367" s="70"/>
      <c r="H5367" s="400"/>
      <c r="I5367" s="239"/>
    </row>
    <row r="5368" spans="6:9" x14ac:dyDescent="0.35">
      <c r="F5368" s="33"/>
      <c r="G5368" s="70"/>
      <c r="H5368" s="400"/>
      <c r="I5368" s="239"/>
    </row>
    <row r="5369" spans="6:9" x14ac:dyDescent="0.35">
      <c r="F5369" s="33"/>
      <c r="G5369" s="70"/>
      <c r="H5369" s="400"/>
      <c r="I5369" s="239"/>
    </row>
    <row r="5370" spans="6:9" x14ac:dyDescent="0.35">
      <c r="F5370" s="33"/>
      <c r="G5370" s="70"/>
      <c r="H5370" s="400"/>
      <c r="I5370" s="239"/>
    </row>
    <row r="5371" spans="6:9" x14ac:dyDescent="0.35">
      <c r="F5371" s="33"/>
      <c r="G5371" s="70"/>
      <c r="H5371" s="400"/>
      <c r="I5371" s="239"/>
    </row>
    <row r="5372" spans="6:9" x14ac:dyDescent="0.35">
      <c r="F5372" s="33"/>
      <c r="G5372" s="70"/>
      <c r="H5372" s="400"/>
      <c r="I5372" s="239"/>
    </row>
    <row r="5373" spans="6:9" x14ac:dyDescent="0.35">
      <c r="F5373" s="33"/>
      <c r="G5373" s="70"/>
      <c r="H5373" s="400"/>
      <c r="I5373" s="239"/>
    </row>
    <row r="5374" spans="6:9" x14ac:dyDescent="0.35">
      <c r="F5374" s="33"/>
      <c r="G5374" s="70"/>
      <c r="H5374" s="400"/>
      <c r="I5374" s="239"/>
    </row>
    <row r="5375" spans="6:9" x14ac:dyDescent="0.35">
      <c r="F5375" s="33"/>
      <c r="G5375" s="70"/>
      <c r="H5375" s="400"/>
      <c r="I5375" s="239"/>
    </row>
    <row r="5376" spans="6:9" x14ac:dyDescent="0.35">
      <c r="F5376" s="33"/>
      <c r="G5376" s="70"/>
      <c r="H5376" s="400"/>
      <c r="I5376" s="239"/>
    </row>
    <row r="5377" spans="6:9" x14ac:dyDescent="0.35">
      <c r="F5377" s="33"/>
      <c r="G5377" s="70"/>
      <c r="H5377" s="400"/>
      <c r="I5377" s="239"/>
    </row>
    <row r="5378" spans="6:9" x14ac:dyDescent="0.35">
      <c r="F5378" s="33"/>
      <c r="G5378" s="70"/>
      <c r="H5378" s="400"/>
      <c r="I5378" s="239"/>
    </row>
    <row r="5379" spans="6:9" x14ac:dyDescent="0.35">
      <c r="F5379" s="33"/>
      <c r="G5379" s="70"/>
      <c r="H5379" s="400"/>
      <c r="I5379" s="239"/>
    </row>
    <row r="5380" spans="6:9" x14ac:dyDescent="0.35">
      <c r="F5380" s="33"/>
      <c r="G5380" s="70"/>
      <c r="H5380" s="400"/>
      <c r="I5380" s="239"/>
    </row>
    <row r="5381" spans="6:9" x14ac:dyDescent="0.35">
      <c r="F5381" s="33"/>
      <c r="G5381" s="70"/>
      <c r="H5381" s="400"/>
      <c r="I5381" s="239"/>
    </row>
    <row r="5382" spans="6:9" x14ac:dyDescent="0.35">
      <c r="F5382" s="33"/>
      <c r="G5382" s="70"/>
      <c r="H5382" s="400"/>
      <c r="I5382" s="239"/>
    </row>
    <row r="5383" spans="6:9" x14ac:dyDescent="0.35">
      <c r="F5383" s="33"/>
      <c r="G5383" s="70"/>
      <c r="H5383" s="400"/>
      <c r="I5383" s="239"/>
    </row>
    <row r="5384" spans="6:9" x14ac:dyDescent="0.35">
      <c r="F5384" s="33"/>
      <c r="G5384" s="70"/>
      <c r="H5384" s="400"/>
      <c r="I5384" s="239"/>
    </row>
    <row r="5385" spans="6:9" x14ac:dyDescent="0.35">
      <c r="F5385" s="33"/>
      <c r="G5385" s="70"/>
      <c r="H5385" s="400"/>
      <c r="I5385" s="239"/>
    </row>
    <row r="5386" spans="6:9" x14ac:dyDescent="0.35">
      <c r="F5386" s="33"/>
      <c r="G5386" s="70"/>
      <c r="H5386" s="400"/>
      <c r="I5386" s="239"/>
    </row>
    <row r="5387" spans="6:9" x14ac:dyDescent="0.35">
      <c r="F5387" s="33"/>
      <c r="G5387" s="70"/>
      <c r="H5387" s="400"/>
      <c r="I5387" s="239"/>
    </row>
    <row r="5388" spans="6:9" x14ac:dyDescent="0.35">
      <c r="F5388" s="33"/>
      <c r="G5388" s="70"/>
      <c r="H5388" s="400"/>
      <c r="I5388" s="239"/>
    </row>
    <row r="5389" spans="6:9" x14ac:dyDescent="0.35">
      <c r="F5389" s="33"/>
      <c r="G5389" s="70"/>
      <c r="H5389" s="400"/>
      <c r="I5389" s="239"/>
    </row>
    <row r="5390" spans="6:9" x14ac:dyDescent="0.35">
      <c r="F5390" s="33"/>
      <c r="G5390" s="70"/>
      <c r="H5390" s="400"/>
      <c r="I5390" s="239"/>
    </row>
    <row r="5391" spans="6:9" x14ac:dyDescent="0.35">
      <c r="F5391" s="33"/>
      <c r="G5391" s="70"/>
      <c r="H5391" s="400"/>
      <c r="I5391" s="239"/>
    </row>
    <row r="5392" spans="6:9" x14ac:dyDescent="0.35">
      <c r="F5392" s="33"/>
      <c r="G5392" s="70"/>
      <c r="H5392" s="400"/>
      <c r="I5392" s="239"/>
    </row>
    <row r="5393" spans="6:9" x14ac:dyDescent="0.35">
      <c r="F5393" s="33"/>
      <c r="G5393" s="70"/>
      <c r="H5393" s="400"/>
      <c r="I5393" s="239"/>
    </row>
    <row r="5394" spans="6:9" x14ac:dyDescent="0.35">
      <c r="F5394" s="33"/>
      <c r="G5394" s="70"/>
      <c r="H5394" s="400"/>
      <c r="I5394" s="239"/>
    </row>
    <row r="5395" spans="6:9" x14ac:dyDescent="0.35">
      <c r="F5395" s="33"/>
      <c r="G5395" s="70"/>
      <c r="H5395" s="400"/>
      <c r="I5395" s="239"/>
    </row>
    <row r="5396" spans="6:9" x14ac:dyDescent="0.35">
      <c r="F5396" s="33"/>
      <c r="G5396" s="70"/>
      <c r="H5396" s="400"/>
      <c r="I5396" s="239"/>
    </row>
    <row r="5397" spans="6:9" x14ac:dyDescent="0.35">
      <c r="F5397" s="33"/>
      <c r="G5397" s="70"/>
      <c r="H5397" s="400"/>
      <c r="I5397" s="239"/>
    </row>
    <row r="5398" spans="6:9" x14ac:dyDescent="0.35">
      <c r="F5398" s="33"/>
      <c r="G5398" s="70"/>
      <c r="H5398" s="400"/>
      <c r="I5398" s="239"/>
    </row>
    <row r="5399" spans="6:9" x14ac:dyDescent="0.35">
      <c r="F5399" s="33"/>
      <c r="G5399" s="70"/>
      <c r="H5399" s="400"/>
      <c r="I5399" s="239"/>
    </row>
    <row r="5400" spans="6:9" x14ac:dyDescent="0.35">
      <c r="F5400" s="33"/>
      <c r="G5400" s="70"/>
      <c r="H5400" s="400"/>
      <c r="I5400" s="239"/>
    </row>
    <row r="5401" spans="6:9" x14ac:dyDescent="0.35">
      <c r="F5401" s="33"/>
      <c r="G5401" s="70"/>
      <c r="H5401" s="400"/>
      <c r="I5401" s="239"/>
    </row>
    <row r="5402" spans="6:9" x14ac:dyDescent="0.35">
      <c r="F5402" s="33"/>
      <c r="G5402" s="70"/>
      <c r="H5402" s="400"/>
      <c r="I5402" s="239"/>
    </row>
    <row r="5403" spans="6:9" x14ac:dyDescent="0.35">
      <c r="F5403" s="33"/>
      <c r="G5403" s="70"/>
      <c r="H5403" s="400"/>
      <c r="I5403" s="239"/>
    </row>
    <row r="5404" spans="6:9" x14ac:dyDescent="0.35">
      <c r="F5404" s="33"/>
      <c r="G5404" s="70"/>
      <c r="H5404" s="400"/>
      <c r="I5404" s="239"/>
    </row>
    <row r="5405" spans="6:9" x14ac:dyDescent="0.35">
      <c r="F5405" s="33"/>
      <c r="G5405" s="70"/>
      <c r="H5405" s="400"/>
      <c r="I5405" s="239"/>
    </row>
    <row r="5406" spans="6:9" x14ac:dyDescent="0.35">
      <c r="F5406" s="33"/>
      <c r="G5406" s="70"/>
      <c r="H5406" s="400"/>
      <c r="I5406" s="239"/>
    </row>
    <row r="5407" spans="6:9" x14ac:dyDescent="0.35">
      <c r="F5407" s="33"/>
      <c r="G5407" s="70"/>
      <c r="H5407" s="400"/>
      <c r="I5407" s="239"/>
    </row>
    <row r="5408" spans="6:9" x14ac:dyDescent="0.35">
      <c r="F5408" s="33"/>
      <c r="G5408" s="70"/>
      <c r="H5408" s="400"/>
      <c r="I5408" s="239"/>
    </row>
    <row r="5409" spans="6:9" x14ac:dyDescent="0.35">
      <c r="F5409" s="33"/>
      <c r="G5409" s="70"/>
      <c r="H5409" s="400"/>
      <c r="I5409" s="239"/>
    </row>
    <row r="5410" spans="6:9" x14ac:dyDescent="0.35">
      <c r="F5410" s="33"/>
      <c r="G5410" s="70"/>
      <c r="H5410" s="400"/>
      <c r="I5410" s="239"/>
    </row>
    <row r="5411" spans="6:9" x14ac:dyDescent="0.35">
      <c r="F5411" s="33"/>
      <c r="G5411" s="70"/>
      <c r="H5411" s="400"/>
      <c r="I5411" s="239"/>
    </row>
    <row r="5412" spans="6:9" x14ac:dyDescent="0.35">
      <c r="F5412" s="33"/>
      <c r="G5412" s="70"/>
      <c r="H5412" s="400"/>
      <c r="I5412" s="239"/>
    </row>
    <row r="5413" spans="6:9" x14ac:dyDescent="0.35">
      <c r="F5413" s="33"/>
      <c r="G5413" s="70"/>
      <c r="H5413" s="400"/>
      <c r="I5413" s="239"/>
    </row>
    <row r="5414" spans="6:9" x14ac:dyDescent="0.35">
      <c r="F5414" s="33"/>
      <c r="G5414" s="70"/>
      <c r="H5414" s="400"/>
      <c r="I5414" s="239"/>
    </row>
    <row r="5415" spans="6:9" x14ac:dyDescent="0.35">
      <c r="F5415" s="33"/>
      <c r="G5415" s="70"/>
      <c r="H5415" s="400"/>
      <c r="I5415" s="239"/>
    </row>
    <row r="5416" spans="6:9" x14ac:dyDescent="0.35">
      <c r="F5416" s="33"/>
      <c r="G5416" s="70"/>
      <c r="H5416" s="400"/>
      <c r="I5416" s="239"/>
    </row>
    <row r="5417" spans="6:9" x14ac:dyDescent="0.35">
      <c r="F5417" s="33"/>
      <c r="G5417" s="70"/>
      <c r="H5417" s="400"/>
      <c r="I5417" s="239"/>
    </row>
    <row r="5418" spans="6:9" x14ac:dyDescent="0.35">
      <c r="F5418" s="33"/>
      <c r="G5418" s="70"/>
      <c r="H5418" s="400"/>
      <c r="I5418" s="239"/>
    </row>
    <row r="5419" spans="6:9" x14ac:dyDescent="0.35">
      <c r="F5419" s="33"/>
      <c r="G5419" s="70"/>
      <c r="H5419" s="400"/>
      <c r="I5419" s="239"/>
    </row>
    <row r="5420" spans="6:9" x14ac:dyDescent="0.35">
      <c r="F5420" s="33"/>
      <c r="G5420" s="70"/>
      <c r="H5420" s="400"/>
      <c r="I5420" s="239"/>
    </row>
    <row r="5421" spans="6:9" x14ac:dyDescent="0.35">
      <c r="F5421" s="33"/>
      <c r="G5421" s="70"/>
      <c r="H5421" s="400"/>
      <c r="I5421" s="239"/>
    </row>
    <row r="5422" spans="6:9" x14ac:dyDescent="0.35">
      <c r="F5422" s="33"/>
      <c r="G5422" s="70"/>
      <c r="H5422" s="400"/>
      <c r="I5422" s="239"/>
    </row>
    <row r="5423" spans="6:9" x14ac:dyDescent="0.35">
      <c r="F5423" s="33"/>
      <c r="G5423" s="70"/>
      <c r="H5423" s="400"/>
      <c r="I5423" s="239"/>
    </row>
    <row r="5424" spans="6:9" x14ac:dyDescent="0.35">
      <c r="F5424" s="33"/>
      <c r="G5424" s="70"/>
      <c r="H5424" s="400"/>
      <c r="I5424" s="239"/>
    </row>
    <row r="5425" spans="6:9" x14ac:dyDescent="0.35">
      <c r="F5425" s="33"/>
      <c r="G5425" s="70"/>
      <c r="H5425" s="400"/>
      <c r="I5425" s="239"/>
    </row>
    <row r="5426" spans="6:9" x14ac:dyDescent="0.35">
      <c r="F5426" s="33"/>
      <c r="G5426" s="70"/>
      <c r="H5426" s="400"/>
      <c r="I5426" s="239"/>
    </row>
    <row r="5427" spans="6:9" x14ac:dyDescent="0.35">
      <c r="F5427" s="33"/>
      <c r="G5427" s="70"/>
      <c r="H5427" s="400"/>
      <c r="I5427" s="239"/>
    </row>
    <row r="5428" spans="6:9" x14ac:dyDescent="0.35">
      <c r="F5428" s="33"/>
      <c r="G5428" s="70"/>
      <c r="H5428" s="400"/>
      <c r="I5428" s="239"/>
    </row>
    <row r="5429" spans="6:9" x14ac:dyDescent="0.35">
      <c r="F5429" s="33"/>
      <c r="G5429" s="70"/>
      <c r="H5429" s="400"/>
      <c r="I5429" s="239"/>
    </row>
    <row r="5430" spans="6:9" x14ac:dyDescent="0.35">
      <c r="F5430" s="33"/>
      <c r="G5430" s="70"/>
      <c r="H5430" s="400"/>
      <c r="I5430" s="239"/>
    </row>
    <row r="5431" spans="6:9" x14ac:dyDescent="0.35">
      <c r="F5431" s="33"/>
      <c r="G5431" s="70"/>
      <c r="H5431" s="400"/>
      <c r="I5431" s="239"/>
    </row>
    <row r="5432" spans="6:9" x14ac:dyDescent="0.35">
      <c r="F5432" s="33"/>
      <c r="G5432" s="70"/>
      <c r="H5432" s="400"/>
      <c r="I5432" s="239"/>
    </row>
    <row r="5433" spans="6:9" x14ac:dyDescent="0.35">
      <c r="F5433" s="33"/>
      <c r="G5433" s="70"/>
      <c r="H5433" s="400"/>
      <c r="I5433" s="239"/>
    </row>
    <row r="5434" spans="6:9" x14ac:dyDescent="0.35">
      <c r="F5434" s="33"/>
      <c r="G5434" s="70"/>
      <c r="H5434" s="400"/>
      <c r="I5434" s="239"/>
    </row>
    <row r="5435" spans="6:9" x14ac:dyDescent="0.35">
      <c r="F5435" s="33"/>
      <c r="G5435" s="70"/>
      <c r="H5435" s="400"/>
      <c r="I5435" s="239"/>
    </row>
    <row r="5436" spans="6:9" x14ac:dyDescent="0.35">
      <c r="F5436" s="33"/>
      <c r="G5436" s="70"/>
      <c r="H5436" s="400"/>
      <c r="I5436" s="239"/>
    </row>
    <row r="5437" spans="6:9" x14ac:dyDescent="0.35">
      <c r="F5437" s="33"/>
      <c r="G5437" s="70"/>
      <c r="H5437" s="400"/>
      <c r="I5437" s="239"/>
    </row>
    <row r="5438" spans="6:9" x14ac:dyDescent="0.35">
      <c r="F5438" s="33"/>
      <c r="G5438" s="70"/>
      <c r="H5438" s="400"/>
      <c r="I5438" s="239"/>
    </row>
    <row r="5439" spans="6:9" x14ac:dyDescent="0.35">
      <c r="F5439" s="33"/>
      <c r="G5439" s="70"/>
      <c r="H5439" s="400"/>
      <c r="I5439" s="239"/>
    </row>
    <row r="5440" spans="6:9" x14ac:dyDescent="0.35">
      <c r="F5440" s="33"/>
      <c r="G5440" s="70"/>
      <c r="H5440" s="400"/>
      <c r="I5440" s="239"/>
    </row>
    <row r="5441" spans="6:9" x14ac:dyDescent="0.35">
      <c r="F5441" s="33"/>
      <c r="G5441" s="70"/>
      <c r="H5441" s="400"/>
      <c r="I5441" s="239"/>
    </row>
    <row r="5442" spans="6:9" x14ac:dyDescent="0.35">
      <c r="F5442" s="33"/>
      <c r="G5442" s="70"/>
      <c r="H5442" s="400"/>
      <c r="I5442" s="239"/>
    </row>
    <row r="5443" spans="6:9" x14ac:dyDescent="0.35">
      <c r="F5443" s="33"/>
      <c r="G5443" s="70"/>
      <c r="H5443" s="400"/>
      <c r="I5443" s="239"/>
    </row>
    <row r="5444" spans="6:9" x14ac:dyDescent="0.35">
      <c r="F5444" s="33"/>
      <c r="G5444" s="70"/>
      <c r="H5444" s="400"/>
      <c r="I5444" s="239"/>
    </row>
    <row r="5445" spans="6:9" x14ac:dyDescent="0.35">
      <c r="F5445" s="33"/>
      <c r="G5445" s="70"/>
      <c r="H5445" s="400"/>
      <c r="I5445" s="239"/>
    </row>
    <row r="5446" spans="6:9" x14ac:dyDescent="0.35">
      <c r="F5446" s="33"/>
      <c r="G5446" s="70"/>
      <c r="H5446" s="400"/>
      <c r="I5446" s="239"/>
    </row>
    <row r="5447" spans="6:9" x14ac:dyDescent="0.35">
      <c r="F5447" s="33"/>
      <c r="G5447" s="70"/>
      <c r="H5447" s="400"/>
      <c r="I5447" s="239"/>
    </row>
    <row r="5448" spans="6:9" x14ac:dyDescent="0.35">
      <c r="F5448" s="33"/>
      <c r="G5448" s="70"/>
      <c r="H5448" s="400"/>
      <c r="I5448" s="239"/>
    </row>
    <row r="5449" spans="6:9" x14ac:dyDescent="0.35">
      <c r="F5449" s="33"/>
      <c r="G5449" s="70"/>
      <c r="H5449" s="400"/>
      <c r="I5449" s="239"/>
    </row>
    <row r="5450" spans="6:9" x14ac:dyDescent="0.35">
      <c r="F5450" s="33"/>
      <c r="G5450" s="70"/>
      <c r="H5450" s="400"/>
      <c r="I5450" s="239"/>
    </row>
    <row r="5451" spans="6:9" x14ac:dyDescent="0.35">
      <c r="F5451" s="33"/>
      <c r="G5451" s="70"/>
      <c r="H5451" s="400"/>
      <c r="I5451" s="239"/>
    </row>
    <row r="5452" spans="6:9" x14ac:dyDescent="0.35">
      <c r="F5452" s="33"/>
      <c r="G5452" s="70"/>
      <c r="H5452" s="400"/>
      <c r="I5452" s="239"/>
    </row>
    <row r="5453" spans="6:9" x14ac:dyDescent="0.35">
      <c r="F5453" s="33"/>
      <c r="G5453" s="70"/>
      <c r="H5453" s="400"/>
      <c r="I5453" s="239"/>
    </row>
    <row r="5454" spans="6:9" x14ac:dyDescent="0.35">
      <c r="F5454" s="33"/>
      <c r="G5454" s="70"/>
      <c r="H5454" s="400"/>
      <c r="I5454" s="239"/>
    </row>
    <row r="5455" spans="6:9" x14ac:dyDescent="0.35">
      <c r="F5455" s="33"/>
      <c r="G5455" s="70"/>
      <c r="H5455" s="400"/>
      <c r="I5455" s="239"/>
    </row>
    <row r="5456" spans="6:9" x14ac:dyDescent="0.35">
      <c r="F5456" s="33"/>
      <c r="G5456" s="70"/>
      <c r="H5456" s="400"/>
      <c r="I5456" s="239"/>
    </row>
    <row r="5457" spans="6:9" x14ac:dyDescent="0.35">
      <c r="F5457" s="33"/>
      <c r="G5457" s="70"/>
      <c r="H5457" s="400"/>
      <c r="I5457" s="239"/>
    </row>
    <row r="5458" spans="6:9" x14ac:dyDescent="0.35">
      <c r="F5458" s="33"/>
      <c r="G5458" s="70"/>
      <c r="H5458" s="400"/>
      <c r="I5458" s="239"/>
    </row>
    <row r="5459" spans="6:9" x14ac:dyDescent="0.35">
      <c r="F5459" s="33"/>
      <c r="G5459" s="70"/>
      <c r="H5459" s="400"/>
      <c r="I5459" s="239"/>
    </row>
    <row r="5460" spans="6:9" x14ac:dyDescent="0.35">
      <c r="F5460" s="33"/>
      <c r="G5460" s="70"/>
      <c r="H5460" s="400"/>
      <c r="I5460" s="239"/>
    </row>
    <row r="5461" spans="6:9" x14ac:dyDescent="0.35">
      <c r="F5461" s="33"/>
      <c r="G5461" s="70"/>
      <c r="H5461" s="400"/>
      <c r="I5461" s="239"/>
    </row>
    <row r="5462" spans="6:9" x14ac:dyDescent="0.35">
      <c r="F5462" s="33"/>
      <c r="G5462" s="70"/>
      <c r="H5462" s="400"/>
      <c r="I5462" s="239"/>
    </row>
    <row r="5463" spans="6:9" x14ac:dyDescent="0.35">
      <c r="F5463" s="33"/>
      <c r="G5463" s="70"/>
      <c r="H5463" s="400"/>
      <c r="I5463" s="239"/>
    </row>
    <row r="5464" spans="6:9" x14ac:dyDescent="0.35">
      <c r="F5464" s="33"/>
      <c r="G5464" s="70"/>
      <c r="H5464" s="400"/>
      <c r="I5464" s="239"/>
    </row>
    <row r="5465" spans="6:9" x14ac:dyDescent="0.35">
      <c r="F5465" s="33"/>
      <c r="G5465" s="70"/>
      <c r="H5465" s="400"/>
      <c r="I5465" s="239"/>
    </row>
    <row r="5466" spans="6:9" x14ac:dyDescent="0.35">
      <c r="F5466" s="33"/>
      <c r="G5466" s="70"/>
      <c r="H5466" s="400"/>
      <c r="I5466" s="239"/>
    </row>
    <row r="5467" spans="6:9" x14ac:dyDescent="0.35">
      <c r="F5467" s="33"/>
      <c r="G5467" s="70"/>
      <c r="H5467" s="400"/>
      <c r="I5467" s="239"/>
    </row>
    <row r="5468" spans="6:9" x14ac:dyDescent="0.35">
      <c r="F5468" s="33"/>
      <c r="G5468" s="70"/>
      <c r="H5468" s="400"/>
      <c r="I5468" s="239"/>
    </row>
    <row r="5469" spans="6:9" x14ac:dyDescent="0.35">
      <c r="F5469" s="33"/>
      <c r="G5469" s="70"/>
      <c r="H5469" s="400"/>
      <c r="I5469" s="239"/>
    </row>
    <row r="5470" spans="6:9" x14ac:dyDescent="0.35">
      <c r="F5470" s="33"/>
      <c r="G5470" s="70"/>
      <c r="H5470" s="400"/>
      <c r="I5470" s="239"/>
    </row>
    <row r="5471" spans="6:9" x14ac:dyDescent="0.35">
      <c r="F5471" s="33"/>
      <c r="G5471" s="70"/>
      <c r="H5471" s="400"/>
      <c r="I5471" s="239"/>
    </row>
    <row r="5472" spans="6:9" x14ac:dyDescent="0.35">
      <c r="F5472" s="33"/>
      <c r="G5472" s="70"/>
      <c r="H5472" s="400"/>
      <c r="I5472" s="239"/>
    </row>
    <row r="5473" spans="6:9" x14ac:dyDescent="0.35">
      <c r="F5473" s="33"/>
      <c r="G5473" s="70"/>
      <c r="H5473" s="400"/>
      <c r="I5473" s="239"/>
    </row>
    <row r="5474" spans="6:9" x14ac:dyDescent="0.35">
      <c r="F5474" s="33"/>
      <c r="G5474" s="70"/>
      <c r="H5474" s="400"/>
      <c r="I5474" s="239"/>
    </row>
    <row r="5475" spans="6:9" x14ac:dyDescent="0.35">
      <c r="F5475" s="33"/>
      <c r="G5475" s="70"/>
      <c r="H5475" s="400"/>
      <c r="I5475" s="239"/>
    </row>
    <row r="5476" spans="6:9" x14ac:dyDescent="0.35">
      <c r="F5476" s="33"/>
      <c r="G5476" s="70"/>
      <c r="H5476" s="400"/>
      <c r="I5476" s="239"/>
    </row>
    <row r="5477" spans="6:9" x14ac:dyDescent="0.35">
      <c r="F5477" s="33"/>
      <c r="G5477" s="70"/>
      <c r="H5477" s="400"/>
      <c r="I5477" s="239"/>
    </row>
    <row r="5478" spans="6:9" x14ac:dyDescent="0.35">
      <c r="F5478" s="33"/>
      <c r="G5478" s="70"/>
      <c r="H5478" s="400"/>
      <c r="I5478" s="239"/>
    </row>
    <row r="5479" spans="6:9" x14ac:dyDescent="0.35">
      <c r="F5479" s="33"/>
      <c r="G5479" s="70"/>
      <c r="H5479" s="400"/>
      <c r="I5479" s="239"/>
    </row>
    <row r="5480" spans="6:9" x14ac:dyDescent="0.35">
      <c r="F5480" s="33"/>
      <c r="G5480" s="70"/>
      <c r="H5480" s="400"/>
      <c r="I5480" s="239"/>
    </row>
    <row r="5481" spans="6:9" x14ac:dyDescent="0.35">
      <c r="F5481" s="33"/>
      <c r="G5481" s="70"/>
      <c r="H5481" s="400"/>
      <c r="I5481" s="239"/>
    </row>
    <row r="5482" spans="6:9" x14ac:dyDescent="0.35">
      <c r="F5482" s="33"/>
      <c r="G5482" s="70"/>
      <c r="H5482" s="400"/>
      <c r="I5482" s="239"/>
    </row>
    <row r="5483" spans="6:9" x14ac:dyDescent="0.35">
      <c r="F5483" s="33"/>
      <c r="G5483" s="70"/>
      <c r="H5483" s="400"/>
      <c r="I5483" s="239"/>
    </row>
    <row r="5484" spans="6:9" x14ac:dyDescent="0.35">
      <c r="F5484" s="33"/>
      <c r="G5484" s="70"/>
      <c r="H5484" s="400"/>
      <c r="I5484" s="239"/>
    </row>
    <row r="5485" spans="6:9" x14ac:dyDescent="0.35">
      <c r="F5485" s="33"/>
      <c r="G5485" s="70"/>
      <c r="H5485" s="400"/>
      <c r="I5485" s="239"/>
    </row>
    <row r="5486" spans="6:9" x14ac:dyDescent="0.35">
      <c r="F5486" s="33"/>
      <c r="G5486" s="70"/>
      <c r="H5486" s="400"/>
      <c r="I5486" s="239"/>
    </row>
    <row r="5487" spans="6:9" x14ac:dyDescent="0.35">
      <c r="F5487" s="33"/>
      <c r="G5487" s="70"/>
      <c r="H5487" s="400"/>
      <c r="I5487" s="239"/>
    </row>
    <row r="5488" spans="6:9" x14ac:dyDescent="0.35">
      <c r="F5488" s="33"/>
      <c r="G5488" s="70"/>
      <c r="H5488" s="400"/>
      <c r="I5488" s="239"/>
    </row>
    <row r="5489" spans="6:9" x14ac:dyDescent="0.35">
      <c r="F5489" s="33"/>
      <c r="G5489" s="70"/>
      <c r="H5489" s="400"/>
      <c r="I5489" s="239"/>
    </row>
    <row r="5490" spans="6:9" x14ac:dyDescent="0.35">
      <c r="F5490" s="33"/>
      <c r="G5490" s="70"/>
      <c r="H5490" s="400"/>
      <c r="I5490" s="239"/>
    </row>
    <row r="5491" spans="6:9" x14ac:dyDescent="0.35">
      <c r="F5491" s="33"/>
      <c r="G5491" s="70"/>
      <c r="H5491" s="400"/>
      <c r="I5491" s="239"/>
    </row>
    <row r="5492" spans="6:9" x14ac:dyDescent="0.35">
      <c r="F5492" s="33"/>
      <c r="G5492" s="70"/>
      <c r="H5492" s="400"/>
      <c r="I5492" s="239"/>
    </row>
    <row r="5493" spans="6:9" x14ac:dyDescent="0.35">
      <c r="F5493" s="33"/>
      <c r="G5493" s="70"/>
      <c r="H5493" s="400"/>
      <c r="I5493" s="239"/>
    </row>
    <row r="5494" spans="6:9" x14ac:dyDescent="0.35">
      <c r="F5494" s="33"/>
      <c r="G5494" s="70"/>
      <c r="H5494" s="400"/>
      <c r="I5494" s="239"/>
    </row>
    <row r="5495" spans="6:9" x14ac:dyDescent="0.35">
      <c r="F5495" s="33"/>
      <c r="G5495" s="70"/>
      <c r="H5495" s="400"/>
      <c r="I5495" s="239"/>
    </row>
    <row r="5496" spans="6:9" x14ac:dyDescent="0.35">
      <c r="F5496" s="33"/>
      <c r="G5496" s="70"/>
      <c r="H5496" s="400"/>
      <c r="I5496" s="239"/>
    </row>
    <row r="5497" spans="6:9" x14ac:dyDescent="0.35">
      <c r="F5497" s="33"/>
      <c r="G5497" s="70"/>
      <c r="H5497" s="400"/>
      <c r="I5497" s="239"/>
    </row>
    <row r="5498" spans="6:9" x14ac:dyDescent="0.35">
      <c r="F5498" s="33"/>
      <c r="G5498" s="70"/>
      <c r="H5498" s="400"/>
      <c r="I5498" s="239"/>
    </row>
    <row r="5499" spans="6:9" x14ac:dyDescent="0.35">
      <c r="F5499" s="33"/>
      <c r="G5499" s="70"/>
      <c r="H5499" s="400"/>
      <c r="I5499" s="239"/>
    </row>
    <row r="5500" spans="6:9" x14ac:dyDescent="0.35">
      <c r="F5500" s="33"/>
      <c r="G5500" s="70"/>
      <c r="H5500" s="400"/>
      <c r="I5500" s="239"/>
    </row>
    <row r="5501" spans="6:9" x14ac:dyDescent="0.35">
      <c r="F5501" s="33"/>
      <c r="G5501" s="70"/>
      <c r="H5501" s="400"/>
      <c r="I5501" s="239"/>
    </row>
    <row r="5502" spans="6:9" x14ac:dyDescent="0.35">
      <c r="F5502" s="33"/>
      <c r="G5502" s="70"/>
      <c r="H5502" s="400"/>
      <c r="I5502" s="239"/>
    </row>
    <row r="5503" spans="6:9" x14ac:dyDescent="0.35">
      <c r="F5503" s="33"/>
      <c r="G5503" s="70"/>
      <c r="H5503" s="400"/>
      <c r="I5503" s="239"/>
    </row>
    <row r="5504" spans="6:9" x14ac:dyDescent="0.35">
      <c r="F5504" s="33"/>
      <c r="G5504" s="70"/>
      <c r="H5504" s="400"/>
      <c r="I5504" s="239"/>
    </row>
    <row r="5505" spans="6:9" x14ac:dyDescent="0.35">
      <c r="F5505" s="33"/>
      <c r="G5505" s="70"/>
      <c r="H5505" s="400"/>
      <c r="I5505" s="239"/>
    </row>
    <row r="5506" spans="6:9" x14ac:dyDescent="0.35">
      <c r="F5506" s="33"/>
      <c r="G5506" s="70"/>
      <c r="H5506" s="400"/>
      <c r="I5506" s="239"/>
    </row>
    <row r="5507" spans="6:9" x14ac:dyDescent="0.35">
      <c r="F5507" s="33"/>
      <c r="G5507" s="70"/>
      <c r="H5507" s="400"/>
      <c r="I5507" s="239"/>
    </row>
    <row r="5508" spans="6:9" x14ac:dyDescent="0.35">
      <c r="F5508" s="33"/>
      <c r="G5508" s="70"/>
      <c r="H5508" s="400"/>
      <c r="I5508" s="239"/>
    </row>
    <row r="5509" spans="6:9" x14ac:dyDescent="0.35">
      <c r="F5509" s="33"/>
      <c r="G5509" s="70"/>
      <c r="H5509" s="400"/>
      <c r="I5509" s="239"/>
    </row>
    <row r="5510" spans="6:9" x14ac:dyDescent="0.35">
      <c r="F5510" s="33"/>
      <c r="G5510" s="70"/>
      <c r="H5510" s="400"/>
      <c r="I5510" s="239"/>
    </row>
    <row r="5511" spans="6:9" x14ac:dyDescent="0.35">
      <c r="F5511" s="33"/>
      <c r="G5511" s="70"/>
      <c r="H5511" s="400"/>
      <c r="I5511" s="239"/>
    </row>
    <row r="5512" spans="6:9" x14ac:dyDescent="0.35">
      <c r="F5512" s="33"/>
      <c r="G5512" s="70"/>
      <c r="H5512" s="400"/>
      <c r="I5512" s="239"/>
    </row>
    <row r="5513" spans="6:9" x14ac:dyDescent="0.35">
      <c r="F5513" s="33"/>
      <c r="G5513" s="70"/>
      <c r="H5513" s="400"/>
      <c r="I5513" s="239"/>
    </row>
    <row r="5514" spans="6:9" x14ac:dyDescent="0.35">
      <c r="F5514" s="33"/>
      <c r="G5514" s="70"/>
      <c r="H5514" s="400"/>
      <c r="I5514" s="239"/>
    </row>
    <row r="5515" spans="6:9" x14ac:dyDescent="0.35">
      <c r="F5515" s="33"/>
      <c r="G5515" s="70"/>
      <c r="H5515" s="400"/>
      <c r="I5515" s="239"/>
    </row>
    <row r="5516" spans="6:9" x14ac:dyDescent="0.35">
      <c r="F5516" s="33"/>
      <c r="G5516" s="70"/>
      <c r="H5516" s="400"/>
      <c r="I5516" s="239"/>
    </row>
    <row r="5517" spans="6:9" x14ac:dyDescent="0.35">
      <c r="F5517" s="33"/>
      <c r="G5517" s="70"/>
      <c r="H5517" s="400"/>
      <c r="I5517" s="239"/>
    </row>
    <row r="5518" spans="6:9" x14ac:dyDescent="0.35">
      <c r="F5518" s="33"/>
      <c r="G5518" s="70"/>
      <c r="H5518" s="400"/>
      <c r="I5518" s="239"/>
    </row>
    <row r="5519" spans="6:9" x14ac:dyDescent="0.35">
      <c r="F5519" s="33"/>
      <c r="G5519" s="70"/>
      <c r="H5519" s="400"/>
      <c r="I5519" s="239"/>
    </row>
    <row r="5520" spans="6:9" x14ac:dyDescent="0.35">
      <c r="F5520" s="33"/>
      <c r="G5520" s="70"/>
      <c r="H5520" s="400"/>
      <c r="I5520" s="239"/>
    </row>
    <row r="5521" spans="6:9" x14ac:dyDescent="0.35">
      <c r="F5521" s="33"/>
      <c r="G5521" s="70"/>
      <c r="H5521" s="400"/>
      <c r="I5521" s="239"/>
    </row>
    <row r="5522" spans="6:9" x14ac:dyDescent="0.35">
      <c r="F5522" s="33"/>
      <c r="G5522" s="70"/>
      <c r="H5522" s="400"/>
      <c r="I5522" s="239"/>
    </row>
    <row r="5523" spans="6:9" x14ac:dyDescent="0.35">
      <c r="F5523" s="33"/>
      <c r="G5523" s="70"/>
      <c r="H5523" s="400"/>
      <c r="I5523" s="239"/>
    </row>
    <row r="5524" spans="6:9" x14ac:dyDescent="0.35">
      <c r="F5524" s="33"/>
      <c r="G5524" s="70"/>
      <c r="H5524" s="400"/>
      <c r="I5524" s="239"/>
    </row>
    <row r="5525" spans="6:9" x14ac:dyDescent="0.35">
      <c r="F5525" s="33"/>
      <c r="G5525" s="70"/>
      <c r="H5525" s="400"/>
      <c r="I5525" s="239"/>
    </row>
    <row r="5526" spans="6:9" x14ac:dyDescent="0.35">
      <c r="F5526" s="33"/>
      <c r="G5526" s="70"/>
      <c r="H5526" s="400"/>
      <c r="I5526" s="239"/>
    </row>
    <row r="5527" spans="6:9" x14ac:dyDescent="0.35">
      <c r="F5527" s="33"/>
      <c r="G5527" s="70"/>
      <c r="H5527" s="400"/>
      <c r="I5527" s="239"/>
    </row>
    <row r="5528" spans="6:9" x14ac:dyDescent="0.35">
      <c r="F5528" s="33"/>
      <c r="G5528" s="70"/>
      <c r="H5528" s="400"/>
      <c r="I5528" s="239"/>
    </row>
    <row r="5529" spans="6:9" x14ac:dyDescent="0.35">
      <c r="F5529" s="33"/>
      <c r="G5529" s="70"/>
      <c r="H5529" s="400"/>
      <c r="I5529" s="239"/>
    </row>
    <row r="5530" spans="6:9" x14ac:dyDescent="0.35">
      <c r="F5530" s="33"/>
      <c r="G5530" s="70"/>
      <c r="H5530" s="400"/>
      <c r="I5530" s="239"/>
    </row>
    <row r="5531" spans="6:9" x14ac:dyDescent="0.35">
      <c r="F5531" s="33"/>
      <c r="G5531" s="70"/>
      <c r="H5531" s="400"/>
      <c r="I5531" s="239"/>
    </row>
    <row r="5532" spans="6:9" x14ac:dyDescent="0.35">
      <c r="F5532" s="33"/>
      <c r="G5532" s="70"/>
      <c r="H5532" s="400"/>
      <c r="I5532" s="239"/>
    </row>
    <row r="5533" spans="6:9" x14ac:dyDescent="0.35">
      <c r="F5533" s="33"/>
      <c r="G5533" s="70"/>
      <c r="H5533" s="400"/>
      <c r="I5533" s="239"/>
    </row>
    <row r="5534" spans="6:9" x14ac:dyDescent="0.35">
      <c r="F5534" s="33"/>
      <c r="G5534" s="70"/>
      <c r="H5534" s="400"/>
      <c r="I5534" s="239"/>
    </row>
    <row r="5535" spans="6:9" x14ac:dyDescent="0.35">
      <c r="F5535" s="33"/>
      <c r="G5535" s="70"/>
      <c r="H5535" s="400"/>
      <c r="I5535" s="239"/>
    </row>
    <row r="5536" spans="6:9" x14ac:dyDescent="0.35">
      <c r="F5536" s="33"/>
      <c r="G5536" s="70"/>
      <c r="H5536" s="400"/>
      <c r="I5536" s="239"/>
    </row>
    <row r="5537" spans="6:9" x14ac:dyDescent="0.35">
      <c r="F5537" s="33"/>
      <c r="G5537" s="70"/>
      <c r="H5537" s="400"/>
      <c r="I5537" s="239"/>
    </row>
    <row r="5538" spans="6:9" x14ac:dyDescent="0.35">
      <c r="F5538" s="33"/>
      <c r="G5538" s="70"/>
      <c r="H5538" s="400"/>
      <c r="I5538" s="239"/>
    </row>
    <row r="5539" spans="6:9" x14ac:dyDescent="0.35">
      <c r="F5539" s="33"/>
      <c r="G5539" s="70"/>
      <c r="H5539" s="400"/>
      <c r="I5539" s="239"/>
    </row>
    <row r="5540" spans="6:9" x14ac:dyDescent="0.35">
      <c r="F5540" s="33"/>
      <c r="G5540" s="70"/>
      <c r="H5540" s="400"/>
      <c r="I5540" s="239"/>
    </row>
    <row r="5541" spans="6:9" x14ac:dyDescent="0.35">
      <c r="F5541" s="33"/>
      <c r="G5541" s="70"/>
      <c r="H5541" s="400"/>
      <c r="I5541" s="239"/>
    </row>
    <row r="5542" spans="6:9" x14ac:dyDescent="0.35">
      <c r="F5542" s="33"/>
      <c r="G5542" s="70"/>
      <c r="H5542" s="400"/>
      <c r="I5542" s="239"/>
    </row>
    <row r="5543" spans="6:9" x14ac:dyDescent="0.35">
      <c r="F5543" s="33"/>
      <c r="G5543" s="70"/>
      <c r="H5543" s="400"/>
      <c r="I5543" s="239"/>
    </row>
    <row r="5544" spans="6:9" x14ac:dyDescent="0.35">
      <c r="F5544" s="33"/>
      <c r="G5544" s="70"/>
      <c r="H5544" s="400"/>
      <c r="I5544" s="239"/>
    </row>
    <row r="5545" spans="6:9" x14ac:dyDescent="0.35">
      <c r="F5545" s="33"/>
      <c r="G5545" s="70"/>
      <c r="H5545" s="400"/>
      <c r="I5545" s="239"/>
    </row>
    <row r="5546" spans="6:9" x14ac:dyDescent="0.35">
      <c r="F5546" s="33"/>
      <c r="G5546" s="70"/>
      <c r="H5546" s="400"/>
      <c r="I5546" s="239"/>
    </row>
    <row r="5547" spans="6:9" x14ac:dyDescent="0.35">
      <c r="F5547" s="33"/>
      <c r="G5547" s="70"/>
      <c r="H5547" s="400"/>
      <c r="I5547" s="239"/>
    </row>
    <row r="5548" spans="6:9" x14ac:dyDescent="0.35">
      <c r="F5548" s="33"/>
      <c r="G5548" s="70"/>
      <c r="H5548" s="400"/>
      <c r="I5548" s="239"/>
    </row>
    <row r="5549" spans="6:9" x14ac:dyDescent="0.35">
      <c r="F5549" s="33"/>
      <c r="G5549" s="70"/>
      <c r="H5549" s="400"/>
      <c r="I5549" s="239"/>
    </row>
    <row r="5550" spans="6:9" x14ac:dyDescent="0.35">
      <c r="F5550" s="33"/>
      <c r="G5550" s="70"/>
      <c r="H5550" s="400"/>
      <c r="I5550" s="239"/>
    </row>
    <row r="5551" spans="6:9" x14ac:dyDescent="0.35">
      <c r="F5551" s="33"/>
      <c r="G5551" s="70"/>
      <c r="H5551" s="400"/>
      <c r="I5551" s="239"/>
    </row>
    <row r="5552" spans="6:9" x14ac:dyDescent="0.35">
      <c r="F5552" s="33"/>
      <c r="G5552" s="70"/>
      <c r="H5552" s="400"/>
      <c r="I5552" s="239"/>
    </row>
    <row r="5553" spans="6:9" x14ac:dyDescent="0.35">
      <c r="F5553" s="33"/>
      <c r="G5553" s="70"/>
      <c r="H5553" s="400"/>
      <c r="I5553" s="239"/>
    </row>
    <row r="5554" spans="6:9" x14ac:dyDescent="0.35">
      <c r="F5554" s="33"/>
      <c r="G5554" s="70"/>
      <c r="H5554" s="400"/>
      <c r="I5554" s="239"/>
    </row>
    <row r="5555" spans="6:9" x14ac:dyDescent="0.35">
      <c r="F5555" s="33"/>
      <c r="G5555" s="70"/>
      <c r="H5555" s="400"/>
      <c r="I5555" s="239"/>
    </row>
    <row r="5556" spans="6:9" x14ac:dyDescent="0.35">
      <c r="F5556" s="33"/>
      <c r="G5556" s="70"/>
      <c r="H5556" s="400"/>
      <c r="I5556" s="239"/>
    </row>
    <row r="5557" spans="6:9" x14ac:dyDescent="0.35">
      <c r="F5557" s="33"/>
      <c r="G5557" s="70"/>
      <c r="H5557" s="400"/>
      <c r="I5557" s="239"/>
    </row>
    <row r="5558" spans="6:9" x14ac:dyDescent="0.35">
      <c r="F5558" s="33"/>
      <c r="G5558" s="70"/>
      <c r="H5558" s="400"/>
      <c r="I5558" s="239"/>
    </row>
    <row r="5559" spans="6:9" x14ac:dyDescent="0.35">
      <c r="F5559" s="33"/>
      <c r="G5559" s="70"/>
      <c r="H5559" s="400"/>
      <c r="I5559" s="239"/>
    </row>
    <row r="5560" spans="6:9" x14ac:dyDescent="0.35">
      <c r="F5560" s="33"/>
      <c r="G5560" s="70"/>
      <c r="H5560" s="400"/>
      <c r="I5560" s="239"/>
    </row>
    <row r="5561" spans="6:9" x14ac:dyDescent="0.35">
      <c r="F5561" s="33"/>
      <c r="G5561" s="70"/>
      <c r="H5561" s="400"/>
      <c r="I5561" s="239"/>
    </row>
    <row r="5562" spans="6:9" x14ac:dyDescent="0.35">
      <c r="F5562" s="33"/>
      <c r="G5562" s="70"/>
      <c r="H5562" s="400"/>
      <c r="I5562" s="239"/>
    </row>
    <row r="5563" spans="6:9" x14ac:dyDescent="0.35">
      <c r="F5563" s="33"/>
      <c r="G5563" s="70"/>
      <c r="H5563" s="400"/>
      <c r="I5563" s="239"/>
    </row>
    <row r="5564" spans="6:9" x14ac:dyDescent="0.35">
      <c r="F5564" s="33"/>
      <c r="G5564" s="70"/>
      <c r="H5564" s="400"/>
      <c r="I5564" s="239"/>
    </row>
    <row r="5565" spans="6:9" x14ac:dyDescent="0.35">
      <c r="F5565" s="33"/>
      <c r="G5565" s="70"/>
      <c r="H5565" s="400"/>
      <c r="I5565" s="239"/>
    </row>
    <row r="5566" spans="6:9" x14ac:dyDescent="0.35">
      <c r="F5566" s="33"/>
      <c r="G5566" s="70"/>
      <c r="H5566" s="400"/>
      <c r="I5566" s="239"/>
    </row>
    <row r="5567" spans="6:9" x14ac:dyDescent="0.35">
      <c r="F5567" s="33"/>
      <c r="G5567" s="70"/>
      <c r="H5567" s="400"/>
      <c r="I5567" s="239"/>
    </row>
    <row r="5568" spans="6:9" x14ac:dyDescent="0.35">
      <c r="F5568" s="33"/>
      <c r="G5568" s="70"/>
      <c r="H5568" s="400"/>
      <c r="I5568" s="239"/>
    </row>
    <row r="5569" spans="6:9" x14ac:dyDescent="0.35">
      <c r="F5569" s="33"/>
      <c r="G5569" s="70"/>
      <c r="H5569" s="400"/>
      <c r="I5569" s="239"/>
    </row>
    <row r="5570" spans="6:9" x14ac:dyDescent="0.35">
      <c r="F5570" s="33"/>
      <c r="G5570" s="70"/>
      <c r="H5570" s="400"/>
      <c r="I5570" s="239"/>
    </row>
    <row r="5571" spans="6:9" x14ac:dyDescent="0.35">
      <c r="F5571" s="33"/>
      <c r="G5571" s="70"/>
      <c r="H5571" s="400"/>
      <c r="I5571" s="239"/>
    </row>
    <row r="5572" spans="6:9" x14ac:dyDescent="0.35">
      <c r="F5572" s="33"/>
      <c r="G5572" s="70"/>
      <c r="H5572" s="400"/>
      <c r="I5572" s="239"/>
    </row>
    <row r="5573" spans="6:9" x14ac:dyDescent="0.35">
      <c r="F5573" s="33"/>
      <c r="G5573" s="70"/>
      <c r="H5573" s="400"/>
      <c r="I5573" s="239"/>
    </row>
    <row r="5574" spans="6:9" x14ac:dyDescent="0.35">
      <c r="F5574" s="33"/>
      <c r="G5574" s="70"/>
      <c r="H5574" s="400"/>
      <c r="I5574" s="239"/>
    </row>
    <row r="5575" spans="6:9" x14ac:dyDescent="0.35">
      <c r="F5575" s="33"/>
      <c r="G5575" s="70"/>
      <c r="H5575" s="400"/>
      <c r="I5575" s="239"/>
    </row>
    <row r="5576" spans="6:9" x14ac:dyDescent="0.35">
      <c r="F5576" s="33"/>
      <c r="G5576" s="70"/>
      <c r="H5576" s="400"/>
      <c r="I5576" s="239"/>
    </row>
    <row r="5577" spans="6:9" x14ac:dyDescent="0.35">
      <c r="F5577" s="33"/>
      <c r="G5577" s="70"/>
      <c r="H5577" s="400"/>
      <c r="I5577" s="239"/>
    </row>
    <row r="5578" spans="6:9" x14ac:dyDescent="0.35">
      <c r="F5578" s="33"/>
      <c r="G5578" s="70"/>
      <c r="H5578" s="400"/>
      <c r="I5578" s="239"/>
    </row>
    <row r="5579" spans="6:9" x14ac:dyDescent="0.35">
      <c r="F5579" s="33"/>
      <c r="G5579" s="70"/>
      <c r="H5579" s="400"/>
      <c r="I5579" s="239"/>
    </row>
    <row r="5580" spans="6:9" x14ac:dyDescent="0.35">
      <c r="F5580" s="33"/>
      <c r="G5580" s="70"/>
      <c r="H5580" s="400"/>
      <c r="I5580" s="239"/>
    </row>
    <row r="5581" spans="6:9" x14ac:dyDescent="0.35">
      <c r="F5581" s="33"/>
      <c r="G5581" s="70"/>
      <c r="H5581" s="400"/>
      <c r="I5581" s="239"/>
    </row>
    <row r="5582" spans="6:9" x14ac:dyDescent="0.35">
      <c r="F5582" s="33"/>
      <c r="G5582" s="70"/>
      <c r="H5582" s="400"/>
      <c r="I5582" s="239"/>
    </row>
    <row r="5583" spans="6:9" x14ac:dyDescent="0.35">
      <c r="F5583" s="33"/>
      <c r="G5583" s="70"/>
      <c r="H5583" s="400"/>
      <c r="I5583" s="239"/>
    </row>
    <row r="5584" spans="6:9" x14ac:dyDescent="0.35">
      <c r="F5584" s="33"/>
      <c r="G5584" s="70"/>
      <c r="H5584" s="400"/>
      <c r="I5584" s="239"/>
    </row>
    <row r="5585" spans="6:9" x14ac:dyDescent="0.35">
      <c r="F5585" s="33"/>
      <c r="G5585" s="70"/>
      <c r="H5585" s="400"/>
      <c r="I5585" s="239"/>
    </row>
    <row r="5586" spans="6:9" x14ac:dyDescent="0.35">
      <c r="F5586" s="33"/>
      <c r="G5586" s="70"/>
      <c r="H5586" s="400"/>
      <c r="I5586" s="239"/>
    </row>
    <row r="5587" spans="6:9" x14ac:dyDescent="0.35">
      <c r="F5587" s="33"/>
      <c r="G5587" s="70"/>
      <c r="H5587" s="400"/>
      <c r="I5587" s="239"/>
    </row>
    <row r="5588" spans="6:9" x14ac:dyDescent="0.35">
      <c r="F5588" s="33"/>
      <c r="G5588" s="70"/>
      <c r="H5588" s="400"/>
      <c r="I5588" s="239"/>
    </row>
    <row r="5589" spans="6:9" x14ac:dyDescent="0.35">
      <c r="F5589" s="33"/>
      <c r="G5589" s="70"/>
      <c r="H5589" s="400"/>
      <c r="I5589" s="239"/>
    </row>
    <row r="5590" spans="6:9" x14ac:dyDescent="0.35">
      <c r="F5590" s="33"/>
      <c r="G5590" s="70"/>
      <c r="H5590" s="400"/>
      <c r="I5590" s="239"/>
    </row>
    <row r="5591" spans="6:9" x14ac:dyDescent="0.35">
      <c r="F5591" s="33"/>
      <c r="G5591" s="70"/>
      <c r="H5591" s="400"/>
      <c r="I5591" s="239"/>
    </row>
    <row r="5592" spans="6:9" x14ac:dyDescent="0.35">
      <c r="F5592" s="33"/>
      <c r="G5592" s="70"/>
      <c r="H5592" s="400"/>
      <c r="I5592" s="239"/>
    </row>
    <row r="5593" spans="6:9" x14ac:dyDescent="0.35">
      <c r="F5593" s="33"/>
      <c r="G5593" s="70"/>
      <c r="H5593" s="400"/>
      <c r="I5593" s="239"/>
    </row>
    <row r="5594" spans="6:9" x14ac:dyDescent="0.35">
      <c r="F5594" s="33"/>
      <c r="G5594" s="70"/>
      <c r="H5594" s="400"/>
      <c r="I5594" s="239"/>
    </row>
    <row r="5595" spans="6:9" x14ac:dyDescent="0.35">
      <c r="F5595" s="33"/>
      <c r="G5595" s="70"/>
      <c r="H5595" s="400"/>
      <c r="I5595" s="239"/>
    </row>
    <row r="5596" spans="6:9" x14ac:dyDescent="0.35">
      <c r="F5596" s="33"/>
      <c r="G5596" s="70"/>
      <c r="H5596" s="400"/>
      <c r="I5596" s="239"/>
    </row>
    <row r="5597" spans="6:9" x14ac:dyDescent="0.35">
      <c r="F5597" s="33"/>
      <c r="G5597" s="70"/>
      <c r="H5597" s="400"/>
      <c r="I5597" s="239"/>
    </row>
    <row r="5598" spans="6:9" x14ac:dyDescent="0.35">
      <c r="F5598" s="33"/>
      <c r="G5598" s="70"/>
      <c r="H5598" s="400"/>
      <c r="I5598" s="239"/>
    </row>
    <row r="5599" spans="6:9" x14ac:dyDescent="0.35">
      <c r="F5599" s="33"/>
      <c r="G5599" s="70"/>
      <c r="H5599" s="400"/>
      <c r="I5599" s="239"/>
    </row>
    <row r="5600" spans="6:9" x14ac:dyDescent="0.35">
      <c r="F5600" s="33"/>
      <c r="G5600" s="70"/>
      <c r="H5600" s="400"/>
      <c r="I5600" s="239"/>
    </row>
    <row r="5601" spans="6:9" x14ac:dyDescent="0.35">
      <c r="F5601" s="33"/>
      <c r="G5601" s="70"/>
      <c r="H5601" s="400"/>
      <c r="I5601" s="239"/>
    </row>
    <row r="5602" spans="6:9" x14ac:dyDescent="0.35">
      <c r="F5602" s="33"/>
      <c r="G5602" s="70"/>
      <c r="H5602" s="400"/>
      <c r="I5602" s="239"/>
    </row>
    <row r="5603" spans="6:9" x14ac:dyDescent="0.35">
      <c r="F5603" s="33"/>
      <c r="G5603" s="70"/>
      <c r="H5603" s="400"/>
      <c r="I5603" s="239"/>
    </row>
    <row r="5604" spans="6:9" x14ac:dyDescent="0.35">
      <c r="F5604" s="33"/>
      <c r="G5604" s="70"/>
      <c r="H5604" s="400"/>
      <c r="I5604" s="239"/>
    </row>
    <row r="5605" spans="6:9" x14ac:dyDescent="0.35">
      <c r="F5605" s="33"/>
      <c r="G5605" s="70"/>
      <c r="H5605" s="400"/>
      <c r="I5605" s="239"/>
    </row>
    <row r="5606" spans="6:9" x14ac:dyDescent="0.35">
      <c r="F5606" s="33"/>
      <c r="G5606" s="70"/>
      <c r="H5606" s="400"/>
      <c r="I5606" s="239"/>
    </row>
    <row r="5607" spans="6:9" x14ac:dyDescent="0.35">
      <c r="F5607" s="33"/>
      <c r="G5607" s="70"/>
      <c r="H5607" s="400"/>
      <c r="I5607" s="239"/>
    </row>
    <row r="5608" spans="6:9" x14ac:dyDescent="0.35">
      <c r="F5608" s="33"/>
      <c r="G5608" s="70"/>
      <c r="H5608" s="400"/>
      <c r="I5608" s="239"/>
    </row>
    <row r="5609" spans="6:9" x14ac:dyDescent="0.35">
      <c r="F5609" s="33"/>
      <c r="G5609" s="70"/>
      <c r="H5609" s="400"/>
      <c r="I5609" s="239"/>
    </row>
    <row r="5610" spans="6:9" x14ac:dyDescent="0.35">
      <c r="F5610" s="33"/>
      <c r="G5610" s="70"/>
      <c r="H5610" s="400"/>
      <c r="I5610" s="239"/>
    </row>
    <row r="5611" spans="6:9" x14ac:dyDescent="0.35">
      <c r="F5611" s="33"/>
      <c r="G5611" s="70"/>
      <c r="H5611" s="400"/>
      <c r="I5611" s="239"/>
    </row>
    <row r="5612" spans="6:9" x14ac:dyDescent="0.35">
      <c r="F5612" s="33"/>
      <c r="G5612" s="70"/>
      <c r="H5612" s="400"/>
      <c r="I5612" s="239"/>
    </row>
    <row r="5613" spans="6:9" x14ac:dyDescent="0.35">
      <c r="F5613" s="33"/>
      <c r="G5613" s="70"/>
      <c r="H5613" s="400"/>
      <c r="I5613" s="239"/>
    </row>
    <row r="5614" spans="6:9" x14ac:dyDescent="0.35">
      <c r="F5614" s="33"/>
      <c r="G5614" s="70"/>
      <c r="H5614" s="400"/>
      <c r="I5614" s="239"/>
    </row>
    <row r="5615" spans="6:9" x14ac:dyDescent="0.35">
      <c r="F5615" s="33"/>
      <c r="G5615" s="70"/>
      <c r="H5615" s="400"/>
      <c r="I5615" s="239"/>
    </row>
    <row r="5616" spans="6:9" x14ac:dyDescent="0.35">
      <c r="F5616" s="33"/>
      <c r="G5616" s="70"/>
      <c r="H5616" s="400"/>
      <c r="I5616" s="239"/>
    </row>
    <row r="5617" spans="6:9" x14ac:dyDescent="0.35">
      <c r="F5617" s="33"/>
      <c r="G5617" s="70"/>
      <c r="H5617" s="400"/>
      <c r="I5617" s="239"/>
    </row>
    <row r="5618" spans="6:9" x14ac:dyDescent="0.35">
      <c r="F5618" s="33"/>
      <c r="G5618" s="70"/>
      <c r="H5618" s="400"/>
      <c r="I5618" s="239"/>
    </row>
    <row r="5619" spans="6:9" x14ac:dyDescent="0.35">
      <c r="F5619" s="33"/>
      <c r="G5619" s="70"/>
      <c r="H5619" s="400"/>
      <c r="I5619" s="239"/>
    </row>
    <row r="5620" spans="6:9" x14ac:dyDescent="0.35">
      <c r="F5620" s="33"/>
      <c r="G5620" s="70"/>
      <c r="H5620" s="400"/>
      <c r="I5620" s="239"/>
    </row>
    <row r="5621" spans="6:9" x14ac:dyDescent="0.35">
      <c r="F5621" s="33"/>
      <c r="G5621" s="70"/>
      <c r="H5621" s="400"/>
      <c r="I5621" s="239"/>
    </row>
    <row r="5622" spans="6:9" x14ac:dyDescent="0.35">
      <c r="F5622" s="33"/>
      <c r="G5622" s="70"/>
      <c r="H5622" s="400"/>
      <c r="I5622" s="239"/>
    </row>
    <row r="5623" spans="6:9" x14ac:dyDescent="0.35">
      <c r="F5623" s="33"/>
      <c r="G5623" s="70"/>
      <c r="H5623" s="400"/>
      <c r="I5623" s="239"/>
    </row>
    <row r="5624" spans="6:9" x14ac:dyDescent="0.35">
      <c r="F5624" s="33"/>
      <c r="G5624" s="70"/>
      <c r="H5624" s="400"/>
      <c r="I5624" s="239"/>
    </row>
    <row r="5625" spans="6:9" x14ac:dyDescent="0.35">
      <c r="F5625" s="33"/>
      <c r="G5625" s="70"/>
      <c r="H5625" s="400"/>
      <c r="I5625" s="239"/>
    </row>
    <row r="5626" spans="6:9" x14ac:dyDescent="0.35">
      <c r="F5626" s="33"/>
      <c r="G5626" s="70"/>
      <c r="H5626" s="400"/>
      <c r="I5626" s="239"/>
    </row>
    <row r="5627" spans="6:9" x14ac:dyDescent="0.35">
      <c r="F5627" s="33"/>
      <c r="G5627" s="70"/>
      <c r="H5627" s="400"/>
      <c r="I5627" s="239"/>
    </row>
    <row r="5628" spans="6:9" x14ac:dyDescent="0.35">
      <c r="F5628" s="33"/>
      <c r="G5628" s="70"/>
      <c r="H5628" s="400"/>
      <c r="I5628" s="239"/>
    </row>
    <row r="5629" spans="6:9" x14ac:dyDescent="0.35">
      <c r="F5629" s="33"/>
      <c r="G5629" s="70"/>
      <c r="H5629" s="400"/>
      <c r="I5629" s="239"/>
    </row>
    <row r="5630" spans="6:9" x14ac:dyDescent="0.35">
      <c r="F5630" s="33"/>
      <c r="G5630" s="70"/>
      <c r="H5630" s="400"/>
      <c r="I5630" s="239"/>
    </row>
    <row r="5631" spans="6:9" x14ac:dyDescent="0.35">
      <c r="F5631" s="33"/>
      <c r="G5631" s="70"/>
      <c r="H5631" s="400"/>
      <c r="I5631" s="239"/>
    </row>
    <row r="5632" spans="6:9" x14ac:dyDescent="0.35">
      <c r="F5632" s="33"/>
      <c r="G5632" s="70"/>
      <c r="H5632" s="400"/>
      <c r="I5632" s="239"/>
    </row>
    <row r="5633" spans="6:9" x14ac:dyDescent="0.35">
      <c r="F5633" s="33"/>
      <c r="G5633" s="70"/>
      <c r="H5633" s="400"/>
      <c r="I5633" s="239"/>
    </row>
    <row r="5634" spans="6:9" x14ac:dyDescent="0.35">
      <c r="F5634" s="33"/>
      <c r="G5634" s="70"/>
      <c r="H5634" s="400"/>
      <c r="I5634" s="239"/>
    </row>
    <row r="5635" spans="6:9" x14ac:dyDescent="0.35">
      <c r="F5635" s="33"/>
      <c r="G5635" s="70"/>
      <c r="H5635" s="400"/>
      <c r="I5635" s="239"/>
    </row>
    <row r="5636" spans="6:9" x14ac:dyDescent="0.35">
      <c r="F5636" s="33"/>
      <c r="G5636" s="70"/>
      <c r="H5636" s="400"/>
      <c r="I5636" s="239"/>
    </row>
    <row r="5637" spans="6:9" x14ac:dyDescent="0.35">
      <c r="F5637" s="33"/>
      <c r="G5637" s="70"/>
      <c r="H5637" s="400"/>
      <c r="I5637" s="239"/>
    </row>
    <row r="5638" spans="6:9" x14ac:dyDescent="0.35">
      <c r="F5638" s="33"/>
      <c r="G5638" s="70"/>
      <c r="H5638" s="400"/>
      <c r="I5638" s="239"/>
    </row>
    <row r="5639" spans="6:9" x14ac:dyDescent="0.35">
      <c r="F5639" s="33"/>
      <c r="G5639" s="70"/>
      <c r="H5639" s="400"/>
      <c r="I5639" s="239"/>
    </row>
    <row r="5640" spans="6:9" x14ac:dyDescent="0.35">
      <c r="F5640" s="33"/>
      <c r="G5640" s="70"/>
      <c r="H5640" s="400"/>
      <c r="I5640" s="239"/>
    </row>
    <row r="5641" spans="6:9" x14ac:dyDescent="0.35">
      <c r="F5641" s="33"/>
      <c r="G5641" s="70"/>
      <c r="H5641" s="400"/>
      <c r="I5641" s="239"/>
    </row>
    <row r="5642" spans="6:9" x14ac:dyDescent="0.35">
      <c r="F5642" s="33"/>
      <c r="G5642" s="70"/>
      <c r="H5642" s="400"/>
      <c r="I5642" s="239"/>
    </row>
    <row r="5643" spans="6:9" x14ac:dyDescent="0.35">
      <c r="F5643" s="33"/>
      <c r="G5643" s="70"/>
      <c r="H5643" s="400"/>
      <c r="I5643" s="239"/>
    </row>
    <row r="5644" spans="6:9" x14ac:dyDescent="0.35">
      <c r="F5644" s="33"/>
      <c r="G5644" s="70"/>
      <c r="H5644" s="400"/>
      <c r="I5644" s="239"/>
    </row>
    <row r="5645" spans="6:9" x14ac:dyDescent="0.35">
      <c r="F5645" s="33"/>
      <c r="G5645" s="70"/>
      <c r="H5645" s="400"/>
      <c r="I5645" s="239"/>
    </row>
    <row r="5646" spans="6:9" x14ac:dyDescent="0.35">
      <c r="F5646" s="33"/>
      <c r="G5646" s="70"/>
      <c r="H5646" s="400"/>
      <c r="I5646" s="239"/>
    </row>
    <row r="5647" spans="6:9" x14ac:dyDescent="0.35">
      <c r="F5647" s="33"/>
      <c r="G5647" s="70"/>
      <c r="H5647" s="400"/>
      <c r="I5647" s="239"/>
    </row>
    <row r="5648" spans="6:9" x14ac:dyDescent="0.35">
      <c r="F5648" s="33"/>
      <c r="G5648" s="70"/>
      <c r="H5648" s="400"/>
      <c r="I5648" s="239"/>
    </row>
    <row r="5649" spans="6:9" x14ac:dyDescent="0.35">
      <c r="F5649" s="33"/>
      <c r="G5649" s="70"/>
      <c r="H5649" s="400"/>
      <c r="I5649" s="239"/>
    </row>
    <row r="5650" spans="6:9" x14ac:dyDescent="0.35">
      <c r="F5650" s="33"/>
      <c r="G5650" s="70"/>
      <c r="H5650" s="400"/>
      <c r="I5650" s="239"/>
    </row>
    <row r="5651" spans="6:9" x14ac:dyDescent="0.35">
      <c r="F5651" s="33"/>
      <c r="G5651" s="70"/>
      <c r="H5651" s="400"/>
      <c r="I5651" s="239"/>
    </row>
    <row r="5652" spans="6:9" x14ac:dyDescent="0.35">
      <c r="F5652" s="33"/>
      <c r="G5652" s="70"/>
      <c r="H5652" s="400"/>
      <c r="I5652" s="239"/>
    </row>
    <row r="5653" spans="6:9" x14ac:dyDescent="0.35">
      <c r="F5653" s="33"/>
      <c r="G5653" s="70"/>
      <c r="H5653" s="400"/>
      <c r="I5653" s="239"/>
    </row>
    <row r="5654" spans="6:9" x14ac:dyDescent="0.35">
      <c r="F5654" s="33"/>
      <c r="G5654" s="70"/>
      <c r="H5654" s="400"/>
      <c r="I5654" s="239"/>
    </row>
    <row r="5655" spans="6:9" x14ac:dyDescent="0.35">
      <c r="F5655" s="33"/>
      <c r="G5655" s="70"/>
      <c r="H5655" s="400"/>
      <c r="I5655" s="239"/>
    </row>
    <row r="5656" spans="6:9" x14ac:dyDescent="0.35">
      <c r="F5656" s="33"/>
      <c r="G5656" s="70"/>
      <c r="H5656" s="400"/>
      <c r="I5656" s="239"/>
    </row>
    <row r="5657" spans="6:9" x14ac:dyDescent="0.35">
      <c r="F5657" s="33"/>
      <c r="G5657" s="70"/>
      <c r="H5657" s="400"/>
      <c r="I5657" s="239"/>
    </row>
    <row r="5658" spans="6:9" x14ac:dyDescent="0.35">
      <c r="F5658" s="33"/>
      <c r="G5658" s="70"/>
      <c r="H5658" s="400"/>
      <c r="I5658" s="239"/>
    </row>
    <row r="5659" spans="6:9" x14ac:dyDescent="0.35">
      <c r="F5659" s="33"/>
      <c r="G5659" s="70"/>
      <c r="H5659" s="400"/>
      <c r="I5659" s="239"/>
    </row>
    <row r="5660" spans="6:9" x14ac:dyDescent="0.35">
      <c r="F5660" s="33"/>
      <c r="G5660" s="70"/>
      <c r="H5660" s="400"/>
      <c r="I5660" s="239"/>
    </row>
    <row r="5661" spans="6:9" x14ac:dyDescent="0.35">
      <c r="F5661" s="33"/>
      <c r="G5661" s="70"/>
      <c r="H5661" s="400"/>
      <c r="I5661" s="239"/>
    </row>
    <row r="5662" spans="6:9" x14ac:dyDescent="0.35">
      <c r="F5662" s="33"/>
      <c r="G5662" s="70"/>
      <c r="H5662" s="400"/>
      <c r="I5662" s="239"/>
    </row>
    <row r="5663" spans="6:9" x14ac:dyDescent="0.35">
      <c r="F5663" s="33"/>
      <c r="G5663" s="70"/>
      <c r="H5663" s="400"/>
      <c r="I5663" s="239"/>
    </row>
    <row r="5664" spans="6:9" x14ac:dyDescent="0.35">
      <c r="F5664" s="33"/>
      <c r="G5664" s="70"/>
      <c r="H5664" s="400"/>
      <c r="I5664" s="239"/>
    </row>
    <row r="5665" spans="6:9" x14ac:dyDescent="0.35">
      <c r="F5665" s="33"/>
      <c r="G5665" s="70"/>
      <c r="H5665" s="400"/>
      <c r="I5665" s="239"/>
    </row>
    <row r="5666" spans="6:9" x14ac:dyDescent="0.35">
      <c r="F5666" s="33"/>
      <c r="G5666" s="70"/>
      <c r="H5666" s="400"/>
      <c r="I5666" s="239"/>
    </row>
    <row r="5667" spans="6:9" x14ac:dyDescent="0.35">
      <c r="F5667" s="33"/>
      <c r="G5667" s="70"/>
      <c r="H5667" s="400"/>
      <c r="I5667" s="239"/>
    </row>
    <row r="5668" spans="6:9" x14ac:dyDescent="0.35">
      <c r="F5668" s="33"/>
      <c r="G5668" s="70"/>
      <c r="H5668" s="400"/>
      <c r="I5668" s="239"/>
    </row>
    <row r="5669" spans="6:9" x14ac:dyDescent="0.35">
      <c r="F5669" s="33"/>
      <c r="G5669" s="70"/>
      <c r="H5669" s="400"/>
      <c r="I5669" s="239"/>
    </row>
    <row r="5670" spans="6:9" x14ac:dyDescent="0.35">
      <c r="F5670" s="33"/>
      <c r="G5670" s="70"/>
      <c r="H5670" s="400"/>
      <c r="I5670" s="239"/>
    </row>
    <row r="5671" spans="6:9" x14ac:dyDescent="0.35">
      <c r="F5671" s="33"/>
      <c r="G5671" s="70"/>
      <c r="H5671" s="400"/>
      <c r="I5671" s="239"/>
    </row>
    <row r="5672" spans="6:9" x14ac:dyDescent="0.35">
      <c r="F5672" s="33"/>
      <c r="G5672" s="70"/>
      <c r="H5672" s="400"/>
      <c r="I5672" s="239"/>
    </row>
    <row r="5673" spans="6:9" x14ac:dyDescent="0.35">
      <c r="F5673" s="33"/>
      <c r="G5673" s="70"/>
      <c r="H5673" s="400"/>
      <c r="I5673" s="239"/>
    </row>
    <row r="5674" spans="6:9" x14ac:dyDescent="0.35">
      <c r="F5674" s="33"/>
      <c r="G5674" s="70"/>
      <c r="H5674" s="400"/>
      <c r="I5674" s="239"/>
    </row>
    <row r="5675" spans="6:9" x14ac:dyDescent="0.35">
      <c r="F5675" s="33"/>
      <c r="G5675" s="70"/>
      <c r="H5675" s="400"/>
      <c r="I5675" s="239"/>
    </row>
    <row r="5676" spans="6:9" x14ac:dyDescent="0.35">
      <c r="F5676" s="33"/>
      <c r="G5676" s="70"/>
      <c r="H5676" s="400"/>
      <c r="I5676" s="239"/>
    </row>
    <row r="5677" spans="6:9" x14ac:dyDescent="0.35">
      <c r="F5677" s="33"/>
      <c r="G5677" s="70"/>
      <c r="H5677" s="400"/>
      <c r="I5677" s="239"/>
    </row>
    <row r="5678" spans="6:9" x14ac:dyDescent="0.35">
      <c r="F5678" s="33"/>
      <c r="G5678" s="70"/>
      <c r="H5678" s="400"/>
      <c r="I5678" s="239"/>
    </row>
    <row r="5679" spans="6:9" x14ac:dyDescent="0.35">
      <c r="F5679" s="33"/>
      <c r="G5679" s="70"/>
      <c r="H5679" s="400"/>
      <c r="I5679" s="239"/>
    </row>
    <row r="5680" spans="6:9" x14ac:dyDescent="0.35">
      <c r="F5680" s="33"/>
      <c r="G5680" s="70"/>
      <c r="H5680" s="400"/>
      <c r="I5680" s="239"/>
    </row>
    <row r="5681" spans="6:9" x14ac:dyDescent="0.35">
      <c r="F5681" s="33"/>
      <c r="G5681" s="70"/>
      <c r="H5681" s="400"/>
      <c r="I5681" s="239"/>
    </row>
    <row r="5682" spans="6:9" x14ac:dyDescent="0.35">
      <c r="F5682" s="33"/>
      <c r="G5682" s="70"/>
      <c r="H5682" s="400"/>
      <c r="I5682" s="239"/>
    </row>
    <row r="5683" spans="6:9" x14ac:dyDescent="0.35">
      <c r="F5683" s="33"/>
      <c r="G5683" s="70"/>
      <c r="H5683" s="400"/>
      <c r="I5683" s="239"/>
    </row>
    <row r="5684" spans="6:9" x14ac:dyDescent="0.35">
      <c r="F5684" s="33"/>
      <c r="G5684" s="70"/>
      <c r="H5684" s="400"/>
      <c r="I5684" s="239"/>
    </row>
    <row r="5685" spans="6:9" x14ac:dyDescent="0.35">
      <c r="F5685" s="33"/>
      <c r="G5685" s="70"/>
      <c r="H5685" s="400"/>
      <c r="I5685" s="239"/>
    </row>
    <row r="5686" spans="6:9" x14ac:dyDescent="0.35">
      <c r="F5686" s="33"/>
      <c r="G5686" s="70"/>
      <c r="H5686" s="400"/>
      <c r="I5686" s="239"/>
    </row>
    <row r="5687" spans="6:9" x14ac:dyDescent="0.35">
      <c r="F5687" s="33"/>
      <c r="G5687" s="70"/>
      <c r="H5687" s="400"/>
      <c r="I5687" s="239"/>
    </row>
    <row r="5688" spans="6:9" x14ac:dyDescent="0.35">
      <c r="F5688" s="33"/>
      <c r="G5688" s="70"/>
      <c r="H5688" s="400"/>
      <c r="I5688" s="239"/>
    </row>
    <row r="5689" spans="6:9" x14ac:dyDescent="0.35">
      <c r="F5689" s="33"/>
      <c r="G5689" s="70"/>
      <c r="H5689" s="400"/>
      <c r="I5689" s="239"/>
    </row>
    <row r="5690" spans="6:9" x14ac:dyDescent="0.35">
      <c r="F5690" s="33"/>
      <c r="G5690" s="70"/>
      <c r="H5690" s="400"/>
      <c r="I5690" s="239"/>
    </row>
    <row r="5691" spans="6:9" x14ac:dyDescent="0.35">
      <c r="F5691" s="33"/>
      <c r="G5691" s="70"/>
      <c r="H5691" s="400"/>
      <c r="I5691" s="239"/>
    </row>
    <row r="5692" spans="6:9" x14ac:dyDescent="0.35">
      <c r="F5692" s="33"/>
      <c r="G5692" s="70"/>
      <c r="H5692" s="400"/>
      <c r="I5692" s="239"/>
    </row>
    <row r="5693" spans="6:9" x14ac:dyDescent="0.35">
      <c r="F5693" s="33"/>
      <c r="G5693" s="70"/>
      <c r="H5693" s="400"/>
      <c r="I5693" s="239"/>
    </row>
    <row r="5694" spans="6:9" x14ac:dyDescent="0.35">
      <c r="F5694" s="33"/>
      <c r="G5694" s="70"/>
      <c r="H5694" s="400"/>
      <c r="I5694" s="239"/>
    </row>
    <row r="5695" spans="6:9" x14ac:dyDescent="0.35">
      <c r="F5695" s="33"/>
      <c r="G5695" s="70"/>
      <c r="H5695" s="400"/>
      <c r="I5695" s="239"/>
    </row>
    <row r="5696" spans="6:9" x14ac:dyDescent="0.35">
      <c r="F5696" s="33"/>
      <c r="G5696" s="70"/>
      <c r="H5696" s="400"/>
      <c r="I5696" s="239"/>
    </row>
    <row r="5697" spans="6:9" x14ac:dyDescent="0.35">
      <c r="F5697" s="33"/>
      <c r="G5697" s="70"/>
      <c r="H5697" s="400"/>
      <c r="I5697" s="239"/>
    </row>
    <row r="5698" spans="6:9" x14ac:dyDescent="0.35">
      <c r="F5698" s="33"/>
      <c r="G5698" s="70"/>
      <c r="H5698" s="400"/>
      <c r="I5698" s="239"/>
    </row>
    <row r="5699" spans="6:9" x14ac:dyDescent="0.35">
      <c r="F5699" s="33"/>
      <c r="G5699" s="70"/>
      <c r="H5699" s="400"/>
      <c r="I5699" s="239"/>
    </row>
    <row r="5700" spans="6:9" x14ac:dyDescent="0.35">
      <c r="F5700" s="33"/>
      <c r="G5700" s="70"/>
      <c r="H5700" s="400"/>
      <c r="I5700" s="239"/>
    </row>
    <row r="5701" spans="6:9" x14ac:dyDescent="0.35">
      <c r="F5701" s="33"/>
      <c r="G5701" s="70"/>
      <c r="H5701" s="400"/>
      <c r="I5701" s="239"/>
    </row>
    <row r="5702" spans="6:9" x14ac:dyDescent="0.35">
      <c r="F5702" s="33"/>
      <c r="G5702" s="70"/>
      <c r="H5702" s="400"/>
      <c r="I5702" s="239"/>
    </row>
    <row r="5703" spans="6:9" x14ac:dyDescent="0.35">
      <c r="F5703" s="33"/>
      <c r="G5703" s="70"/>
      <c r="H5703" s="400"/>
      <c r="I5703" s="239"/>
    </row>
    <row r="5704" spans="6:9" x14ac:dyDescent="0.35">
      <c r="F5704" s="33"/>
      <c r="G5704" s="70"/>
      <c r="H5704" s="400"/>
      <c r="I5704" s="239"/>
    </row>
    <row r="5705" spans="6:9" x14ac:dyDescent="0.35">
      <c r="F5705" s="33"/>
      <c r="G5705" s="70"/>
      <c r="H5705" s="400"/>
      <c r="I5705" s="239"/>
    </row>
    <row r="5706" spans="6:9" x14ac:dyDescent="0.35">
      <c r="F5706" s="33"/>
      <c r="G5706" s="70"/>
      <c r="H5706" s="400"/>
      <c r="I5706" s="239"/>
    </row>
    <row r="5707" spans="6:9" x14ac:dyDescent="0.35">
      <c r="F5707" s="33"/>
      <c r="G5707" s="70"/>
      <c r="H5707" s="400"/>
      <c r="I5707" s="239"/>
    </row>
    <row r="5708" spans="6:9" x14ac:dyDescent="0.35">
      <c r="F5708" s="33"/>
      <c r="G5708" s="70"/>
      <c r="H5708" s="400"/>
      <c r="I5708" s="239"/>
    </row>
    <row r="5709" spans="6:9" x14ac:dyDescent="0.35">
      <c r="F5709" s="33"/>
      <c r="G5709" s="70"/>
      <c r="H5709" s="400"/>
      <c r="I5709" s="239"/>
    </row>
    <row r="5710" spans="6:9" x14ac:dyDescent="0.35">
      <c r="F5710" s="33"/>
      <c r="G5710" s="70"/>
      <c r="H5710" s="400"/>
      <c r="I5710" s="239"/>
    </row>
    <row r="5711" spans="6:9" x14ac:dyDescent="0.35">
      <c r="F5711" s="33"/>
      <c r="G5711" s="70"/>
      <c r="H5711" s="400"/>
      <c r="I5711" s="239"/>
    </row>
    <row r="5712" spans="6:9" x14ac:dyDescent="0.35">
      <c r="F5712" s="33"/>
      <c r="G5712" s="70"/>
      <c r="H5712" s="400"/>
      <c r="I5712" s="239"/>
    </row>
    <row r="5713" spans="6:9" x14ac:dyDescent="0.35">
      <c r="F5713" s="33"/>
      <c r="G5713" s="70"/>
      <c r="H5713" s="400"/>
      <c r="I5713" s="239"/>
    </row>
    <row r="5714" spans="6:9" x14ac:dyDescent="0.35">
      <c r="F5714" s="33"/>
      <c r="G5714" s="70"/>
      <c r="H5714" s="400"/>
      <c r="I5714" s="239"/>
    </row>
    <row r="5715" spans="6:9" x14ac:dyDescent="0.35">
      <c r="F5715" s="33"/>
      <c r="G5715" s="70"/>
      <c r="H5715" s="400"/>
      <c r="I5715" s="239"/>
    </row>
    <row r="5716" spans="6:9" x14ac:dyDescent="0.35">
      <c r="F5716" s="33"/>
      <c r="G5716" s="70"/>
      <c r="H5716" s="400"/>
      <c r="I5716" s="239"/>
    </row>
    <row r="5717" spans="6:9" x14ac:dyDescent="0.35">
      <c r="F5717" s="33"/>
      <c r="G5717" s="70"/>
      <c r="H5717" s="400"/>
      <c r="I5717" s="239"/>
    </row>
    <row r="5718" spans="6:9" x14ac:dyDescent="0.35">
      <c r="F5718" s="33"/>
      <c r="G5718" s="70"/>
      <c r="H5718" s="400"/>
      <c r="I5718" s="239"/>
    </row>
    <row r="5719" spans="6:9" x14ac:dyDescent="0.35">
      <c r="F5719" s="33"/>
      <c r="G5719" s="70"/>
      <c r="H5719" s="400"/>
      <c r="I5719" s="239"/>
    </row>
    <row r="5720" spans="6:9" x14ac:dyDescent="0.35">
      <c r="F5720" s="33"/>
      <c r="G5720" s="70"/>
      <c r="H5720" s="400"/>
      <c r="I5720" s="239"/>
    </row>
    <row r="5721" spans="6:9" x14ac:dyDescent="0.35">
      <c r="F5721" s="33"/>
      <c r="G5721" s="70"/>
      <c r="H5721" s="400"/>
      <c r="I5721" s="239"/>
    </row>
    <row r="5722" spans="6:9" x14ac:dyDescent="0.35">
      <c r="F5722" s="33"/>
      <c r="G5722" s="70"/>
      <c r="H5722" s="400"/>
      <c r="I5722" s="239"/>
    </row>
    <row r="5723" spans="6:9" x14ac:dyDescent="0.35">
      <c r="F5723" s="33"/>
      <c r="G5723" s="70"/>
      <c r="H5723" s="400"/>
      <c r="I5723" s="239"/>
    </row>
    <row r="5724" spans="6:9" x14ac:dyDescent="0.35">
      <c r="F5724" s="33"/>
      <c r="G5724" s="70"/>
      <c r="H5724" s="400"/>
      <c r="I5724" s="239"/>
    </row>
    <row r="5725" spans="6:9" x14ac:dyDescent="0.35">
      <c r="F5725" s="33"/>
      <c r="G5725" s="70"/>
      <c r="H5725" s="400"/>
      <c r="I5725" s="239"/>
    </row>
    <row r="5726" spans="6:9" x14ac:dyDescent="0.35">
      <c r="F5726" s="33"/>
      <c r="G5726" s="70"/>
      <c r="H5726" s="400"/>
      <c r="I5726" s="239"/>
    </row>
    <row r="5727" spans="6:9" x14ac:dyDescent="0.35">
      <c r="F5727" s="33"/>
      <c r="G5727" s="70"/>
      <c r="H5727" s="400"/>
      <c r="I5727" s="239"/>
    </row>
    <row r="5728" spans="6:9" x14ac:dyDescent="0.35">
      <c r="F5728" s="33"/>
      <c r="G5728" s="70"/>
      <c r="H5728" s="400"/>
      <c r="I5728" s="239"/>
    </row>
    <row r="5729" spans="6:9" x14ac:dyDescent="0.35">
      <c r="F5729" s="33"/>
      <c r="G5729" s="70"/>
      <c r="H5729" s="400"/>
      <c r="I5729" s="239"/>
    </row>
    <row r="5730" spans="6:9" x14ac:dyDescent="0.35">
      <c r="F5730" s="33"/>
      <c r="G5730" s="70"/>
      <c r="H5730" s="400"/>
      <c r="I5730" s="239"/>
    </row>
    <row r="5731" spans="6:9" x14ac:dyDescent="0.35">
      <c r="F5731" s="33"/>
      <c r="G5731" s="70"/>
      <c r="H5731" s="400"/>
      <c r="I5731" s="239"/>
    </row>
    <row r="5732" spans="6:9" x14ac:dyDescent="0.35">
      <c r="F5732" s="33"/>
      <c r="G5732" s="70"/>
      <c r="H5732" s="400"/>
      <c r="I5732" s="239"/>
    </row>
    <row r="5733" spans="6:9" x14ac:dyDescent="0.35">
      <c r="F5733" s="33"/>
      <c r="G5733" s="70"/>
      <c r="H5733" s="400"/>
      <c r="I5733" s="239"/>
    </row>
    <row r="5734" spans="6:9" x14ac:dyDescent="0.35">
      <c r="F5734" s="33"/>
      <c r="G5734" s="70"/>
      <c r="H5734" s="400"/>
      <c r="I5734" s="239"/>
    </row>
    <row r="5735" spans="6:9" x14ac:dyDescent="0.35">
      <c r="F5735" s="33"/>
      <c r="G5735" s="70"/>
      <c r="H5735" s="400"/>
      <c r="I5735" s="239"/>
    </row>
    <row r="5736" spans="6:9" x14ac:dyDescent="0.35">
      <c r="F5736" s="33"/>
      <c r="G5736" s="70"/>
      <c r="H5736" s="400"/>
      <c r="I5736" s="239"/>
    </row>
    <row r="5737" spans="6:9" x14ac:dyDescent="0.35">
      <c r="F5737" s="33"/>
      <c r="G5737" s="70"/>
      <c r="H5737" s="400"/>
      <c r="I5737" s="239"/>
    </row>
    <row r="5738" spans="6:9" x14ac:dyDescent="0.35">
      <c r="F5738" s="33"/>
      <c r="G5738" s="70"/>
      <c r="H5738" s="400"/>
      <c r="I5738" s="239"/>
    </row>
    <row r="5739" spans="6:9" x14ac:dyDescent="0.35">
      <c r="F5739" s="33"/>
      <c r="G5739" s="70"/>
      <c r="H5739" s="400"/>
      <c r="I5739" s="239"/>
    </row>
    <row r="5740" spans="6:9" x14ac:dyDescent="0.35">
      <c r="F5740" s="33"/>
      <c r="G5740" s="70"/>
      <c r="H5740" s="400"/>
      <c r="I5740" s="239"/>
    </row>
    <row r="5741" spans="6:9" x14ac:dyDescent="0.35">
      <c r="F5741" s="33"/>
      <c r="G5741" s="70"/>
      <c r="H5741" s="400"/>
      <c r="I5741" s="239"/>
    </row>
    <row r="5742" spans="6:9" x14ac:dyDescent="0.35">
      <c r="F5742" s="33"/>
      <c r="G5742" s="70"/>
      <c r="H5742" s="400"/>
      <c r="I5742" s="239"/>
    </row>
    <row r="5743" spans="6:9" x14ac:dyDescent="0.35">
      <c r="F5743" s="33"/>
      <c r="G5743" s="70"/>
      <c r="H5743" s="400"/>
      <c r="I5743" s="239"/>
    </row>
    <row r="5744" spans="6:9" x14ac:dyDescent="0.35">
      <c r="F5744" s="33"/>
      <c r="G5744" s="70"/>
      <c r="H5744" s="400"/>
      <c r="I5744" s="239"/>
    </row>
    <row r="5745" spans="6:9" x14ac:dyDescent="0.35">
      <c r="F5745" s="33"/>
      <c r="G5745" s="70"/>
      <c r="H5745" s="400"/>
      <c r="I5745" s="239"/>
    </row>
    <row r="5746" spans="6:9" x14ac:dyDescent="0.35">
      <c r="F5746" s="33"/>
      <c r="G5746" s="70"/>
      <c r="H5746" s="400"/>
      <c r="I5746" s="239"/>
    </row>
    <row r="5747" spans="6:9" x14ac:dyDescent="0.35">
      <c r="F5747" s="33"/>
      <c r="G5747" s="70"/>
      <c r="H5747" s="400"/>
      <c r="I5747" s="239"/>
    </row>
    <row r="5748" spans="6:9" x14ac:dyDescent="0.35">
      <c r="F5748" s="33"/>
      <c r="G5748" s="70"/>
      <c r="H5748" s="400"/>
      <c r="I5748" s="239"/>
    </row>
    <row r="5749" spans="6:9" x14ac:dyDescent="0.35">
      <c r="F5749" s="33"/>
      <c r="G5749" s="70"/>
      <c r="H5749" s="400"/>
      <c r="I5749" s="239"/>
    </row>
    <row r="5750" spans="6:9" x14ac:dyDescent="0.35">
      <c r="F5750" s="33"/>
      <c r="G5750" s="70"/>
      <c r="H5750" s="400"/>
      <c r="I5750" s="239"/>
    </row>
    <row r="5751" spans="6:9" x14ac:dyDescent="0.35">
      <c r="F5751" s="33"/>
      <c r="G5751" s="70"/>
      <c r="H5751" s="400"/>
      <c r="I5751" s="239"/>
    </row>
    <row r="5752" spans="6:9" x14ac:dyDescent="0.35">
      <c r="F5752" s="33"/>
      <c r="G5752" s="70"/>
      <c r="H5752" s="400"/>
      <c r="I5752" s="239"/>
    </row>
    <row r="5753" spans="6:9" x14ac:dyDescent="0.35">
      <c r="F5753" s="33"/>
      <c r="G5753" s="70"/>
      <c r="H5753" s="400"/>
      <c r="I5753" s="239"/>
    </row>
    <row r="5754" spans="6:9" x14ac:dyDescent="0.35">
      <c r="F5754" s="33"/>
      <c r="G5754" s="70"/>
      <c r="H5754" s="400"/>
      <c r="I5754" s="239"/>
    </row>
    <row r="5755" spans="6:9" x14ac:dyDescent="0.35">
      <c r="F5755" s="33"/>
      <c r="G5755" s="70"/>
      <c r="H5755" s="400"/>
      <c r="I5755" s="239"/>
    </row>
    <row r="5756" spans="6:9" x14ac:dyDescent="0.35">
      <c r="F5756" s="33"/>
      <c r="G5756" s="70"/>
      <c r="H5756" s="400"/>
      <c r="I5756" s="239"/>
    </row>
    <row r="5757" spans="6:9" x14ac:dyDescent="0.35">
      <c r="F5757" s="33"/>
      <c r="G5757" s="70"/>
      <c r="H5757" s="400"/>
      <c r="I5757" s="239"/>
    </row>
    <row r="5758" spans="6:9" x14ac:dyDescent="0.35">
      <c r="F5758" s="33"/>
      <c r="G5758" s="70"/>
      <c r="H5758" s="400"/>
      <c r="I5758" s="239"/>
    </row>
    <row r="5759" spans="6:9" x14ac:dyDescent="0.35">
      <c r="F5759" s="33"/>
      <c r="G5759" s="70"/>
      <c r="H5759" s="400"/>
      <c r="I5759" s="239"/>
    </row>
    <row r="5760" spans="6:9" x14ac:dyDescent="0.35">
      <c r="F5760" s="33"/>
      <c r="G5760" s="70"/>
      <c r="H5760" s="400"/>
      <c r="I5760" s="239"/>
    </row>
    <row r="5761" spans="6:9" x14ac:dyDescent="0.35">
      <c r="F5761" s="33"/>
      <c r="G5761" s="70"/>
      <c r="H5761" s="400"/>
      <c r="I5761" s="239"/>
    </row>
    <row r="5762" spans="6:9" x14ac:dyDescent="0.35">
      <c r="F5762" s="33"/>
      <c r="G5762" s="70"/>
      <c r="H5762" s="400"/>
      <c r="I5762" s="239"/>
    </row>
    <row r="5763" spans="6:9" x14ac:dyDescent="0.35">
      <c r="F5763" s="33"/>
      <c r="G5763" s="70"/>
      <c r="H5763" s="400"/>
      <c r="I5763" s="239"/>
    </row>
    <row r="5764" spans="6:9" x14ac:dyDescent="0.35">
      <c r="F5764" s="33"/>
      <c r="G5764" s="70"/>
      <c r="H5764" s="400"/>
      <c r="I5764" s="239"/>
    </row>
    <row r="5765" spans="6:9" x14ac:dyDescent="0.35">
      <c r="F5765" s="33"/>
      <c r="G5765" s="70"/>
      <c r="H5765" s="400"/>
      <c r="I5765" s="239"/>
    </row>
    <row r="5766" spans="6:9" x14ac:dyDescent="0.35">
      <c r="F5766" s="33"/>
      <c r="G5766" s="70"/>
      <c r="H5766" s="400"/>
      <c r="I5766" s="239"/>
    </row>
    <row r="5767" spans="6:9" x14ac:dyDescent="0.35">
      <c r="F5767" s="33"/>
      <c r="G5767" s="70"/>
      <c r="H5767" s="400"/>
      <c r="I5767" s="239"/>
    </row>
    <row r="5768" spans="6:9" x14ac:dyDescent="0.35">
      <c r="F5768" s="33"/>
      <c r="G5768" s="70"/>
      <c r="H5768" s="400"/>
      <c r="I5768" s="239"/>
    </row>
    <row r="5769" spans="6:9" x14ac:dyDescent="0.35">
      <c r="F5769" s="33"/>
      <c r="G5769" s="70"/>
      <c r="H5769" s="400"/>
      <c r="I5769" s="239"/>
    </row>
    <row r="5770" spans="6:9" x14ac:dyDescent="0.35">
      <c r="F5770" s="33"/>
      <c r="G5770" s="70"/>
      <c r="H5770" s="400"/>
      <c r="I5770" s="239"/>
    </row>
    <row r="5771" spans="6:9" x14ac:dyDescent="0.35">
      <c r="F5771" s="33"/>
      <c r="G5771" s="70"/>
      <c r="H5771" s="400"/>
      <c r="I5771" s="239"/>
    </row>
    <row r="5772" spans="6:9" x14ac:dyDescent="0.35">
      <c r="F5772" s="33"/>
      <c r="G5772" s="70"/>
      <c r="H5772" s="400"/>
      <c r="I5772" s="239"/>
    </row>
    <row r="5773" spans="6:9" x14ac:dyDescent="0.35">
      <c r="F5773" s="33"/>
      <c r="G5773" s="70"/>
      <c r="H5773" s="400"/>
      <c r="I5773" s="239"/>
    </row>
    <row r="5774" spans="6:9" x14ac:dyDescent="0.35">
      <c r="F5774" s="33"/>
      <c r="G5774" s="70"/>
      <c r="H5774" s="400"/>
      <c r="I5774" s="239"/>
    </row>
    <row r="5775" spans="6:9" x14ac:dyDescent="0.35">
      <c r="F5775" s="33"/>
      <c r="G5775" s="70"/>
      <c r="H5775" s="400"/>
      <c r="I5775" s="239"/>
    </row>
    <row r="5776" spans="6:9" x14ac:dyDescent="0.35">
      <c r="F5776" s="33"/>
      <c r="G5776" s="70"/>
      <c r="H5776" s="400"/>
      <c r="I5776" s="239"/>
    </row>
    <row r="5777" spans="6:9" x14ac:dyDescent="0.35">
      <c r="F5777" s="33"/>
      <c r="G5777" s="70"/>
      <c r="H5777" s="400"/>
      <c r="I5777" s="239"/>
    </row>
    <row r="5778" spans="6:9" x14ac:dyDescent="0.35">
      <c r="F5778" s="33"/>
      <c r="G5778" s="70"/>
      <c r="H5778" s="400"/>
      <c r="I5778" s="239"/>
    </row>
    <row r="5779" spans="6:9" x14ac:dyDescent="0.35">
      <c r="F5779" s="33"/>
      <c r="G5779" s="70"/>
      <c r="H5779" s="400"/>
      <c r="I5779" s="239"/>
    </row>
    <row r="5780" spans="6:9" x14ac:dyDescent="0.35">
      <c r="F5780" s="33"/>
      <c r="G5780" s="70"/>
      <c r="H5780" s="400"/>
      <c r="I5780" s="239"/>
    </row>
    <row r="5781" spans="6:9" x14ac:dyDescent="0.35">
      <c r="F5781" s="33"/>
      <c r="G5781" s="70"/>
      <c r="H5781" s="400"/>
      <c r="I5781" s="239"/>
    </row>
    <row r="5782" spans="6:9" x14ac:dyDescent="0.35">
      <c r="F5782" s="33"/>
      <c r="G5782" s="70"/>
      <c r="H5782" s="400"/>
      <c r="I5782" s="239"/>
    </row>
    <row r="5783" spans="6:9" x14ac:dyDescent="0.35">
      <c r="F5783" s="33"/>
      <c r="G5783" s="70"/>
      <c r="H5783" s="400"/>
      <c r="I5783" s="239"/>
    </row>
    <row r="5784" spans="6:9" x14ac:dyDescent="0.35">
      <c r="F5784" s="33"/>
      <c r="G5784" s="70"/>
      <c r="H5784" s="400"/>
      <c r="I5784" s="239"/>
    </row>
    <row r="5785" spans="6:9" x14ac:dyDescent="0.35">
      <c r="F5785" s="33"/>
      <c r="G5785" s="70"/>
      <c r="H5785" s="400"/>
      <c r="I5785" s="239"/>
    </row>
    <row r="5786" spans="6:9" x14ac:dyDescent="0.35">
      <c r="F5786" s="33"/>
      <c r="G5786" s="70"/>
      <c r="H5786" s="400"/>
      <c r="I5786" s="239"/>
    </row>
    <row r="5787" spans="6:9" x14ac:dyDescent="0.35">
      <c r="F5787" s="33"/>
      <c r="G5787" s="70"/>
      <c r="H5787" s="400"/>
      <c r="I5787" s="239"/>
    </row>
    <row r="5788" spans="6:9" x14ac:dyDescent="0.35">
      <c r="F5788" s="33"/>
      <c r="G5788" s="70"/>
      <c r="H5788" s="400"/>
      <c r="I5788" s="239"/>
    </row>
    <row r="5789" spans="6:9" x14ac:dyDescent="0.35">
      <c r="F5789" s="33"/>
      <c r="G5789" s="70"/>
      <c r="H5789" s="400"/>
      <c r="I5789" s="239"/>
    </row>
    <row r="5790" spans="6:9" x14ac:dyDescent="0.35">
      <c r="F5790" s="33"/>
      <c r="G5790" s="70"/>
      <c r="H5790" s="400"/>
      <c r="I5790" s="239"/>
    </row>
    <row r="5791" spans="6:9" x14ac:dyDescent="0.35">
      <c r="F5791" s="33"/>
      <c r="G5791" s="70"/>
      <c r="H5791" s="400"/>
      <c r="I5791" s="239"/>
    </row>
    <row r="5792" spans="6:9" x14ac:dyDescent="0.35">
      <c r="F5792" s="33"/>
      <c r="G5792" s="70"/>
      <c r="H5792" s="400"/>
      <c r="I5792" s="239"/>
    </row>
    <row r="5793" spans="6:9" x14ac:dyDescent="0.35">
      <c r="F5793" s="33"/>
      <c r="G5793" s="70"/>
      <c r="H5793" s="400"/>
      <c r="I5793" s="239"/>
    </row>
    <row r="5794" spans="6:9" x14ac:dyDescent="0.35">
      <c r="F5794" s="33"/>
      <c r="G5794" s="70"/>
      <c r="H5794" s="400"/>
      <c r="I5794" s="239"/>
    </row>
    <row r="5795" spans="6:9" x14ac:dyDescent="0.35">
      <c r="F5795" s="33"/>
      <c r="G5795" s="70"/>
      <c r="H5795" s="400"/>
      <c r="I5795" s="239"/>
    </row>
    <row r="5796" spans="6:9" x14ac:dyDescent="0.35">
      <c r="F5796" s="33"/>
      <c r="G5796" s="70"/>
      <c r="H5796" s="400"/>
      <c r="I5796" s="239"/>
    </row>
    <row r="5797" spans="6:9" x14ac:dyDescent="0.35">
      <c r="F5797" s="33"/>
      <c r="G5797" s="70"/>
      <c r="H5797" s="400"/>
      <c r="I5797" s="239"/>
    </row>
    <row r="5798" spans="6:9" x14ac:dyDescent="0.35">
      <c r="F5798" s="33"/>
      <c r="G5798" s="70"/>
      <c r="H5798" s="400"/>
      <c r="I5798" s="239"/>
    </row>
    <row r="5799" spans="6:9" x14ac:dyDescent="0.35">
      <c r="F5799" s="33"/>
      <c r="G5799" s="70"/>
      <c r="H5799" s="400"/>
      <c r="I5799" s="239"/>
    </row>
    <row r="5800" spans="6:9" x14ac:dyDescent="0.35">
      <c r="F5800" s="33"/>
      <c r="G5800" s="70"/>
      <c r="H5800" s="400"/>
      <c r="I5800" s="239"/>
    </row>
    <row r="5801" spans="6:9" x14ac:dyDescent="0.35">
      <c r="F5801" s="33"/>
      <c r="G5801" s="70"/>
      <c r="H5801" s="400"/>
      <c r="I5801" s="239"/>
    </row>
    <row r="5802" spans="6:9" x14ac:dyDescent="0.35">
      <c r="F5802" s="33"/>
      <c r="G5802" s="70"/>
      <c r="H5802" s="400"/>
      <c r="I5802" s="239"/>
    </row>
    <row r="5803" spans="6:9" x14ac:dyDescent="0.35">
      <c r="F5803" s="33"/>
      <c r="G5803" s="70"/>
      <c r="H5803" s="400"/>
      <c r="I5803" s="239"/>
    </row>
    <row r="5804" spans="6:9" x14ac:dyDescent="0.35">
      <c r="F5804" s="33"/>
      <c r="G5804" s="70"/>
      <c r="H5804" s="400"/>
      <c r="I5804" s="239"/>
    </row>
    <row r="5805" spans="6:9" x14ac:dyDescent="0.35">
      <c r="F5805" s="33"/>
      <c r="G5805" s="70"/>
      <c r="H5805" s="400"/>
      <c r="I5805" s="239"/>
    </row>
    <row r="5806" spans="6:9" x14ac:dyDescent="0.35">
      <c r="F5806" s="33"/>
      <c r="G5806" s="70"/>
      <c r="H5806" s="400"/>
      <c r="I5806" s="239"/>
    </row>
    <row r="5807" spans="6:9" x14ac:dyDescent="0.35">
      <c r="F5807" s="33"/>
      <c r="G5807" s="70"/>
      <c r="H5807" s="400"/>
      <c r="I5807" s="239"/>
    </row>
    <row r="5808" spans="6:9" x14ac:dyDescent="0.35">
      <c r="F5808" s="33"/>
      <c r="G5808" s="70"/>
      <c r="H5808" s="400"/>
      <c r="I5808" s="239"/>
    </row>
    <row r="5809" spans="6:9" x14ac:dyDescent="0.35">
      <c r="F5809" s="33"/>
      <c r="G5809" s="70"/>
      <c r="H5809" s="400"/>
      <c r="I5809" s="239"/>
    </row>
    <row r="5810" spans="6:9" x14ac:dyDescent="0.35">
      <c r="F5810" s="33"/>
      <c r="G5810" s="70"/>
      <c r="H5810" s="400"/>
      <c r="I5810" s="239"/>
    </row>
    <row r="5811" spans="6:9" x14ac:dyDescent="0.35">
      <c r="F5811" s="33"/>
      <c r="G5811" s="70"/>
      <c r="H5811" s="400"/>
      <c r="I5811" s="239"/>
    </row>
    <row r="5812" spans="6:9" x14ac:dyDescent="0.35">
      <c r="F5812" s="33"/>
      <c r="G5812" s="70"/>
      <c r="H5812" s="400"/>
      <c r="I5812" s="239"/>
    </row>
    <row r="5813" spans="6:9" x14ac:dyDescent="0.35">
      <c r="F5813" s="33"/>
      <c r="G5813" s="70"/>
      <c r="H5813" s="400"/>
      <c r="I5813" s="239"/>
    </row>
    <row r="5814" spans="6:9" x14ac:dyDescent="0.35">
      <c r="F5814" s="33"/>
      <c r="G5814" s="70"/>
      <c r="H5814" s="400"/>
      <c r="I5814" s="239"/>
    </row>
    <row r="5815" spans="6:9" x14ac:dyDescent="0.35">
      <c r="F5815" s="33"/>
      <c r="G5815" s="70"/>
      <c r="H5815" s="400"/>
      <c r="I5815" s="239"/>
    </row>
    <row r="5816" spans="6:9" x14ac:dyDescent="0.35">
      <c r="F5816" s="33"/>
      <c r="G5816" s="70"/>
      <c r="H5816" s="400"/>
      <c r="I5816" s="239"/>
    </row>
    <row r="5817" spans="6:9" x14ac:dyDescent="0.35">
      <c r="F5817" s="33"/>
      <c r="G5817" s="70"/>
      <c r="H5817" s="400"/>
      <c r="I5817" s="239"/>
    </row>
    <row r="5818" spans="6:9" x14ac:dyDescent="0.35">
      <c r="F5818" s="33"/>
      <c r="G5818" s="70"/>
      <c r="H5818" s="400"/>
      <c r="I5818" s="239"/>
    </row>
    <row r="5819" spans="6:9" x14ac:dyDescent="0.35">
      <c r="F5819" s="33"/>
      <c r="G5819" s="70"/>
      <c r="H5819" s="400"/>
      <c r="I5819" s="239"/>
    </row>
    <row r="5820" spans="6:9" x14ac:dyDescent="0.35">
      <c r="F5820" s="33"/>
      <c r="G5820" s="70"/>
      <c r="H5820" s="400"/>
      <c r="I5820" s="239"/>
    </row>
    <row r="5821" spans="6:9" x14ac:dyDescent="0.35">
      <c r="F5821" s="33"/>
      <c r="G5821" s="70"/>
      <c r="H5821" s="400"/>
      <c r="I5821" s="239"/>
    </row>
    <row r="5822" spans="6:9" x14ac:dyDescent="0.35">
      <c r="F5822" s="33"/>
      <c r="G5822" s="70"/>
      <c r="H5822" s="400"/>
      <c r="I5822" s="239"/>
    </row>
    <row r="5823" spans="6:9" x14ac:dyDescent="0.35">
      <c r="F5823" s="33"/>
      <c r="G5823" s="70"/>
      <c r="H5823" s="400"/>
      <c r="I5823" s="239"/>
    </row>
    <row r="5824" spans="6:9" x14ac:dyDescent="0.35">
      <c r="F5824" s="33"/>
      <c r="G5824" s="70"/>
      <c r="H5824" s="400"/>
      <c r="I5824" s="239"/>
    </row>
    <row r="5825" spans="6:9" x14ac:dyDescent="0.35">
      <c r="F5825" s="33"/>
      <c r="G5825" s="70"/>
      <c r="H5825" s="400"/>
      <c r="I5825" s="239"/>
    </row>
    <row r="5826" spans="6:9" x14ac:dyDescent="0.35">
      <c r="F5826" s="33"/>
      <c r="G5826" s="70"/>
      <c r="H5826" s="400"/>
      <c r="I5826" s="239"/>
    </row>
    <row r="5827" spans="6:9" x14ac:dyDescent="0.35">
      <c r="F5827" s="33"/>
      <c r="G5827" s="70"/>
      <c r="H5827" s="400"/>
      <c r="I5827" s="239"/>
    </row>
    <row r="5828" spans="6:9" x14ac:dyDescent="0.35">
      <c r="F5828" s="33"/>
      <c r="G5828" s="70"/>
      <c r="H5828" s="400"/>
      <c r="I5828" s="239"/>
    </row>
    <row r="5829" spans="6:9" x14ac:dyDescent="0.35">
      <c r="F5829" s="33"/>
      <c r="G5829" s="70"/>
      <c r="H5829" s="400"/>
      <c r="I5829" s="239"/>
    </row>
    <row r="5830" spans="6:9" x14ac:dyDescent="0.35">
      <c r="F5830" s="33"/>
      <c r="G5830" s="70"/>
      <c r="H5830" s="400"/>
      <c r="I5830" s="239"/>
    </row>
    <row r="5831" spans="6:9" x14ac:dyDescent="0.35">
      <c r="F5831" s="33"/>
      <c r="G5831" s="70"/>
      <c r="H5831" s="400"/>
      <c r="I5831" s="239"/>
    </row>
    <row r="5832" spans="6:9" x14ac:dyDescent="0.35">
      <c r="F5832" s="33"/>
      <c r="G5832" s="70"/>
      <c r="H5832" s="400"/>
      <c r="I5832" s="239"/>
    </row>
    <row r="5833" spans="6:9" x14ac:dyDescent="0.35">
      <c r="F5833" s="33"/>
      <c r="G5833" s="70"/>
      <c r="H5833" s="400"/>
      <c r="I5833" s="239"/>
    </row>
    <row r="5834" spans="6:9" x14ac:dyDescent="0.35">
      <c r="F5834" s="33"/>
      <c r="G5834" s="70"/>
      <c r="H5834" s="400"/>
      <c r="I5834" s="239"/>
    </row>
    <row r="5835" spans="6:9" x14ac:dyDescent="0.35">
      <c r="F5835" s="33"/>
      <c r="G5835" s="70"/>
      <c r="H5835" s="400"/>
      <c r="I5835" s="239"/>
    </row>
    <row r="5836" spans="6:9" x14ac:dyDescent="0.35">
      <c r="F5836" s="33"/>
      <c r="G5836" s="70"/>
      <c r="H5836" s="400"/>
      <c r="I5836" s="239"/>
    </row>
    <row r="5837" spans="6:9" x14ac:dyDescent="0.35">
      <c r="F5837" s="33"/>
      <c r="G5837" s="70"/>
      <c r="H5837" s="400"/>
      <c r="I5837" s="239"/>
    </row>
    <row r="5838" spans="6:9" x14ac:dyDescent="0.35">
      <c r="F5838" s="33"/>
      <c r="G5838" s="70"/>
      <c r="H5838" s="400"/>
      <c r="I5838" s="239"/>
    </row>
    <row r="5839" spans="6:9" x14ac:dyDescent="0.35">
      <c r="F5839" s="33"/>
      <c r="G5839" s="70"/>
      <c r="H5839" s="400"/>
      <c r="I5839" s="239"/>
    </row>
    <row r="5840" spans="6:9" x14ac:dyDescent="0.35">
      <c r="F5840" s="33"/>
      <c r="G5840" s="70"/>
      <c r="H5840" s="400"/>
      <c r="I5840" s="239"/>
    </row>
    <row r="5841" spans="6:9" x14ac:dyDescent="0.35">
      <c r="F5841" s="33"/>
      <c r="G5841" s="70"/>
      <c r="H5841" s="400"/>
      <c r="I5841" s="239"/>
    </row>
    <row r="5842" spans="6:9" x14ac:dyDescent="0.35">
      <c r="F5842" s="33"/>
      <c r="G5842" s="70"/>
      <c r="H5842" s="400"/>
      <c r="I5842" s="239"/>
    </row>
    <row r="5843" spans="6:9" x14ac:dyDescent="0.35">
      <c r="F5843" s="33"/>
      <c r="G5843" s="70"/>
      <c r="H5843" s="400"/>
      <c r="I5843" s="239"/>
    </row>
    <row r="5844" spans="6:9" x14ac:dyDescent="0.35">
      <c r="F5844" s="33"/>
      <c r="G5844" s="70"/>
      <c r="H5844" s="400"/>
      <c r="I5844" s="239"/>
    </row>
    <row r="5845" spans="6:9" x14ac:dyDescent="0.35">
      <c r="F5845" s="33"/>
      <c r="G5845" s="70"/>
      <c r="H5845" s="400"/>
      <c r="I5845" s="239"/>
    </row>
    <row r="5846" spans="6:9" x14ac:dyDescent="0.35">
      <c r="F5846" s="33"/>
      <c r="G5846" s="70"/>
      <c r="H5846" s="400"/>
      <c r="I5846" s="239"/>
    </row>
    <row r="5847" spans="6:9" x14ac:dyDescent="0.35">
      <c r="F5847" s="33"/>
      <c r="G5847" s="70"/>
      <c r="H5847" s="400"/>
      <c r="I5847" s="239"/>
    </row>
    <row r="5848" spans="6:9" x14ac:dyDescent="0.35">
      <c r="F5848" s="33"/>
      <c r="G5848" s="70"/>
      <c r="H5848" s="400"/>
      <c r="I5848" s="239"/>
    </row>
    <row r="5849" spans="6:9" x14ac:dyDescent="0.35">
      <c r="F5849" s="33"/>
      <c r="G5849" s="70"/>
      <c r="H5849" s="400"/>
      <c r="I5849" s="239"/>
    </row>
    <row r="5850" spans="6:9" x14ac:dyDescent="0.35">
      <c r="F5850" s="33"/>
      <c r="G5850" s="70"/>
      <c r="H5850" s="400"/>
      <c r="I5850" s="239"/>
    </row>
    <row r="5851" spans="6:9" x14ac:dyDescent="0.35">
      <c r="F5851" s="33"/>
      <c r="G5851" s="70"/>
      <c r="H5851" s="400"/>
      <c r="I5851" s="239"/>
    </row>
    <row r="5852" spans="6:9" x14ac:dyDescent="0.35">
      <c r="F5852" s="33"/>
      <c r="G5852" s="70"/>
      <c r="H5852" s="400"/>
      <c r="I5852" s="239"/>
    </row>
    <row r="5853" spans="6:9" x14ac:dyDescent="0.35">
      <c r="F5853" s="33"/>
      <c r="G5853" s="70"/>
      <c r="H5853" s="400"/>
      <c r="I5853" s="239"/>
    </row>
    <row r="5854" spans="6:9" x14ac:dyDescent="0.35">
      <c r="F5854" s="33"/>
      <c r="G5854" s="70"/>
      <c r="H5854" s="400"/>
      <c r="I5854" s="239"/>
    </row>
    <row r="5855" spans="6:9" x14ac:dyDescent="0.35">
      <c r="F5855" s="33"/>
      <c r="G5855" s="70"/>
      <c r="H5855" s="400"/>
      <c r="I5855" s="239"/>
    </row>
    <row r="5856" spans="6:9" x14ac:dyDescent="0.35">
      <c r="F5856" s="33"/>
      <c r="G5856" s="70"/>
      <c r="H5856" s="400"/>
      <c r="I5856" s="239"/>
    </row>
    <row r="5857" spans="6:9" x14ac:dyDescent="0.35">
      <c r="F5857" s="33"/>
      <c r="G5857" s="70"/>
      <c r="H5857" s="400"/>
      <c r="I5857" s="239"/>
    </row>
    <row r="5858" spans="6:9" x14ac:dyDescent="0.35">
      <c r="F5858" s="33"/>
      <c r="G5858" s="70"/>
      <c r="H5858" s="400"/>
      <c r="I5858" s="239"/>
    </row>
    <row r="5859" spans="6:9" x14ac:dyDescent="0.35">
      <c r="F5859" s="33"/>
      <c r="G5859" s="70"/>
      <c r="H5859" s="400"/>
      <c r="I5859" s="239"/>
    </row>
    <row r="5860" spans="6:9" x14ac:dyDescent="0.35">
      <c r="F5860" s="33"/>
      <c r="G5860" s="70"/>
      <c r="H5860" s="400"/>
      <c r="I5860" s="239"/>
    </row>
    <row r="5861" spans="6:9" x14ac:dyDescent="0.35">
      <c r="F5861" s="33"/>
      <c r="G5861" s="70"/>
      <c r="H5861" s="400"/>
      <c r="I5861" s="239"/>
    </row>
    <row r="5862" spans="6:9" x14ac:dyDescent="0.35">
      <c r="F5862" s="33"/>
      <c r="G5862" s="70"/>
      <c r="H5862" s="400"/>
      <c r="I5862" s="239"/>
    </row>
    <row r="5863" spans="6:9" x14ac:dyDescent="0.35">
      <c r="F5863" s="33"/>
      <c r="G5863" s="70"/>
      <c r="H5863" s="400"/>
      <c r="I5863" s="239"/>
    </row>
    <row r="5864" spans="6:9" x14ac:dyDescent="0.35">
      <c r="F5864" s="33"/>
      <c r="G5864" s="70"/>
      <c r="H5864" s="400"/>
      <c r="I5864" s="239"/>
    </row>
    <row r="5865" spans="6:9" x14ac:dyDescent="0.35">
      <c r="F5865" s="33"/>
      <c r="G5865" s="70"/>
      <c r="H5865" s="400"/>
      <c r="I5865" s="239"/>
    </row>
    <row r="5866" spans="6:9" x14ac:dyDescent="0.35">
      <c r="F5866" s="33"/>
      <c r="G5866" s="70"/>
      <c r="H5866" s="400"/>
      <c r="I5866" s="239"/>
    </row>
    <row r="5867" spans="6:9" x14ac:dyDescent="0.35">
      <c r="F5867" s="33"/>
      <c r="G5867" s="70"/>
      <c r="H5867" s="400"/>
      <c r="I5867" s="239"/>
    </row>
    <row r="5868" spans="6:9" x14ac:dyDescent="0.35">
      <c r="F5868" s="33"/>
      <c r="G5868" s="70"/>
      <c r="H5868" s="400"/>
      <c r="I5868" s="239"/>
    </row>
    <row r="5869" spans="6:9" x14ac:dyDescent="0.35">
      <c r="F5869" s="33"/>
      <c r="G5869" s="70"/>
      <c r="H5869" s="400"/>
      <c r="I5869" s="239"/>
    </row>
    <row r="5870" spans="6:9" x14ac:dyDescent="0.35">
      <c r="F5870" s="33"/>
      <c r="G5870" s="70"/>
      <c r="H5870" s="400"/>
      <c r="I5870" s="239"/>
    </row>
    <row r="5871" spans="6:9" x14ac:dyDescent="0.35">
      <c r="F5871" s="33"/>
      <c r="G5871" s="70"/>
      <c r="H5871" s="400"/>
      <c r="I5871" s="239"/>
    </row>
    <row r="5872" spans="6:9" x14ac:dyDescent="0.35">
      <c r="F5872" s="33"/>
      <c r="G5872" s="70"/>
      <c r="H5872" s="400"/>
      <c r="I5872" s="239"/>
    </row>
    <row r="5873" spans="6:9" x14ac:dyDescent="0.35">
      <c r="F5873" s="33"/>
      <c r="G5873" s="70"/>
      <c r="H5873" s="400"/>
      <c r="I5873" s="239"/>
    </row>
    <row r="5874" spans="6:9" x14ac:dyDescent="0.35">
      <c r="F5874" s="33"/>
      <c r="G5874" s="70"/>
      <c r="H5874" s="400"/>
      <c r="I5874" s="239"/>
    </row>
    <row r="5875" spans="6:9" x14ac:dyDescent="0.35">
      <c r="F5875" s="33"/>
      <c r="G5875" s="70"/>
      <c r="H5875" s="400"/>
      <c r="I5875" s="239"/>
    </row>
    <row r="5876" spans="6:9" x14ac:dyDescent="0.35">
      <c r="F5876" s="33"/>
      <c r="G5876" s="70"/>
      <c r="H5876" s="400"/>
      <c r="I5876" s="239"/>
    </row>
    <row r="5877" spans="6:9" x14ac:dyDescent="0.35">
      <c r="F5877" s="33"/>
      <c r="G5877" s="70"/>
      <c r="H5877" s="400"/>
      <c r="I5877" s="239"/>
    </row>
    <row r="5878" spans="6:9" x14ac:dyDescent="0.35">
      <c r="F5878" s="33"/>
      <c r="G5878" s="70"/>
      <c r="H5878" s="400"/>
      <c r="I5878" s="239"/>
    </row>
    <row r="5879" spans="6:9" x14ac:dyDescent="0.35">
      <c r="F5879" s="33"/>
      <c r="G5879" s="70"/>
      <c r="H5879" s="400"/>
      <c r="I5879" s="239"/>
    </row>
    <row r="5880" spans="6:9" x14ac:dyDescent="0.35">
      <c r="F5880" s="33"/>
      <c r="G5880" s="70"/>
      <c r="H5880" s="400"/>
      <c r="I5880" s="239"/>
    </row>
    <row r="5881" spans="6:9" x14ac:dyDescent="0.35">
      <c r="F5881" s="33"/>
      <c r="G5881" s="70"/>
      <c r="H5881" s="400"/>
      <c r="I5881" s="239"/>
    </row>
    <row r="5882" spans="6:9" x14ac:dyDescent="0.35">
      <c r="F5882" s="33"/>
      <c r="G5882" s="70"/>
      <c r="H5882" s="400"/>
      <c r="I5882" s="239"/>
    </row>
    <row r="5883" spans="6:9" x14ac:dyDescent="0.35">
      <c r="F5883" s="33"/>
      <c r="G5883" s="70"/>
      <c r="H5883" s="400"/>
      <c r="I5883" s="239"/>
    </row>
    <row r="5884" spans="6:9" x14ac:dyDescent="0.35">
      <c r="F5884" s="33"/>
      <c r="G5884" s="70"/>
      <c r="H5884" s="400"/>
      <c r="I5884" s="239"/>
    </row>
    <row r="5885" spans="6:9" x14ac:dyDescent="0.35">
      <c r="F5885" s="33"/>
      <c r="G5885" s="70"/>
      <c r="H5885" s="400"/>
      <c r="I5885" s="239"/>
    </row>
    <row r="5886" spans="6:9" x14ac:dyDescent="0.35">
      <c r="F5886" s="33"/>
      <c r="G5886" s="70"/>
      <c r="H5886" s="400"/>
      <c r="I5886" s="239"/>
    </row>
    <row r="5887" spans="6:9" x14ac:dyDescent="0.35">
      <c r="F5887" s="33"/>
      <c r="G5887" s="70"/>
      <c r="H5887" s="400"/>
      <c r="I5887" s="239"/>
    </row>
    <row r="5888" spans="6:9" x14ac:dyDescent="0.35">
      <c r="F5888" s="33"/>
      <c r="G5888" s="70"/>
      <c r="H5888" s="400"/>
      <c r="I5888" s="239"/>
    </row>
    <row r="5889" spans="6:9" x14ac:dyDescent="0.35">
      <c r="F5889" s="33"/>
      <c r="G5889" s="70"/>
      <c r="H5889" s="400"/>
      <c r="I5889" s="239"/>
    </row>
    <row r="5890" spans="6:9" x14ac:dyDescent="0.35">
      <c r="F5890" s="33"/>
      <c r="G5890" s="70"/>
      <c r="H5890" s="400"/>
      <c r="I5890" s="239"/>
    </row>
    <row r="5891" spans="6:9" x14ac:dyDescent="0.35">
      <c r="F5891" s="33"/>
      <c r="G5891" s="70"/>
      <c r="H5891" s="400"/>
      <c r="I5891" s="239"/>
    </row>
    <row r="5892" spans="6:9" x14ac:dyDescent="0.35">
      <c r="F5892" s="33"/>
      <c r="G5892" s="70"/>
      <c r="H5892" s="400"/>
      <c r="I5892" s="239"/>
    </row>
    <row r="5893" spans="6:9" x14ac:dyDescent="0.35">
      <c r="F5893" s="33"/>
      <c r="G5893" s="70"/>
      <c r="H5893" s="400"/>
      <c r="I5893" s="239"/>
    </row>
    <row r="5894" spans="6:9" x14ac:dyDescent="0.35">
      <c r="F5894" s="33"/>
      <c r="G5894" s="70"/>
      <c r="H5894" s="400"/>
      <c r="I5894" s="239"/>
    </row>
    <row r="5895" spans="6:9" x14ac:dyDescent="0.35">
      <c r="F5895" s="33"/>
      <c r="G5895" s="70"/>
      <c r="H5895" s="400"/>
      <c r="I5895" s="239"/>
    </row>
    <row r="5896" spans="6:9" x14ac:dyDescent="0.35">
      <c r="F5896" s="33"/>
      <c r="G5896" s="70"/>
      <c r="H5896" s="400"/>
      <c r="I5896" s="239"/>
    </row>
    <row r="5897" spans="6:9" x14ac:dyDescent="0.35">
      <c r="F5897" s="33"/>
      <c r="G5897" s="70"/>
      <c r="H5897" s="400"/>
      <c r="I5897" s="239"/>
    </row>
    <row r="5898" spans="6:9" x14ac:dyDescent="0.35">
      <c r="F5898" s="33"/>
      <c r="G5898" s="70"/>
      <c r="H5898" s="400"/>
      <c r="I5898" s="239"/>
    </row>
    <row r="5899" spans="6:9" x14ac:dyDescent="0.35">
      <c r="F5899" s="33"/>
      <c r="G5899" s="70"/>
      <c r="H5899" s="400"/>
      <c r="I5899" s="239"/>
    </row>
    <row r="5900" spans="6:9" x14ac:dyDescent="0.35">
      <c r="F5900" s="33"/>
      <c r="G5900" s="70"/>
      <c r="H5900" s="400"/>
      <c r="I5900" s="239"/>
    </row>
    <row r="5901" spans="6:9" x14ac:dyDescent="0.35">
      <c r="F5901" s="33"/>
      <c r="G5901" s="70"/>
      <c r="H5901" s="400"/>
      <c r="I5901" s="239"/>
    </row>
    <row r="5902" spans="6:9" x14ac:dyDescent="0.35">
      <c r="F5902" s="33"/>
      <c r="G5902" s="70"/>
      <c r="H5902" s="400"/>
      <c r="I5902" s="239"/>
    </row>
    <row r="5903" spans="6:9" x14ac:dyDescent="0.35">
      <c r="F5903" s="33"/>
      <c r="G5903" s="70"/>
      <c r="H5903" s="400"/>
      <c r="I5903" s="239"/>
    </row>
    <row r="5904" spans="6:9" x14ac:dyDescent="0.35">
      <c r="F5904" s="33"/>
      <c r="G5904" s="70"/>
      <c r="H5904" s="400"/>
      <c r="I5904" s="239"/>
    </row>
    <row r="5905" spans="6:9" x14ac:dyDescent="0.35">
      <c r="F5905" s="33"/>
      <c r="G5905" s="70"/>
      <c r="H5905" s="400"/>
      <c r="I5905" s="239"/>
    </row>
    <row r="5906" spans="6:9" x14ac:dyDescent="0.35">
      <c r="F5906" s="33"/>
      <c r="G5906" s="70"/>
      <c r="H5906" s="400"/>
      <c r="I5906" s="239"/>
    </row>
    <row r="5907" spans="6:9" x14ac:dyDescent="0.35">
      <c r="F5907" s="33"/>
      <c r="G5907" s="70"/>
      <c r="H5907" s="400"/>
      <c r="I5907" s="239"/>
    </row>
    <row r="5908" spans="6:9" x14ac:dyDescent="0.35">
      <c r="F5908" s="33"/>
      <c r="G5908" s="70"/>
      <c r="H5908" s="400"/>
      <c r="I5908" s="239"/>
    </row>
    <row r="5909" spans="6:9" x14ac:dyDescent="0.35">
      <c r="F5909" s="33"/>
      <c r="G5909" s="70"/>
      <c r="H5909" s="400"/>
      <c r="I5909" s="239"/>
    </row>
    <row r="5910" spans="6:9" x14ac:dyDescent="0.35">
      <c r="F5910" s="33"/>
      <c r="G5910" s="70"/>
      <c r="H5910" s="400"/>
      <c r="I5910" s="239"/>
    </row>
    <row r="5911" spans="6:9" x14ac:dyDescent="0.35">
      <c r="F5911" s="33"/>
      <c r="G5911" s="70"/>
      <c r="H5911" s="400"/>
      <c r="I5911" s="239"/>
    </row>
    <row r="5912" spans="6:9" x14ac:dyDescent="0.35">
      <c r="F5912" s="33"/>
      <c r="G5912" s="70"/>
      <c r="H5912" s="400"/>
      <c r="I5912" s="239"/>
    </row>
    <row r="5913" spans="6:9" x14ac:dyDescent="0.35">
      <c r="F5913" s="33"/>
      <c r="G5913" s="70"/>
      <c r="H5913" s="400"/>
      <c r="I5913" s="239"/>
    </row>
    <row r="5914" spans="6:9" x14ac:dyDescent="0.35">
      <c r="F5914" s="33"/>
      <c r="G5914" s="70"/>
      <c r="H5914" s="400"/>
      <c r="I5914" s="239"/>
    </row>
    <row r="5915" spans="6:9" x14ac:dyDescent="0.35">
      <c r="F5915" s="33"/>
      <c r="G5915" s="70"/>
      <c r="H5915" s="400"/>
      <c r="I5915" s="239"/>
    </row>
    <row r="5916" spans="6:9" x14ac:dyDescent="0.35">
      <c r="F5916" s="33"/>
      <c r="G5916" s="70"/>
      <c r="H5916" s="400"/>
      <c r="I5916" s="239"/>
    </row>
    <row r="5917" spans="6:9" x14ac:dyDescent="0.35">
      <c r="F5917" s="33"/>
      <c r="G5917" s="70"/>
      <c r="H5917" s="400"/>
      <c r="I5917" s="239"/>
    </row>
    <row r="5918" spans="6:9" x14ac:dyDescent="0.35">
      <c r="F5918" s="33"/>
      <c r="G5918" s="70"/>
      <c r="H5918" s="400"/>
      <c r="I5918" s="239"/>
    </row>
    <row r="5919" spans="6:9" x14ac:dyDescent="0.35">
      <c r="F5919" s="33"/>
      <c r="G5919" s="70"/>
      <c r="H5919" s="400"/>
      <c r="I5919" s="239"/>
    </row>
    <row r="5920" spans="6:9" x14ac:dyDescent="0.35">
      <c r="F5920" s="33"/>
      <c r="G5920" s="70"/>
      <c r="H5920" s="400"/>
      <c r="I5920" s="239"/>
    </row>
    <row r="5921" spans="6:9" x14ac:dyDescent="0.35">
      <c r="F5921" s="33"/>
      <c r="G5921" s="70"/>
      <c r="H5921" s="400"/>
      <c r="I5921" s="239"/>
    </row>
    <row r="5922" spans="6:9" x14ac:dyDescent="0.35">
      <c r="F5922" s="33"/>
      <c r="G5922" s="70"/>
      <c r="H5922" s="400"/>
      <c r="I5922" s="239"/>
    </row>
    <row r="5923" spans="6:9" x14ac:dyDescent="0.35">
      <c r="F5923" s="33"/>
      <c r="G5923" s="70"/>
      <c r="H5923" s="400"/>
      <c r="I5923" s="239"/>
    </row>
    <row r="5924" spans="6:9" x14ac:dyDescent="0.35">
      <c r="F5924" s="33"/>
      <c r="G5924" s="70"/>
      <c r="H5924" s="400"/>
      <c r="I5924" s="239"/>
    </row>
    <row r="5925" spans="6:9" x14ac:dyDescent="0.35">
      <c r="F5925" s="33"/>
      <c r="G5925" s="70"/>
      <c r="H5925" s="400"/>
      <c r="I5925" s="239"/>
    </row>
    <row r="5926" spans="6:9" x14ac:dyDescent="0.35">
      <c r="F5926" s="33"/>
      <c r="G5926" s="70"/>
      <c r="H5926" s="400"/>
      <c r="I5926" s="239"/>
    </row>
    <row r="5927" spans="6:9" x14ac:dyDescent="0.35">
      <c r="F5927" s="33"/>
      <c r="G5927" s="70"/>
      <c r="H5927" s="400"/>
      <c r="I5927" s="239"/>
    </row>
    <row r="5928" spans="6:9" x14ac:dyDescent="0.35">
      <c r="F5928" s="33"/>
      <c r="G5928" s="70"/>
      <c r="H5928" s="400"/>
      <c r="I5928" s="239"/>
    </row>
    <row r="5929" spans="6:9" x14ac:dyDescent="0.35">
      <c r="F5929" s="33"/>
      <c r="G5929" s="70"/>
      <c r="H5929" s="400"/>
      <c r="I5929" s="239"/>
    </row>
    <row r="5930" spans="6:9" x14ac:dyDescent="0.35">
      <c r="F5930" s="33"/>
      <c r="G5930" s="70"/>
      <c r="H5930" s="400"/>
      <c r="I5930" s="239"/>
    </row>
    <row r="5931" spans="6:9" x14ac:dyDescent="0.35">
      <c r="F5931" s="33"/>
      <c r="G5931" s="70"/>
      <c r="H5931" s="400"/>
      <c r="I5931" s="239"/>
    </row>
    <row r="5932" spans="6:9" x14ac:dyDescent="0.35">
      <c r="F5932" s="33"/>
      <c r="G5932" s="70"/>
      <c r="H5932" s="400"/>
      <c r="I5932" s="239"/>
    </row>
    <row r="5933" spans="6:9" x14ac:dyDescent="0.35">
      <c r="F5933" s="33"/>
      <c r="G5933" s="70"/>
      <c r="H5933" s="400"/>
      <c r="I5933" s="239"/>
    </row>
    <row r="5934" spans="6:9" x14ac:dyDescent="0.35">
      <c r="F5934" s="33"/>
      <c r="G5934" s="70"/>
      <c r="H5934" s="400"/>
      <c r="I5934" s="239"/>
    </row>
    <row r="5935" spans="6:9" x14ac:dyDescent="0.35">
      <c r="F5935" s="33"/>
      <c r="G5935" s="70"/>
      <c r="H5935" s="400"/>
      <c r="I5935" s="239"/>
    </row>
    <row r="5936" spans="6:9" x14ac:dyDescent="0.35">
      <c r="F5936" s="33"/>
      <c r="G5936" s="70"/>
      <c r="H5936" s="400"/>
      <c r="I5936" s="239"/>
    </row>
    <row r="5937" spans="6:9" x14ac:dyDescent="0.35">
      <c r="F5937" s="33"/>
      <c r="G5937" s="70"/>
      <c r="H5937" s="400"/>
      <c r="I5937" s="239"/>
    </row>
    <row r="5938" spans="6:9" x14ac:dyDescent="0.35">
      <c r="F5938" s="33"/>
      <c r="G5938" s="70"/>
      <c r="H5938" s="400"/>
      <c r="I5938" s="239"/>
    </row>
    <row r="5939" spans="6:9" x14ac:dyDescent="0.35">
      <c r="F5939" s="33"/>
      <c r="G5939" s="70"/>
      <c r="H5939" s="400"/>
      <c r="I5939" s="239"/>
    </row>
    <row r="5940" spans="6:9" x14ac:dyDescent="0.35">
      <c r="F5940" s="33"/>
      <c r="G5940" s="70"/>
      <c r="H5940" s="400"/>
      <c r="I5940" s="239"/>
    </row>
    <row r="5941" spans="6:9" x14ac:dyDescent="0.35">
      <c r="F5941" s="33"/>
      <c r="G5941" s="70"/>
      <c r="H5941" s="400"/>
      <c r="I5941" s="239"/>
    </row>
    <row r="5942" spans="6:9" x14ac:dyDescent="0.35">
      <c r="F5942" s="33"/>
      <c r="G5942" s="70"/>
      <c r="H5942" s="400"/>
      <c r="I5942" s="239"/>
    </row>
    <row r="5943" spans="6:9" x14ac:dyDescent="0.35">
      <c r="F5943" s="33"/>
      <c r="G5943" s="70"/>
      <c r="H5943" s="400"/>
      <c r="I5943" s="239"/>
    </row>
    <row r="5944" spans="6:9" x14ac:dyDescent="0.35">
      <c r="F5944" s="33"/>
      <c r="G5944" s="70"/>
      <c r="H5944" s="400"/>
      <c r="I5944" s="239"/>
    </row>
    <row r="5945" spans="6:9" x14ac:dyDescent="0.35">
      <c r="F5945" s="33"/>
      <c r="G5945" s="70"/>
      <c r="H5945" s="400"/>
      <c r="I5945" s="239"/>
    </row>
    <row r="5946" spans="6:9" x14ac:dyDescent="0.35">
      <c r="F5946" s="33"/>
      <c r="G5946" s="70"/>
      <c r="H5946" s="400"/>
      <c r="I5946" s="239"/>
    </row>
    <row r="5947" spans="6:9" x14ac:dyDescent="0.35">
      <c r="F5947" s="33"/>
      <c r="G5947" s="70"/>
      <c r="H5947" s="400"/>
      <c r="I5947" s="239"/>
    </row>
    <row r="5948" spans="6:9" x14ac:dyDescent="0.35">
      <c r="F5948" s="33"/>
      <c r="G5948" s="70"/>
      <c r="H5948" s="400"/>
      <c r="I5948" s="239"/>
    </row>
    <row r="5949" spans="6:9" x14ac:dyDescent="0.35">
      <c r="F5949" s="33"/>
      <c r="G5949" s="70"/>
      <c r="H5949" s="400"/>
      <c r="I5949" s="239"/>
    </row>
    <row r="5950" spans="6:9" x14ac:dyDescent="0.35">
      <c r="F5950" s="33"/>
      <c r="G5950" s="70"/>
      <c r="H5950" s="400"/>
      <c r="I5950" s="239"/>
    </row>
    <row r="5951" spans="6:9" x14ac:dyDescent="0.35">
      <c r="F5951" s="33"/>
      <c r="G5951" s="70"/>
      <c r="H5951" s="400"/>
      <c r="I5951" s="239"/>
    </row>
    <row r="5952" spans="6:9" x14ac:dyDescent="0.35">
      <c r="F5952" s="33"/>
      <c r="G5952" s="70"/>
      <c r="H5952" s="400"/>
      <c r="I5952" s="239"/>
    </row>
    <row r="5953" spans="6:9" x14ac:dyDescent="0.35">
      <c r="F5953" s="33"/>
      <c r="G5953" s="70"/>
      <c r="H5953" s="400"/>
      <c r="I5953" s="239"/>
    </row>
    <row r="5954" spans="6:9" x14ac:dyDescent="0.35">
      <c r="F5954" s="33"/>
      <c r="G5954" s="70"/>
      <c r="H5954" s="400"/>
      <c r="I5954" s="239"/>
    </row>
    <row r="5955" spans="6:9" x14ac:dyDescent="0.35">
      <c r="F5955" s="33"/>
      <c r="G5955" s="70"/>
      <c r="H5955" s="400"/>
      <c r="I5955" s="239"/>
    </row>
    <row r="5956" spans="6:9" x14ac:dyDescent="0.35">
      <c r="F5956" s="33"/>
      <c r="G5956" s="70"/>
      <c r="H5956" s="400"/>
      <c r="I5956" s="239"/>
    </row>
    <row r="5957" spans="6:9" x14ac:dyDescent="0.35">
      <c r="F5957" s="33"/>
      <c r="G5957" s="70"/>
      <c r="H5957" s="400"/>
      <c r="I5957" s="239"/>
    </row>
    <row r="5958" spans="6:9" x14ac:dyDescent="0.35">
      <c r="F5958" s="33"/>
      <c r="G5958" s="70"/>
      <c r="H5958" s="400"/>
      <c r="I5958" s="239"/>
    </row>
    <row r="5959" spans="6:9" x14ac:dyDescent="0.35">
      <c r="F5959" s="33"/>
      <c r="G5959" s="70"/>
      <c r="H5959" s="400"/>
      <c r="I5959" s="239"/>
    </row>
    <row r="5960" spans="6:9" x14ac:dyDescent="0.35">
      <c r="F5960" s="33"/>
      <c r="G5960" s="70"/>
      <c r="H5960" s="400"/>
      <c r="I5960" s="239"/>
    </row>
    <row r="5961" spans="6:9" x14ac:dyDescent="0.35">
      <c r="F5961" s="33"/>
      <c r="G5961" s="70"/>
      <c r="H5961" s="400"/>
      <c r="I5961" s="239"/>
    </row>
    <row r="5962" spans="6:9" x14ac:dyDescent="0.35">
      <c r="F5962" s="33"/>
      <c r="G5962" s="70"/>
      <c r="H5962" s="400"/>
      <c r="I5962" s="239"/>
    </row>
    <row r="5963" spans="6:9" x14ac:dyDescent="0.35">
      <c r="F5963" s="33"/>
      <c r="G5963" s="70"/>
      <c r="H5963" s="400"/>
      <c r="I5963" s="239"/>
    </row>
    <row r="5964" spans="6:9" x14ac:dyDescent="0.35">
      <c r="F5964" s="33"/>
      <c r="G5964" s="70"/>
      <c r="H5964" s="400"/>
      <c r="I5964" s="239"/>
    </row>
    <row r="5965" spans="6:9" x14ac:dyDescent="0.35">
      <c r="F5965" s="33"/>
      <c r="G5965" s="70"/>
      <c r="H5965" s="400"/>
      <c r="I5965" s="239"/>
    </row>
    <row r="5966" spans="6:9" x14ac:dyDescent="0.35">
      <c r="F5966" s="33"/>
      <c r="G5966" s="70"/>
      <c r="H5966" s="400"/>
      <c r="I5966" s="239"/>
    </row>
    <row r="5967" spans="6:9" x14ac:dyDescent="0.35">
      <c r="F5967" s="33"/>
      <c r="G5967" s="70"/>
      <c r="H5967" s="400"/>
      <c r="I5967" s="239"/>
    </row>
    <row r="5968" spans="6:9" x14ac:dyDescent="0.35">
      <c r="F5968" s="33"/>
      <c r="G5968" s="70"/>
      <c r="H5968" s="400"/>
      <c r="I5968" s="239"/>
    </row>
    <row r="5969" spans="6:9" x14ac:dyDescent="0.35">
      <c r="F5969" s="33"/>
      <c r="G5969" s="70"/>
      <c r="H5969" s="400"/>
      <c r="I5969" s="239"/>
    </row>
    <row r="5970" spans="6:9" x14ac:dyDescent="0.35">
      <c r="F5970" s="33"/>
      <c r="G5970" s="70"/>
      <c r="H5970" s="400"/>
      <c r="I5970" s="239"/>
    </row>
    <row r="5971" spans="6:9" x14ac:dyDescent="0.35">
      <c r="F5971" s="33"/>
      <c r="G5971" s="70"/>
      <c r="H5971" s="400"/>
      <c r="I5971" s="239"/>
    </row>
    <row r="5972" spans="6:9" x14ac:dyDescent="0.35">
      <c r="F5972" s="33"/>
      <c r="G5972" s="70"/>
      <c r="H5972" s="400"/>
      <c r="I5972" s="239"/>
    </row>
    <row r="5973" spans="6:9" x14ac:dyDescent="0.35">
      <c r="F5973" s="33"/>
      <c r="G5973" s="70"/>
      <c r="H5973" s="400"/>
      <c r="I5973" s="239"/>
    </row>
    <row r="5974" spans="6:9" x14ac:dyDescent="0.35">
      <c r="F5974" s="33"/>
      <c r="G5974" s="70"/>
      <c r="H5974" s="400"/>
      <c r="I5974" s="239"/>
    </row>
    <row r="5975" spans="6:9" x14ac:dyDescent="0.35">
      <c r="F5975" s="33"/>
      <c r="G5975" s="70"/>
      <c r="H5975" s="400"/>
      <c r="I5975" s="239"/>
    </row>
    <row r="5976" spans="6:9" x14ac:dyDescent="0.35">
      <c r="F5976" s="33"/>
      <c r="G5976" s="70"/>
      <c r="H5976" s="400"/>
      <c r="I5976" s="239"/>
    </row>
    <row r="5977" spans="6:9" x14ac:dyDescent="0.35">
      <c r="F5977" s="33"/>
      <c r="G5977" s="70"/>
      <c r="H5977" s="400"/>
      <c r="I5977" s="239"/>
    </row>
    <row r="5978" spans="6:9" x14ac:dyDescent="0.35">
      <c r="F5978" s="33"/>
      <c r="G5978" s="70"/>
      <c r="H5978" s="400"/>
      <c r="I5978" s="239"/>
    </row>
    <row r="5979" spans="6:9" x14ac:dyDescent="0.35">
      <c r="F5979" s="33"/>
      <c r="G5979" s="70"/>
      <c r="H5979" s="400"/>
      <c r="I5979" s="239"/>
    </row>
    <row r="5980" spans="6:9" x14ac:dyDescent="0.35">
      <c r="F5980" s="33"/>
      <c r="G5980" s="70"/>
      <c r="H5980" s="400"/>
      <c r="I5980" s="239"/>
    </row>
    <row r="5981" spans="6:9" x14ac:dyDescent="0.35">
      <c r="F5981" s="33"/>
      <c r="G5981" s="70"/>
      <c r="H5981" s="400"/>
      <c r="I5981" s="239"/>
    </row>
    <row r="5982" spans="6:9" x14ac:dyDescent="0.35">
      <c r="F5982" s="33"/>
      <c r="G5982" s="70"/>
      <c r="H5982" s="400"/>
      <c r="I5982" s="239"/>
    </row>
    <row r="5983" spans="6:9" x14ac:dyDescent="0.35">
      <c r="F5983" s="33"/>
      <c r="G5983" s="70"/>
      <c r="H5983" s="400"/>
      <c r="I5983" s="239"/>
    </row>
    <row r="5984" spans="6:9" x14ac:dyDescent="0.35">
      <c r="F5984" s="33"/>
      <c r="G5984" s="70"/>
      <c r="H5984" s="400"/>
      <c r="I5984" s="239"/>
    </row>
    <row r="5985" spans="6:9" x14ac:dyDescent="0.35">
      <c r="F5985" s="33"/>
      <c r="G5985" s="70"/>
      <c r="H5985" s="400"/>
      <c r="I5985" s="239"/>
    </row>
    <row r="5986" spans="6:9" x14ac:dyDescent="0.35">
      <c r="F5986" s="33"/>
      <c r="G5986" s="70"/>
      <c r="H5986" s="400"/>
      <c r="I5986" s="239"/>
    </row>
    <row r="5987" spans="6:9" x14ac:dyDescent="0.35">
      <c r="F5987" s="33"/>
      <c r="G5987" s="70"/>
      <c r="H5987" s="400"/>
      <c r="I5987" s="239"/>
    </row>
    <row r="5988" spans="6:9" x14ac:dyDescent="0.35">
      <c r="F5988" s="33"/>
      <c r="G5988" s="70"/>
      <c r="H5988" s="400"/>
      <c r="I5988" s="239"/>
    </row>
    <row r="5989" spans="6:9" x14ac:dyDescent="0.35">
      <c r="F5989" s="33"/>
      <c r="G5989" s="70"/>
      <c r="H5989" s="400"/>
      <c r="I5989" s="239"/>
    </row>
    <row r="5990" spans="6:9" x14ac:dyDescent="0.35">
      <c r="F5990" s="33"/>
      <c r="G5990" s="70"/>
      <c r="H5990" s="400"/>
      <c r="I5990" s="239"/>
    </row>
    <row r="5991" spans="6:9" x14ac:dyDescent="0.35">
      <c r="F5991" s="33"/>
      <c r="G5991" s="70"/>
      <c r="H5991" s="400"/>
      <c r="I5991" s="239"/>
    </row>
    <row r="5992" spans="6:9" x14ac:dyDescent="0.35">
      <c r="F5992" s="33"/>
      <c r="G5992" s="70"/>
      <c r="H5992" s="400"/>
      <c r="I5992" s="239"/>
    </row>
    <row r="5993" spans="6:9" x14ac:dyDescent="0.35">
      <c r="F5993" s="33"/>
      <c r="G5993" s="70"/>
      <c r="H5993" s="400"/>
      <c r="I5993" s="239"/>
    </row>
    <row r="5994" spans="6:9" x14ac:dyDescent="0.35">
      <c r="F5994" s="33"/>
      <c r="G5994" s="70"/>
      <c r="H5994" s="400"/>
      <c r="I5994" s="239"/>
    </row>
    <row r="5995" spans="6:9" x14ac:dyDescent="0.35">
      <c r="F5995" s="33"/>
      <c r="G5995" s="70"/>
      <c r="H5995" s="400"/>
      <c r="I5995" s="239"/>
    </row>
    <row r="5996" spans="6:9" x14ac:dyDescent="0.35">
      <c r="F5996" s="33"/>
      <c r="G5996" s="70"/>
      <c r="H5996" s="400"/>
      <c r="I5996" s="239"/>
    </row>
    <row r="5997" spans="6:9" x14ac:dyDescent="0.35">
      <c r="F5997" s="33"/>
      <c r="G5997" s="70"/>
      <c r="H5997" s="400"/>
      <c r="I5997" s="239"/>
    </row>
    <row r="5998" spans="6:9" x14ac:dyDescent="0.35">
      <c r="F5998" s="33"/>
      <c r="G5998" s="70"/>
      <c r="H5998" s="400"/>
      <c r="I5998" s="239"/>
    </row>
    <row r="5999" spans="6:9" x14ac:dyDescent="0.35">
      <c r="F5999" s="33"/>
      <c r="G5999" s="70"/>
      <c r="H5999" s="400"/>
      <c r="I5999" s="239"/>
    </row>
    <row r="6000" spans="6:9" x14ac:dyDescent="0.35">
      <c r="F6000" s="33"/>
      <c r="G6000" s="70"/>
      <c r="H6000" s="400"/>
      <c r="I6000" s="239"/>
    </row>
    <row r="6001" spans="6:9" x14ac:dyDescent="0.35">
      <c r="F6001" s="33"/>
      <c r="G6001" s="70"/>
      <c r="H6001" s="400"/>
      <c r="I6001" s="239"/>
    </row>
    <row r="6002" spans="6:9" x14ac:dyDescent="0.35">
      <c r="F6002" s="33"/>
      <c r="G6002" s="70"/>
      <c r="H6002" s="400"/>
      <c r="I6002" s="239"/>
    </row>
    <row r="6003" spans="6:9" x14ac:dyDescent="0.35">
      <c r="F6003" s="33"/>
      <c r="G6003" s="70"/>
      <c r="H6003" s="400"/>
      <c r="I6003" s="239"/>
    </row>
    <row r="6004" spans="6:9" x14ac:dyDescent="0.35">
      <c r="F6004" s="33"/>
      <c r="G6004" s="70"/>
      <c r="H6004" s="400"/>
      <c r="I6004" s="239"/>
    </row>
    <row r="6005" spans="6:9" x14ac:dyDescent="0.35">
      <c r="F6005" s="33"/>
      <c r="G6005" s="70"/>
      <c r="H6005" s="400"/>
      <c r="I6005" s="239"/>
    </row>
    <row r="6006" spans="6:9" x14ac:dyDescent="0.35">
      <c r="F6006" s="33"/>
      <c r="G6006" s="70"/>
      <c r="H6006" s="400"/>
      <c r="I6006" s="239"/>
    </row>
    <row r="6007" spans="6:9" x14ac:dyDescent="0.35">
      <c r="F6007" s="33"/>
      <c r="G6007" s="70"/>
      <c r="H6007" s="400"/>
      <c r="I6007" s="239"/>
    </row>
    <row r="6008" spans="6:9" x14ac:dyDescent="0.35">
      <c r="F6008" s="33"/>
      <c r="G6008" s="70"/>
      <c r="H6008" s="400"/>
      <c r="I6008" s="239"/>
    </row>
    <row r="6009" spans="6:9" x14ac:dyDescent="0.35">
      <c r="F6009" s="33"/>
      <c r="G6009" s="70"/>
      <c r="H6009" s="400"/>
      <c r="I6009" s="239"/>
    </row>
    <row r="6010" spans="6:9" x14ac:dyDescent="0.35">
      <c r="F6010" s="33"/>
      <c r="G6010" s="70"/>
      <c r="H6010" s="400"/>
      <c r="I6010" s="239"/>
    </row>
    <row r="6011" spans="6:9" x14ac:dyDescent="0.35">
      <c r="F6011" s="33"/>
      <c r="G6011" s="70"/>
      <c r="H6011" s="400"/>
      <c r="I6011" s="239"/>
    </row>
    <row r="6012" spans="6:9" x14ac:dyDescent="0.35">
      <c r="F6012" s="33"/>
      <c r="G6012" s="70"/>
      <c r="H6012" s="400"/>
      <c r="I6012" s="239"/>
    </row>
    <row r="6013" spans="6:9" x14ac:dyDescent="0.35">
      <c r="F6013" s="33"/>
      <c r="G6013" s="70"/>
      <c r="H6013" s="400"/>
      <c r="I6013" s="239"/>
    </row>
    <row r="6014" spans="6:9" x14ac:dyDescent="0.35">
      <c r="F6014" s="33"/>
      <c r="G6014" s="70"/>
      <c r="H6014" s="400"/>
      <c r="I6014" s="239"/>
    </row>
    <row r="6015" spans="6:9" x14ac:dyDescent="0.35">
      <c r="F6015" s="33"/>
      <c r="G6015" s="70"/>
      <c r="H6015" s="400"/>
      <c r="I6015" s="239"/>
    </row>
    <row r="6016" spans="6:9" x14ac:dyDescent="0.35">
      <c r="F6016" s="33"/>
      <c r="G6016" s="70"/>
      <c r="H6016" s="400"/>
      <c r="I6016" s="239"/>
    </row>
    <row r="6017" spans="6:9" x14ac:dyDescent="0.35">
      <c r="F6017" s="33"/>
      <c r="G6017" s="70"/>
      <c r="H6017" s="400"/>
      <c r="I6017" s="239"/>
    </row>
    <row r="6018" spans="6:9" x14ac:dyDescent="0.35">
      <c r="F6018" s="33"/>
      <c r="G6018" s="70"/>
      <c r="H6018" s="400"/>
      <c r="I6018" s="239"/>
    </row>
    <row r="6019" spans="6:9" x14ac:dyDescent="0.35">
      <c r="F6019" s="33"/>
      <c r="G6019" s="70"/>
      <c r="H6019" s="400"/>
      <c r="I6019" s="239"/>
    </row>
    <row r="6020" spans="6:9" x14ac:dyDescent="0.35">
      <c r="F6020" s="33"/>
      <c r="G6020" s="70"/>
      <c r="H6020" s="400"/>
      <c r="I6020" s="239"/>
    </row>
    <row r="6021" spans="6:9" x14ac:dyDescent="0.35">
      <c r="F6021" s="33"/>
      <c r="G6021" s="70"/>
      <c r="H6021" s="400"/>
      <c r="I6021" s="239"/>
    </row>
    <row r="6022" spans="6:9" x14ac:dyDescent="0.35">
      <c r="F6022" s="33"/>
      <c r="G6022" s="70"/>
      <c r="H6022" s="400"/>
      <c r="I6022" s="239"/>
    </row>
    <row r="6023" spans="6:9" x14ac:dyDescent="0.35">
      <c r="F6023" s="33"/>
      <c r="G6023" s="70"/>
      <c r="H6023" s="400"/>
      <c r="I6023" s="239"/>
    </row>
    <row r="6024" spans="6:9" x14ac:dyDescent="0.35">
      <c r="F6024" s="33"/>
      <c r="G6024" s="70"/>
      <c r="H6024" s="400"/>
      <c r="I6024" s="239"/>
    </row>
    <row r="6025" spans="6:9" x14ac:dyDescent="0.35">
      <c r="F6025" s="33"/>
      <c r="G6025" s="70"/>
      <c r="H6025" s="400"/>
      <c r="I6025" s="239"/>
    </row>
    <row r="6026" spans="6:9" x14ac:dyDescent="0.35">
      <c r="F6026" s="33"/>
      <c r="G6026" s="70"/>
      <c r="H6026" s="400"/>
      <c r="I6026" s="239"/>
    </row>
    <row r="6027" spans="6:9" x14ac:dyDescent="0.35">
      <c r="F6027" s="33"/>
      <c r="G6027" s="70"/>
      <c r="H6027" s="400"/>
      <c r="I6027" s="239"/>
    </row>
    <row r="6028" spans="6:9" x14ac:dyDescent="0.35">
      <c r="F6028" s="33"/>
      <c r="G6028" s="70"/>
      <c r="H6028" s="400"/>
      <c r="I6028" s="239"/>
    </row>
    <row r="6029" spans="6:9" x14ac:dyDescent="0.35">
      <c r="F6029" s="33"/>
      <c r="G6029" s="70"/>
      <c r="H6029" s="400"/>
      <c r="I6029" s="239"/>
    </row>
    <row r="6030" spans="6:9" x14ac:dyDescent="0.35">
      <c r="F6030" s="33"/>
      <c r="G6030" s="70"/>
      <c r="H6030" s="400"/>
      <c r="I6030" s="239"/>
    </row>
    <row r="6031" spans="6:9" x14ac:dyDescent="0.35">
      <c r="F6031" s="33"/>
      <c r="G6031" s="70"/>
      <c r="H6031" s="400"/>
      <c r="I6031" s="239"/>
    </row>
    <row r="6032" spans="6:9" x14ac:dyDescent="0.35">
      <c r="F6032" s="33"/>
      <c r="G6032" s="70"/>
      <c r="H6032" s="400"/>
      <c r="I6032" s="239"/>
    </row>
    <row r="6033" spans="6:9" x14ac:dyDescent="0.35">
      <c r="F6033" s="33"/>
      <c r="G6033" s="70"/>
      <c r="H6033" s="400"/>
      <c r="I6033" s="239"/>
    </row>
    <row r="6034" spans="6:9" x14ac:dyDescent="0.35">
      <c r="F6034" s="33"/>
      <c r="G6034" s="70"/>
      <c r="H6034" s="400"/>
      <c r="I6034" s="239"/>
    </row>
    <row r="6035" spans="6:9" x14ac:dyDescent="0.35">
      <c r="F6035" s="33"/>
      <c r="G6035" s="70"/>
      <c r="H6035" s="400"/>
      <c r="I6035" s="239"/>
    </row>
    <row r="6036" spans="6:9" x14ac:dyDescent="0.35">
      <c r="F6036" s="33"/>
      <c r="G6036" s="70"/>
      <c r="H6036" s="400"/>
      <c r="I6036" s="239"/>
    </row>
    <row r="6037" spans="6:9" x14ac:dyDescent="0.35">
      <c r="F6037" s="33"/>
      <c r="G6037" s="70"/>
      <c r="H6037" s="400"/>
      <c r="I6037" s="239"/>
    </row>
    <row r="6038" spans="6:9" x14ac:dyDescent="0.35">
      <c r="F6038" s="33"/>
      <c r="G6038" s="70"/>
      <c r="H6038" s="400"/>
      <c r="I6038" s="239"/>
    </row>
    <row r="6039" spans="6:9" x14ac:dyDescent="0.35">
      <c r="F6039" s="33"/>
      <c r="G6039" s="70"/>
      <c r="H6039" s="400"/>
      <c r="I6039" s="239"/>
    </row>
    <row r="6040" spans="6:9" x14ac:dyDescent="0.35">
      <c r="F6040" s="33"/>
      <c r="G6040" s="70"/>
      <c r="H6040" s="400"/>
      <c r="I6040" s="239"/>
    </row>
    <row r="6041" spans="6:9" x14ac:dyDescent="0.35">
      <c r="F6041" s="33"/>
      <c r="G6041" s="70"/>
      <c r="H6041" s="400"/>
      <c r="I6041" s="239"/>
    </row>
    <row r="6042" spans="6:9" x14ac:dyDescent="0.35">
      <c r="F6042" s="33"/>
      <c r="G6042" s="70"/>
      <c r="H6042" s="400"/>
      <c r="I6042" s="239"/>
    </row>
    <row r="6043" spans="6:9" x14ac:dyDescent="0.35">
      <c r="F6043" s="33"/>
      <c r="G6043" s="70"/>
      <c r="H6043" s="400"/>
      <c r="I6043" s="239"/>
    </row>
    <row r="6044" spans="6:9" x14ac:dyDescent="0.35">
      <c r="F6044" s="33"/>
      <c r="G6044" s="70"/>
      <c r="H6044" s="400"/>
      <c r="I6044" s="239"/>
    </row>
    <row r="6045" spans="6:9" x14ac:dyDescent="0.35">
      <c r="F6045" s="33"/>
      <c r="G6045" s="70"/>
      <c r="H6045" s="400"/>
      <c r="I6045" s="239"/>
    </row>
    <row r="6046" spans="6:9" x14ac:dyDescent="0.35">
      <c r="F6046" s="33"/>
      <c r="G6046" s="70"/>
      <c r="H6046" s="400"/>
      <c r="I6046" s="239"/>
    </row>
    <row r="6047" spans="6:9" x14ac:dyDescent="0.35">
      <c r="F6047" s="33"/>
      <c r="G6047" s="70"/>
      <c r="H6047" s="400"/>
      <c r="I6047" s="239"/>
    </row>
    <row r="6048" spans="6:9" x14ac:dyDescent="0.35">
      <c r="F6048" s="33"/>
      <c r="G6048" s="70"/>
      <c r="H6048" s="400"/>
      <c r="I6048" s="239"/>
    </row>
    <row r="6049" spans="6:9" x14ac:dyDescent="0.35">
      <c r="F6049" s="33"/>
      <c r="G6049" s="70"/>
      <c r="H6049" s="400"/>
      <c r="I6049" s="239"/>
    </row>
    <row r="6050" spans="6:9" x14ac:dyDescent="0.35">
      <c r="F6050" s="33"/>
      <c r="G6050" s="70"/>
      <c r="H6050" s="400"/>
      <c r="I6050" s="239"/>
    </row>
    <row r="6051" spans="6:9" x14ac:dyDescent="0.35">
      <c r="F6051" s="33"/>
      <c r="G6051" s="70"/>
      <c r="H6051" s="400"/>
      <c r="I6051" s="239"/>
    </row>
    <row r="6052" spans="6:9" x14ac:dyDescent="0.35">
      <c r="F6052" s="33"/>
      <c r="G6052" s="70"/>
      <c r="H6052" s="400"/>
      <c r="I6052" s="239"/>
    </row>
    <row r="6053" spans="6:9" x14ac:dyDescent="0.35">
      <c r="F6053" s="33"/>
      <c r="G6053" s="70"/>
      <c r="H6053" s="400"/>
      <c r="I6053" s="239"/>
    </row>
    <row r="6054" spans="6:9" x14ac:dyDescent="0.35">
      <c r="F6054" s="33"/>
      <c r="G6054" s="70"/>
      <c r="H6054" s="400"/>
      <c r="I6054" s="239"/>
    </row>
    <row r="6055" spans="6:9" x14ac:dyDescent="0.35">
      <c r="F6055" s="33"/>
      <c r="G6055" s="70"/>
      <c r="H6055" s="400"/>
      <c r="I6055" s="239"/>
    </row>
    <row r="6056" spans="6:9" x14ac:dyDescent="0.35">
      <c r="F6056" s="33"/>
      <c r="G6056" s="70"/>
      <c r="H6056" s="400"/>
      <c r="I6056" s="239"/>
    </row>
    <row r="6057" spans="6:9" x14ac:dyDescent="0.35">
      <c r="F6057" s="33"/>
      <c r="G6057" s="70"/>
      <c r="H6057" s="400"/>
      <c r="I6057" s="239"/>
    </row>
    <row r="6058" spans="6:9" x14ac:dyDescent="0.35">
      <c r="F6058" s="33"/>
      <c r="G6058" s="70"/>
      <c r="H6058" s="400"/>
      <c r="I6058" s="239"/>
    </row>
    <row r="6059" spans="6:9" x14ac:dyDescent="0.35">
      <c r="F6059" s="33"/>
      <c r="G6059" s="70"/>
      <c r="H6059" s="400"/>
      <c r="I6059" s="239"/>
    </row>
    <row r="6060" spans="6:9" x14ac:dyDescent="0.35">
      <c r="F6060" s="33"/>
      <c r="G6060" s="70"/>
      <c r="H6060" s="400"/>
      <c r="I6060" s="239"/>
    </row>
    <row r="6061" spans="6:9" x14ac:dyDescent="0.35">
      <c r="F6061" s="33"/>
      <c r="G6061" s="70"/>
      <c r="H6061" s="400"/>
      <c r="I6061" s="239"/>
    </row>
    <row r="6062" spans="6:9" x14ac:dyDescent="0.35">
      <c r="F6062" s="33"/>
      <c r="G6062" s="70"/>
      <c r="H6062" s="400"/>
      <c r="I6062" s="239"/>
    </row>
    <row r="6063" spans="6:9" x14ac:dyDescent="0.35">
      <c r="F6063" s="33"/>
      <c r="G6063" s="70"/>
      <c r="H6063" s="400"/>
      <c r="I6063" s="239"/>
    </row>
    <row r="6064" spans="6:9" x14ac:dyDescent="0.35">
      <c r="F6064" s="33"/>
      <c r="G6064" s="70"/>
      <c r="H6064" s="400"/>
      <c r="I6064" s="239"/>
    </row>
    <row r="6065" spans="6:9" x14ac:dyDescent="0.35">
      <c r="F6065" s="33"/>
      <c r="G6065" s="70"/>
      <c r="H6065" s="400"/>
      <c r="I6065" s="239"/>
    </row>
    <row r="6066" spans="6:9" x14ac:dyDescent="0.35">
      <c r="F6066" s="33"/>
      <c r="G6066" s="70"/>
      <c r="H6066" s="400"/>
      <c r="I6066" s="239"/>
    </row>
    <row r="6067" spans="6:9" x14ac:dyDescent="0.35">
      <c r="F6067" s="33"/>
      <c r="G6067" s="70"/>
      <c r="H6067" s="400"/>
      <c r="I6067" s="239"/>
    </row>
    <row r="6068" spans="6:9" x14ac:dyDescent="0.35">
      <c r="F6068" s="33"/>
      <c r="G6068" s="70"/>
      <c r="H6068" s="400"/>
      <c r="I6068" s="239"/>
    </row>
    <row r="6069" spans="6:9" x14ac:dyDescent="0.35">
      <c r="F6069" s="33"/>
      <c r="G6069" s="70"/>
      <c r="H6069" s="400"/>
      <c r="I6069" s="239"/>
    </row>
    <row r="6070" spans="6:9" x14ac:dyDescent="0.35">
      <c r="F6070" s="33"/>
      <c r="G6070" s="70"/>
      <c r="H6070" s="400"/>
      <c r="I6070" s="239"/>
    </row>
    <row r="6071" spans="6:9" x14ac:dyDescent="0.35">
      <c r="F6071" s="33"/>
      <c r="G6071" s="70"/>
      <c r="H6071" s="400"/>
      <c r="I6071" s="239"/>
    </row>
    <row r="6072" spans="6:9" x14ac:dyDescent="0.35">
      <c r="F6072" s="33"/>
      <c r="G6072" s="70"/>
      <c r="H6072" s="400"/>
      <c r="I6072" s="239"/>
    </row>
    <row r="6073" spans="6:9" x14ac:dyDescent="0.35">
      <c r="F6073" s="33"/>
      <c r="G6073" s="70"/>
      <c r="H6073" s="400"/>
      <c r="I6073" s="239"/>
    </row>
    <row r="6074" spans="6:9" x14ac:dyDescent="0.35">
      <c r="F6074" s="33"/>
      <c r="G6074" s="70"/>
      <c r="H6074" s="400"/>
      <c r="I6074" s="239"/>
    </row>
    <row r="6075" spans="6:9" x14ac:dyDescent="0.35">
      <c r="F6075" s="33"/>
      <c r="G6075" s="70"/>
      <c r="H6075" s="400"/>
      <c r="I6075" s="239"/>
    </row>
    <row r="6076" spans="6:9" x14ac:dyDescent="0.35">
      <c r="F6076" s="33"/>
      <c r="G6076" s="70"/>
      <c r="H6076" s="400"/>
      <c r="I6076" s="239"/>
    </row>
    <row r="6077" spans="6:9" x14ac:dyDescent="0.35">
      <c r="F6077" s="33"/>
      <c r="G6077" s="70"/>
      <c r="H6077" s="400"/>
      <c r="I6077" s="239"/>
    </row>
    <row r="6078" spans="6:9" x14ac:dyDescent="0.35">
      <c r="F6078" s="33"/>
      <c r="G6078" s="70"/>
      <c r="H6078" s="400"/>
      <c r="I6078" s="239"/>
    </row>
    <row r="6079" spans="6:9" x14ac:dyDescent="0.35">
      <c r="F6079" s="33"/>
      <c r="G6079" s="70"/>
      <c r="H6079" s="400"/>
      <c r="I6079" s="239"/>
    </row>
    <row r="6080" spans="6:9" x14ac:dyDescent="0.35">
      <c r="F6080" s="33"/>
      <c r="G6080" s="70"/>
      <c r="H6080" s="400"/>
      <c r="I6080" s="239"/>
    </row>
    <row r="6081" spans="6:9" x14ac:dyDescent="0.35">
      <c r="F6081" s="33"/>
      <c r="G6081" s="70"/>
      <c r="H6081" s="400"/>
      <c r="I6081" s="239"/>
    </row>
    <row r="6082" spans="6:9" x14ac:dyDescent="0.35">
      <c r="F6082" s="33"/>
      <c r="G6082" s="70"/>
      <c r="H6082" s="400"/>
      <c r="I6082" s="239"/>
    </row>
    <row r="6083" spans="6:9" x14ac:dyDescent="0.35">
      <c r="F6083" s="33"/>
      <c r="G6083" s="70"/>
      <c r="H6083" s="400"/>
      <c r="I6083" s="239"/>
    </row>
    <row r="6084" spans="6:9" x14ac:dyDescent="0.35">
      <c r="F6084" s="33"/>
      <c r="G6084" s="70"/>
      <c r="H6084" s="400"/>
      <c r="I6084" s="239"/>
    </row>
    <row r="6085" spans="6:9" x14ac:dyDescent="0.35">
      <c r="F6085" s="33"/>
      <c r="G6085" s="70"/>
      <c r="H6085" s="400"/>
      <c r="I6085" s="239"/>
    </row>
    <row r="6086" spans="6:9" x14ac:dyDescent="0.35">
      <c r="F6086" s="33"/>
      <c r="G6086" s="70"/>
      <c r="H6086" s="400"/>
      <c r="I6086" s="239"/>
    </row>
    <row r="6087" spans="6:9" x14ac:dyDescent="0.35">
      <c r="F6087" s="33"/>
      <c r="G6087" s="70"/>
      <c r="H6087" s="400"/>
      <c r="I6087" s="239"/>
    </row>
    <row r="6088" spans="6:9" x14ac:dyDescent="0.35">
      <c r="F6088" s="33"/>
      <c r="G6088" s="70"/>
      <c r="H6088" s="400"/>
      <c r="I6088" s="239"/>
    </row>
    <row r="6089" spans="6:9" x14ac:dyDescent="0.35">
      <c r="F6089" s="33"/>
      <c r="G6089" s="70"/>
      <c r="H6089" s="400"/>
      <c r="I6089" s="239"/>
    </row>
    <row r="6090" spans="6:9" x14ac:dyDescent="0.35">
      <c r="F6090" s="33"/>
      <c r="G6090" s="70"/>
      <c r="H6090" s="400"/>
      <c r="I6090" s="239"/>
    </row>
    <row r="6091" spans="6:9" x14ac:dyDescent="0.35">
      <c r="F6091" s="33"/>
      <c r="G6091" s="70"/>
      <c r="H6091" s="400"/>
      <c r="I6091" s="239"/>
    </row>
    <row r="6092" spans="6:9" x14ac:dyDescent="0.35">
      <c r="F6092" s="33"/>
      <c r="G6092" s="70"/>
      <c r="H6092" s="400"/>
      <c r="I6092" s="239"/>
    </row>
    <row r="6093" spans="6:9" x14ac:dyDescent="0.35">
      <c r="F6093" s="33"/>
      <c r="G6093" s="70"/>
      <c r="H6093" s="400"/>
      <c r="I6093" s="239"/>
    </row>
    <row r="6094" spans="6:9" x14ac:dyDescent="0.35">
      <c r="F6094" s="33"/>
      <c r="G6094" s="70"/>
      <c r="H6094" s="400"/>
      <c r="I6094" s="239"/>
    </row>
    <row r="6095" spans="6:9" x14ac:dyDescent="0.35">
      <c r="F6095" s="33"/>
      <c r="G6095" s="70"/>
      <c r="H6095" s="400"/>
      <c r="I6095" s="239"/>
    </row>
    <row r="6096" spans="6:9" x14ac:dyDescent="0.35">
      <c r="F6096" s="33"/>
      <c r="G6096" s="70"/>
      <c r="H6096" s="400"/>
      <c r="I6096" s="239"/>
    </row>
    <row r="6097" spans="6:9" x14ac:dyDescent="0.35">
      <c r="F6097" s="33"/>
      <c r="G6097" s="70"/>
      <c r="H6097" s="400"/>
      <c r="I6097" s="239"/>
    </row>
    <row r="6098" spans="6:9" x14ac:dyDescent="0.35">
      <c r="F6098" s="33"/>
      <c r="G6098" s="70"/>
      <c r="H6098" s="400"/>
      <c r="I6098" s="239"/>
    </row>
    <row r="6099" spans="6:9" x14ac:dyDescent="0.35">
      <c r="F6099" s="33"/>
      <c r="G6099" s="70"/>
      <c r="H6099" s="400"/>
      <c r="I6099" s="239"/>
    </row>
    <row r="6100" spans="6:9" x14ac:dyDescent="0.35">
      <c r="F6100" s="33"/>
      <c r="G6100" s="70"/>
      <c r="H6100" s="400"/>
      <c r="I6100" s="239"/>
    </row>
    <row r="6101" spans="6:9" x14ac:dyDescent="0.35">
      <c r="F6101" s="33"/>
      <c r="G6101" s="70"/>
      <c r="H6101" s="400"/>
      <c r="I6101" s="239"/>
    </row>
    <row r="6102" spans="6:9" x14ac:dyDescent="0.35">
      <c r="F6102" s="33"/>
      <c r="G6102" s="70"/>
      <c r="H6102" s="400"/>
      <c r="I6102" s="239"/>
    </row>
    <row r="6103" spans="6:9" x14ac:dyDescent="0.35">
      <c r="F6103" s="33"/>
      <c r="G6103" s="70"/>
      <c r="H6103" s="400"/>
      <c r="I6103" s="239"/>
    </row>
    <row r="6104" spans="6:9" x14ac:dyDescent="0.35">
      <c r="F6104" s="33"/>
      <c r="G6104" s="70"/>
      <c r="H6104" s="400"/>
      <c r="I6104" s="239"/>
    </row>
    <row r="6105" spans="6:9" x14ac:dyDescent="0.35">
      <c r="F6105" s="33"/>
      <c r="G6105" s="70"/>
      <c r="H6105" s="400"/>
      <c r="I6105" s="239"/>
    </row>
    <row r="6106" spans="6:9" x14ac:dyDescent="0.35">
      <c r="F6106" s="33"/>
      <c r="G6106" s="70"/>
      <c r="H6106" s="400"/>
      <c r="I6106" s="239"/>
    </row>
    <row r="6107" spans="6:9" x14ac:dyDescent="0.35">
      <c r="F6107" s="33"/>
      <c r="G6107" s="70"/>
      <c r="H6107" s="400"/>
      <c r="I6107" s="239"/>
    </row>
    <row r="6108" spans="6:9" x14ac:dyDescent="0.35">
      <c r="F6108" s="33"/>
      <c r="G6108" s="70"/>
      <c r="H6108" s="400"/>
      <c r="I6108" s="239"/>
    </row>
    <row r="6109" spans="6:9" x14ac:dyDescent="0.35">
      <c r="F6109" s="33"/>
      <c r="G6109" s="70"/>
      <c r="H6109" s="400"/>
      <c r="I6109" s="239"/>
    </row>
    <row r="6110" spans="6:9" x14ac:dyDescent="0.35">
      <c r="F6110" s="33"/>
      <c r="G6110" s="70"/>
      <c r="H6110" s="400"/>
      <c r="I6110" s="239"/>
    </row>
    <row r="6111" spans="6:9" x14ac:dyDescent="0.35">
      <c r="F6111" s="33"/>
      <c r="G6111" s="70"/>
      <c r="H6111" s="400"/>
      <c r="I6111" s="239"/>
    </row>
    <row r="6112" spans="6:9" x14ac:dyDescent="0.35">
      <c r="F6112" s="33"/>
      <c r="G6112" s="70"/>
      <c r="H6112" s="400"/>
      <c r="I6112" s="239"/>
    </row>
    <row r="6113" spans="6:9" x14ac:dyDescent="0.35">
      <c r="F6113" s="33"/>
      <c r="G6113" s="70"/>
      <c r="H6113" s="400"/>
      <c r="I6113" s="239"/>
    </row>
    <row r="6114" spans="6:9" x14ac:dyDescent="0.35">
      <c r="F6114" s="33"/>
      <c r="G6114" s="70"/>
      <c r="H6114" s="400"/>
      <c r="I6114" s="239"/>
    </row>
    <row r="6115" spans="6:9" x14ac:dyDescent="0.35">
      <c r="F6115" s="33"/>
      <c r="G6115" s="70"/>
      <c r="H6115" s="400"/>
      <c r="I6115" s="239"/>
    </row>
    <row r="6116" spans="6:9" x14ac:dyDescent="0.35">
      <c r="F6116" s="33"/>
      <c r="G6116" s="70"/>
      <c r="H6116" s="400"/>
      <c r="I6116" s="239"/>
    </row>
    <row r="6117" spans="6:9" x14ac:dyDescent="0.35">
      <c r="F6117" s="33"/>
      <c r="G6117" s="70"/>
      <c r="H6117" s="400"/>
      <c r="I6117" s="239"/>
    </row>
    <row r="6118" spans="6:9" x14ac:dyDescent="0.35">
      <c r="F6118" s="33"/>
      <c r="G6118" s="70"/>
      <c r="H6118" s="400"/>
      <c r="I6118" s="239"/>
    </row>
    <row r="6119" spans="6:9" x14ac:dyDescent="0.35">
      <c r="F6119" s="33"/>
      <c r="G6119" s="70"/>
      <c r="H6119" s="400"/>
      <c r="I6119" s="239"/>
    </row>
    <row r="6120" spans="6:9" x14ac:dyDescent="0.35">
      <c r="F6120" s="33"/>
      <c r="G6120" s="70"/>
      <c r="H6120" s="400"/>
      <c r="I6120" s="239"/>
    </row>
    <row r="6121" spans="6:9" x14ac:dyDescent="0.35">
      <c r="F6121" s="33"/>
      <c r="G6121" s="70"/>
      <c r="H6121" s="400"/>
      <c r="I6121" s="239"/>
    </row>
    <row r="6122" spans="6:9" x14ac:dyDescent="0.35">
      <c r="F6122" s="33"/>
      <c r="G6122" s="70"/>
      <c r="H6122" s="400"/>
      <c r="I6122" s="239"/>
    </row>
    <row r="6123" spans="6:9" x14ac:dyDescent="0.35">
      <c r="F6123" s="33"/>
      <c r="G6123" s="70"/>
      <c r="H6123" s="400"/>
      <c r="I6123" s="239"/>
    </row>
    <row r="6124" spans="6:9" x14ac:dyDescent="0.35">
      <c r="F6124" s="33"/>
      <c r="G6124" s="70"/>
      <c r="H6124" s="400"/>
      <c r="I6124" s="239"/>
    </row>
    <row r="6125" spans="6:9" x14ac:dyDescent="0.35">
      <c r="F6125" s="33"/>
      <c r="G6125" s="70"/>
      <c r="H6125" s="400"/>
      <c r="I6125" s="239"/>
    </row>
    <row r="6126" spans="6:9" x14ac:dyDescent="0.35">
      <c r="F6126" s="33"/>
      <c r="G6126" s="70"/>
      <c r="H6126" s="400"/>
      <c r="I6126" s="239"/>
    </row>
    <row r="6127" spans="6:9" x14ac:dyDescent="0.35">
      <c r="F6127" s="33"/>
      <c r="G6127" s="70"/>
      <c r="H6127" s="400"/>
      <c r="I6127" s="239"/>
    </row>
    <row r="6128" spans="6:9" x14ac:dyDescent="0.35">
      <c r="F6128" s="33"/>
      <c r="G6128" s="70"/>
      <c r="H6128" s="400"/>
      <c r="I6128" s="239"/>
    </row>
    <row r="6129" spans="6:9" x14ac:dyDescent="0.35">
      <c r="F6129" s="33"/>
      <c r="G6129" s="70"/>
      <c r="H6129" s="400"/>
      <c r="I6129" s="239"/>
    </row>
    <row r="6130" spans="6:9" x14ac:dyDescent="0.35">
      <c r="F6130" s="33"/>
      <c r="G6130" s="70"/>
      <c r="H6130" s="400"/>
      <c r="I6130" s="239"/>
    </row>
    <row r="6131" spans="6:9" x14ac:dyDescent="0.35">
      <c r="F6131" s="33"/>
      <c r="G6131" s="70"/>
      <c r="H6131" s="400"/>
      <c r="I6131" s="239"/>
    </row>
    <row r="6132" spans="6:9" x14ac:dyDescent="0.35">
      <c r="F6132" s="33"/>
      <c r="G6132" s="70"/>
      <c r="H6132" s="400"/>
      <c r="I6132" s="239"/>
    </row>
    <row r="6133" spans="6:9" x14ac:dyDescent="0.35">
      <c r="F6133" s="33"/>
      <c r="G6133" s="70"/>
      <c r="H6133" s="400"/>
      <c r="I6133" s="239"/>
    </row>
    <row r="6134" spans="6:9" x14ac:dyDescent="0.35">
      <c r="F6134" s="33"/>
      <c r="G6134" s="70"/>
      <c r="H6134" s="400"/>
      <c r="I6134" s="239"/>
    </row>
    <row r="6135" spans="6:9" x14ac:dyDescent="0.35">
      <c r="F6135" s="33"/>
      <c r="G6135" s="70"/>
      <c r="H6135" s="400"/>
      <c r="I6135" s="239"/>
    </row>
    <row r="6136" spans="6:9" x14ac:dyDescent="0.35">
      <c r="F6136" s="33"/>
      <c r="G6136" s="70"/>
      <c r="H6136" s="400"/>
      <c r="I6136" s="239"/>
    </row>
    <row r="6137" spans="6:9" x14ac:dyDescent="0.35">
      <c r="F6137" s="33"/>
      <c r="G6137" s="70"/>
      <c r="H6137" s="400"/>
      <c r="I6137" s="239"/>
    </row>
    <row r="6138" spans="6:9" x14ac:dyDescent="0.35">
      <c r="F6138" s="33"/>
      <c r="G6138" s="70"/>
      <c r="H6138" s="400"/>
      <c r="I6138" s="239"/>
    </row>
    <row r="6139" spans="6:9" x14ac:dyDescent="0.35">
      <c r="F6139" s="33"/>
      <c r="G6139" s="70"/>
      <c r="H6139" s="400"/>
      <c r="I6139" s="239"/>
    </row>
    <row r="6140" spans="6:9" x14ac:dyDescent="0.35">
      <c r="F6140" s="33"/>
      <c r="G6140" s="70"/>
      <c r="H6140" s="400"/>
      <c r="I6140" s="239"/>
    </row>
    <row r="6141" spans="6:9" x14ac:dyDescent="0.35">
      <c r="F6141" s="33"/>
      <c r="G6141" s="70"/>
      <c r="H6141" s="400"/>
      <c r="I6141" s="239"/>
    </row>
    <row r="6142" spans="6:9" x14ac:dyDescent="0.35">
      <c r="F6142" s="33"/>
      <c r="G6142" s="70"/>
      <c r="H6142" s="400"/>
      <c r="I6142" s="239"/>
    </row>
    <row r="6143" spans="6:9" x14ac:dyDescent="0.35">
      <c r="F6143" s="33"/>
      <c r="G6143" s="70"/>
      <c r="H6143" s="400"/>
      <c r="I6143" s="239"/>
    </row>
    <row r="6144" spans="6:9" x14ac:dyDescent="0.35">
      <c r="F6144" s="33"/>
      <c r="G6144" s="70"/>
      <c r="H6144" s="400"/>
      <c r="I6144" s="239"/>
    </row>
    <row r="6145" spans="6:9" x14ac:dyDescent="0.35">
      <c r="F6145" s="33"/>
      <c r="G6145" s="70"/>
      <c r="H6145" s="400"/>
      <c r="I6145" s="239"/>
    </row>
    <row r="6146" spans="6:9" x14ac:dyDescent="0.35">
      <c r="F6146" s="33"/>
      <c r="G6146" s="70"/>
      <c r="H6146" s="400"/>
      <c r="I6146" s="239"/>
    </row>
    <row r="6147" spans="6:9" x14ac:dyDescent="0.35">
      <c r="F6147" s="33"/>
      <c r="G6147" s="70"/>
      <c r="H6147" s="400"/>
      <c r="I6147" s="239"/>
    </row>
    <row r="6148" spans="6:9" x14ac:dyDescent="0.35">
      <c r="F6148" s="33"/>
      <c r="G6148" s="70"/>
      <c r="H6148" s="400"/>
      <c r="I6148" s="239"/>
    </row>
    <row r="6149" spans="6:9" x14ac:dyDescent="0.35">
      <c r="F6149" s="33"/>
      <c r="G6149" s="70"/>
      <c r="H6149" s="400"/>
      <c r="I6149" s="239"/>
    </row>
    <row r="6150" spans="6:9" x14ac:dyDescent="0.35">
      <c r="F6150" s="33"/>
      <c r="G6150" s="70"/>
      <c r="H6150" s="400"/>
      <c r="I6150" s="239"/>
    </row>
    <row r="6151" spans="6:9" x14ac:dyDescent="0.35">
      <c r="F6151" s="33"/>
      <c r="G6151" s="70"/>
      <c r="H6151" s="400"/>
      <c r="I6151" s="239"/>
    </row>
    <row r="6152" spans="6:9" x14ac:dyDescent="0.35">
      <c r="F6152" s="33"/>
      <c r="G6152" s="70"/>
      <c r="H6152" s="400"/>
      <c r="I6152" s="239"/>
    </row>
    <row r="6153" spans="6:9" x14ac:dyDescent="0.35">
      <c r="F6153" s="33"/>
      <c r="G6153" s="70"/>
      <c r="H6153" s="400"/>
      <c r="I6153" s="239"/>
    </row>
    <row r="6154" spans="6:9" x14ac:dyDescent="0.35">
      <c r="F6154" s="33"/>
      <c r="G6154" s="70"/>
      <c r="H6154" s="400"/>
      <c r="I6154" s="239"/>
    </row>
    <row r="6155" spans="6:9" x14ac:dyDescent="0.35">
      <c r="F6155" s="33"/>
      <c r="G6155" s="70"/>
      <c r="H6155" s="400"/>
      <c r="I6155" s="239"/>
    </row>
    <row r="6156" spans="6:9" x14ac:dyDescent="0.35">
      <c r="F6156" s="33"/>
      <c r="G6156" s="70"/>
      <c r="H6156" s="400"/>
      <c r="I6156" s="239"/>
    </row>
    <row r="6157" spans="6:9" x14ac:dyDescent="0.35">
      <c r="F6157" s="33"/>
      <c r="G6157" s="70"/>
      <c r="H6157" s="400"/>
      <c r="I6157" s="239"/>
    </row>
    <row r="6158" spans="6:9" x14ac:dyDescent="0.35">
      <c r="F6158" s="33"/>
      <c r="G6158" s="70"/>
      <c r="H6158" s="400"/>
      <c r="I6158" s="239"/>
    </row>
    <row r="6159" spans="6:9" x14ac:dyDescent="0.35">
      <c r="F6159" s="33"/>
      <c r="G6159" s="70"/>
      <c r="H6159" s="400"/>
      <c r="I6159" s="239"/>
    </row>
    <row r="6160" spans="6:9" x14ac:dyDescent="0.35">
      <c r="F6160" s="33"/>
      <c r="G6160" s="70"/>
      <c r="H6160" s="400"/>
      <c r="I6160" s="239"/>
    </row>
    <row r="6161" spans="6:9" x14ac:dyDescent="0.35">
      <c r="F6161" s="33"/>
      <c r="G6161" s="70"/>
      <c r="H6161" s="400"/>
      <c r="I6161" s="239"/>
    </row>
    <row r="6162" spans="6:9" x14ac:dyDescent="0.35">
      <c r="F6162" s="33"/>
      <c r="G6162" s="70"/>
      <c r="H6162" s="400"/>
      <c r="I6162" s="239"/>
    </row>
    <row r="6163" spans="6:9" x14ac:dyDescent="0.35">
      <c r="F6163" s="33"/>
      <c r="G6163" s="70"/>
      <c r="H6163" s="400"/>
      <c r="I6163" s="239"/>
    </row>
    <row r="6164" spans="6:9" x14ac:dyDescent="0.35">
      <c r="F6164" s="33"/>
      <c r="G6164" s="70"/>
      <c r="H6164" s="400"/>
      <c r="I6164" s="239"/>
    </row>
    <row r="6165" spans="6:9" x14ac:dyDescent="0.35">
      <c r="F6165" s="33"/>
      <c r="G6165" s="70"/>
      <c r="H6165" s="400"/>
      <c r="I6165" s="239"/>
    </row>
    <row r="6166" spans="6:9" x14ac:dyDescent="0.35">
      <c r="F6166" s="33"/>
      <c r="G6166" s="70"/>
      <c r="H6166" s="400"/>
      <c r="I6166" s="239"/>
    </row>
    <row r="6167" spans="6:9" x14ac:dyDescent="0.35">
      <c r="F6167" s="33"/>
      <c r="G6167" s="70"/>
      <c r="H6167" s="400"/>
      <c r="I6167" s="239"/>
    </row>
    <row r="6168" spans="6:9" x14ac:dyDescent="0.35">
      <c r="F6168" s="33"/>
      <c r="G6168" s="70"/>
      <c r="H6168" s="400"/>
      <c r="I6168" s="239"/>
    </row>
    <row r="6169" spans="6:9" x14ac:dyDescent="0.35">
      <c r="F6169" s="33"/>
      <c r="G6169" s="70"/>
      <c r="H6169" s="400"/>
      <c r="I6169" s="239"/>
    </row>
    <row r="6170" spans="6:9" x14ac:dyDescent="0.35">
      <c r="F6170" s="33"/>
      <c r="G6170" s="70"/>
      <c r="H6170" s="400"/>
      <c r="I6170" s="239"/>
    </row>
    <row r="6171" spans="6:9" x14ac:dyDescent="0.35">
      <c r="F6171" s="33"/>
      <c r="G6171" s="70"/>
      <c r="H6171" s="400"/>
      <c r="I6171" s="239"/>
    </row>
    <row r="6172" spans="6:9" x14ac:dyDescent="0.35">
      <c r="F6172" s="33"/>
      <c r="G6172" s="70"/>
      <c r="H6172" s="400"/>
      <c r="I6172" s="239"/>
    </row>
    <row r="6173" spans="6:9" x14ac:dyDescent="0.35">
      <c r="F6173" s="33"/>
      <c r="G6173" s="70"/>
      <c r="H6173" s="400"/>
      <c r="I6173" s="239"/>
    </row>
    <row r="6174" spans="6:9" x14ac:dyDescent="0.35">
      <c r="F6174" s="33"/>
      <c r="G6174" s="70"/>
      <c r="H6174" s="400"/>
      <c r="I6174" s="239"/>
    </row>
    <row r="6175" spans="6:9" x14ac:dyDescent="0.35">
      <c r="F6175" s="33"/>
      <c r="G6175" s="70"/>
      <c r="H6175" s="400"/>
      <c r="I6175" s="239"/>
    </row>
    <row r="6176" spans="6:9" x14ac:dyDescent="0.35">
      <c r="F6176" s="33"/>
      <c r="G6176" s="70"/>
      <c r="H6176" s="400"/>
      <c r="I6176" s="239"/>
    </row>
    <row r="6177" spans="6:9" x14ac:dyDescent="0.35">
      <c r="F6177" s="33"/>
      <c r="G6177" s="70"/>
      <c r="H6177" s="400"/>
      <c r="I6177" s="239"/>
    </row>
    <row r="6178" spans="6:9" x14ac:dyDescent="0.35">
      <c r="F6178" s="33"/>
      <c r="G6178" s="70"/>
      <c r="H6178" s="400"/>
      <c r="I6178" s="239"/>
    </row>
    <row r="6179" spans="6:9" x14ac:dyDescent="0.35">
      <c r="F6179" s="33"/>
      <c r="G6179" s="70"/>
      <c r="H6179" s="400"/>
      <c r="I6179" s="239"/>
    </row>
    <row r="6180" spans="6:9" x14ac:dyDescent="0.35">
      <c r="F6180" s="33"/>
      <c r="G6180" s="70"/>
      <c r="H6180" s="400"/>
      <c r="I6180" s="239"/>
    </row>
    <row r="6181" spans="6:9" x14ac:dyDescent="0.35">
      <c r="F6181" s="33"/>
      <c r="G6181" s="70"/>
      <c r="H6181" s="400"/>
      <c r="I6181" s="239"/>
    </row>
    <row r="6182" spans="6:9" x14ac:dyDescent="0.35">
      <c r="F6182" s="33"/>
      <c r="G6182" s="70"/>
      <c r="H6182" s="400"/>
      <c r="I6182" s="239"/>
    </row>
    <row r="6183" spans="6:9" x14ac:dyDescent="0.35">
      <c r="F6183" s="33"/>
      <c r="G6183" s="70"/>
      <c r="H6183" s="400"/>
      <c r="I6183" s="239"/>
    </row>
    <row r="6184" spans="6:9" x14ac:dyDescent="0.35">
      <c r="F6184" s="33"/>
      <c r="G6184" s="70"/>
      <c r="H6184" s="400"/>
      <c r="I6184" s="239"/>
    </row>
    <row r="6185" spans="6:9" x14ac:dyDescent="0.35">
      <c r="F6185" s="33"/>
      <c r="G6185" s="70"/>
      <c r="H6185" s="400"/>
      <c r="I6185" s="239"/>
    </row>
    <row r="6186" spans="6:9" x14ac:dyDescent="0.35">
      <c r="F6186" s="33"/>
      <c r="G6186" s="70"/>
      <c r="H6186" s="400"/>
      <c r="I6186" s="239"/>
    </row>
    <row r="6187" spans="6:9" x14ac:dyDescent="0.35">
      <c r="F6187" s="33"/>
      <c r="G6187" s="70"/>
      <c r="H6187" s="400"/>
      <c r="I6187" s="239"/>
    </row>
    <row r="6188" spans="6:9" x14ac:dyDescent="0.35">
      <c r="F6188" s="33"/>
      <c r="G6188" s="70"/>
      <c r="H6188" s="400"/>
      <c r="I6188" s="239"/>
    </row>
    <row r="6189" spans="6:9" x14ac:dyDescent="0.35">
      <c r="F6189" s="33"/>
      <c r="G6189" s="70"/>
      <c r="H6189" s="400"/>
      <c r="I6189" s="239"/>
    </row>
    <row r="6190" spans="6:9" x14ac:dyDescent="0.35">
      <c r="F6190" s="33"/>
      <c r="G6190" s="70"/>
      <c r="H6190" s="400"/>
      <c r="I6190" s="239"/>
    </row>
    <row r="6191" spans="6:9" x14ac:dyDescent="0.35">
      <c r="F6191" s="33"/>
      <c r="G6191" s="70"/>
      <c r="H6191" s="400"/>
      <c r="I6191" s="239"/>
    </row>
    <row r="6192" spans="6:9" x14ac:dyDescent="0.35">
      <c r="F6192" s="33"/>
      <c r="G6192" s="70"/>
      <c r="H6192" s="400"/>
      <c r="I6192" s="239"/>
    </row>
    <row r="6193" spans="6:9" x14ac:dyDescent="0.35">
      <c r="F6193" s="33"/>
      <c r="G6193" s="70"/>
      <c r="H6193" s="400"/>
      <c r="I6193" s="239"/>
    </row>
    <row r="6194" spans="6:9" x14ac:dyDescent="0.35">
      <c r="F6194" s="33"/>
      <c r="G6194" s="70"/>
      <c r="H6194" s="400"/>
      <c r="I6194" s="239"/>
    </row>
    <row r="6195" spans="6:9" x14ac:dyDescent="0.35">
      <c r="F6195" s="33"/>
      <c r="G6195" s="70"/>
      <c r="H6195" s="400"/>
      <c r="I6195" s="239"/>
    </row>
    <row r="6196" spans="6:9" x14ac:dyDescent="0.35">
      <c r="F6196" s="33"/>
      <c r="G6196" s="70"/>
      <c r="H6196" s="400"/>
      <c r="I6196" s="239"/>
    </row>
    <row r="6197" spans="6:9" x14ac:dyDescent="0.35">
      <c r="F6197" s="33"/>
      <c r="G6197" s="70"/>
      <c r="H6197" s="400"/>
      <c r="I6197" s="239"/>
    </row>
    <row r="6198" spans="6:9" x14ac:dyDescent="0.35">
      <c r="F6198" s="33"/>
      <c r="G6198" s="70"/>
      <c r="H6198" s="400"/>
      <c r="I6198" s="239"/>
    </row>
    <row r="6199" spans="6:9" x14ac:dyDescent="0.35">
      <c r="F6199" s="33"/>
      <c r="G6199" s="70"/>
      <c r="H6199" s="400"/>
      <c r="I6199" s="239"/>
    </row>
    <row r="6200" spans="6:9" x14ac:dyDescent="0.35">
      <c r="F6200" s="33"/>
      <c r="G6200" s="70"/>
      <c r="H6200" s="400"/>
      <c r="I6200" s="239"/>
    </row>
    <row r="6201" spans="6:9" x14ac:dyDescent="0.35">
      <c r="F6201" s="33"/>
      <c r="G6201" s="70"/>
      <c r="H6201" s="400"/>
      <c r="I6201" s="239"/>
    </row>
    <row r="6202" spans="6:9" x14ac:dyDescent="0.35">
      <c r="F6202" s="33"/>
      <c r="G6202" s="70"/>
      <c r="H6202" s="400"/>
      <c r="I6202" s="239"/>
    </row>
    <row r="6203" spans="6:9" x14ac:dyDescent="0.35">
      <c r="F6203" s="33"/>
      <c r="G6203" s="70"/>
      <c r="H6203" s="400"/>
      <c r="I6203" s="239"/>
    </row>
    <row r="6204" spans="6:9" x14ac:dyDescent="0.35">
      <c r="F6204" s="33"/>
      <c r="G6204" s="70"/>
      <c r="H6204" s="400"/>
      <c r="I6204" s="239"/>
    </row>
    <row r="6205" spans="6:9" x14ac:dyDescent="0.35">
      <c r="F6205" s="33"/>
      <c r="G6205" s="70"/>
      <c r="H6205" s="400"/>
      <c r="I6205" s="239"/>
    </row>
    <row r="6206" spans="6:9" x14ac:dyDescent="0.35">
      <c r="F6206" s="33"/>
      <c r="G6206" s="70"/>
      <c r="H6206" s="400"/>
      <c r="I6206" s="239"/>
    </row>
    <row r="6207" spans="6:9" x14ac:dyDescent="0.35">
      <c r="F6207" s="33"/>
      <c r="G6207" s="70"/>
      <c r="H6207" s="400"/>
      <c r="I6207" s="239"/>
    </row>
    <row r="6208" spans="6:9" x14ac:dyDescent="0.35">
      <c r="F6208" s="33"/>
      <c r="G6208" s="70"/>
      <c r="H6208" s="400"/>
      <c r="I6208" s="239"/>
    </row>
    <row r="6209" spans="6:9" x14ac:dyDescent="0.35">
      <c r="F6209" s="33"/>
      <c r="G6209" s="70"/>
      <c r="H6209" s="400"/>
      <c r="I6209" s="239"/>
    </row>
    <row r="6210" spans="6:9" x14ac:dyDescent="0.35">
      <c r="F6210" s="33"/>
      <c r="G6210" s="70"/>
      <c r="H6210" s="400"/>
      <c r="I6210" s="239"/>
    </row>
    <row r="6211" spans="6:9" x14ac:dyDescent="0.35">
      <c r="F6211" s="33"/>
      <c r="G6211" s="70"/>
      <c r="H6211" s="400"/>
      <c r="I6211" s="239"/>
    </row>
    <row r="6212" spans="6:9" x14ac:dyDescent="0.35">
      <c r="F6212" s="33"/>
      <c r="G6212" s="70"/>
      <c r="H6212" s="400"/>
      <c r="I6212" s="239"/>
    </row>
    <row r="6213" spans="6:9" x14ac:dyDescent="0.35">
      <c r="F6213" s="33"/>
      <c r="G6213" s="70"/>
      <c r="H6213" s="400"/>
      <c r="I6213" s="239"/>
    </row>
    <row r="6214" spans="6:9" x14ac:dyDescent="0.35">
      <c r="F6214" s="33"/>
      <c r="G6214" s="70"/>
      <c r="H6214" s="400"/>
      <c r="I6214" s="239"/>
    </row>
    <row r="6215" spans="6:9" x14ac:dyDescent="0.35">
      <c r="F6215" s="33"/>
      <c r="G6215" s="70"/>
      <c r="H6215" s="400"/>
      <c r="I6215" s="239"/>
    </row>
    <row r="6216" spans="6:9" x14ac:dyDescent="0.35">
      <c r="F6216" s="33"/>
      <c r="G6216" s="70"/>
      <c r="H6216" s="400"/>
      <c r="I6216" s="239"/>
    </row>
    <row r="6217" spans="6:9" x14ac:dyDescent="0.35">
      <c r="F6217" s="33"/>
      <c r="G6217" s="70"/>
      <c r="H6217" s="400"/>
      <c r="I6217" s="239"/>
    </row>
    <row r="6218" spans="6:9" x14ac:dyDescent="0.35">
      <c r="F6218" s="33"/>
      <c r="G6218" s="70"/>
      <c r="H6218" s="400"/>
      <c r="I6218" s="239"/>
    </row>
    <row r="6219" spans="6:9" x14ac:dyDescent="0.35">
      <c r="F6219" s="33"/>
      <c r="G6219" s="70"/>
      <c r="H6219" s="400"/>
      <c r="I6219" s="239"/>
    </row>
    <row r="6220" spans="6:9" x14ac:dyDescent="0.35">
      <c r="F6220" s="33"/>
      <c r="G6220" s="70"/>
      <c r="H6220" s="400"/>
      <c r="I6220" s="239"/>
    </row>
    <row r="6221" spans="6:9" x14ac:dyDescent="0.35">
      <c r="F6221" s="33"/>
      <c r="G6221" s="70"/>
      <c r="H6221" s="400"/>
      <c r="I6221" s="239"/>
    </row>
    <row r="6222" spans="6:9" x14ac:dyDescent="0.35">
      <c r="F6222" s="33"/>
      <c r="G6222" s="70"/>
      <c r="H6222" s="400"/>
      <c r="I6222" s="239"/>
    </row>
    <row r="6223" spans="6:9" x14ac:dyDescent="0.35">
      <c r="F6223" s="33"/>
      <c r="G6223" s="70"/>
      <c r="H6223" s="400"/>
      <c r="I6223" s="239"/>
    </row>
    <row r="6224" spans="6:9" x14ac:dyDescent="0.35">
      <c r="F6224" s="33"/>
      <c r="G6224" s="70"/>
      <c r="H6224" s="400"/>
      <c r="I6224" s="239"/>
    </row>
    <row r="6225" spans="6:9" x14ac:dyDescent="0.35">
      <c r="F6225" s="33"/>
      <c r="G6225" s="70"/>
      <c r="H6225" s="400"/>
      <c r="I6225" s="239"/>
    </row>
    <row r="6226" spans="6:9" x14ac:dyDescent="0.35">
      <c r="F6226" s="33"/>
      <c r="G6226" s="70"/>
      <c r="H6226" s="400"/>
      <c r="I6226" s="239"/>
    </row>
    <row r="6227" spans="6:9" x14ac:dyDescent="0.35">
      <c r="F6227" s="33"/>
      <c r="G6227" s="70"/>
      <c r="H6227" s="400"/>
      <c r="I6227" s="239"/>
    </row>
    <row r="6228" spans="6:9" x14ac:dyDescent="0.35">
      <c r="F6228" s="33"/>
      <c r="G6228" s="70"/>
      <c r="H6228" s="400"/>
      <c r="I6228" s="239"/>
    </row>
    <row r="6229" spans="6:9" x14ac:dyDescent="0.35">
      <c r="F6229" s="33"/>
      <c r="G6229" s="70"/>
      <c r="H6229" s="400"/>
      <c r="I6229" s="239"/>
    </row>
    <row r="6230" spans="6:9" x14ac:dyDescent="0.35">
      <c r="F6230" s="33"/>
      <c r="G6230" s="70"/>
      <c r="H6230" s="400"/>
      <c r="I6230" s="239"/>
    </row>
    <row r="6231" spans="6:9" x14ac:dyDescent="0.35">
      <c r="F6231" s="33"/>
      <c r="G6231" s="70"/>
      <c r="H6231" s="400"/>
      <c r="I6231" s="239"/>
    </row>
    <row r="6232" spans="6:9" x14ac:dyDescent="0.35">
      <c r="F6232" s="33"/>
      <c r="G6232" s="70"/>
      <c r="H6232" s="400"/>
      <c r="I6232" s="239"/>
    </row>
    <row r="6233" spans="6:9" x14ac:dyDescent="0.35">
      <c r="F6233" s="33"/>
      <c r="G6233" s="70"/>
      <c r="H6233" s="400"/>
      <c r="I6233" s="239"/>
    </row>
    <row r="6234" spans="6:9" x14ac:dyDescent="0.35">
      <c r="F6234" s="33"/>
      <c r="G6234" s="70"/>
      <c r="H6234" s="400"/>
      <c r="I6234" s="239"/>
    </row>
    <row r="6235" spans="6:9" x14ac:dyDescent="0.35">
      <c r="F6235" s="33"/>
      <c r="G6235" s="70"/>
      <c r="H6235" s="400"/>
      <c r="I6235" s="239"/>
    </row>
    <row r="6236" spans="6:9" x14ac:dyDescent="0.35">
      <c r="F6236" s="33"/>
      <c r="G6236" s="70"/>
      <c r="H6236" s="400"/>
      <c r="I6236" s="239"/>
    </row>
    <row r="6237" spans="6:9" x14ac:dyDescent="0.35">
      <c r="F6237" s="33"/>
      <c r="G6237" s="70"/>
      <c r="H6237" s="400"/>
      <c r="I6237" s="239"/>
    </row>
    <row r="6238" spans="6:9" x14ac:dyDescent="0.35">
      <c r="F6238" s="33"/>
      <c r="G6238" s="70"/>
      <c r="H6238" s="400"/>
      <c r="I6238" s="239"/>
    </row>
    <row r="6239" spans="6:9" x14ac:dyDescent="0.35">
      <c r="F6239" s="33"/>
      <c r="G6239" s="70"/>
      <c r="H6239" s="400"/>
      <c r="I6239" s="239"/>
    </row>
    <row r="6240" spans="6:9" x14ac:dyDescent="0.35">
      <c r="F6240" s="33"/>
      <c r="G6240" s="70"/>
      <c r="H6240" s="400"/>
      <c r="I6240" s="239"/>
    </row>
    <row r="6241" spans="6:9" x14ac:dyDescent="0.35">
      <c r="F6241" s="33"/>
      <c r="G6241" s="70"/>
      <c r="H6241" s="400"/>
      <c r="I6241" s="239"/>
    </row>
    <row r="6242" spans="6:9" x14ac:dyDescent="0.35">
      <c r="F6242" s="33"/>
      <c r="G6242" s="70"/>
      <c r="H6242" s="400"/>
      <c r="I6242" s="239"/>
    </row>
    <row r="6243" spans="6:9" x14ac:dyDescent="0.35">
      <c r="F6243" s="33"/>
      <c r="G6243" s="70"/>
      <c r="H6243" s="400"/>
      <c r="I6243" s="239"/>
    </row>
    <row r="6244" spans="6:9" x14ac:dyDescent="0.35">
      <c r="F6244" s="33"/>
      <c r="G6244" s="70"/>
      <c r="H6244" s="400"/>
      <c r="I6244" s="239"/>
    </row>
    <row r="6245" spans="6:9" x14ac:dyDescent="0.35">
      <c r="F6245" s="33"/>
      <c r="G6245" s="70"/>
      <c r="H6245" s="400"/>
      <c r="I6245" s="239"/>
    </row>
    <row r="6246" spans="6:9" x14ac:dyDescent="0.35">
      <c r="F6246" s="33"/>
      <c r="G6246" s="70"/>
      <c r="H6246" s="400"/>
      <c r="I6246" s="239"/>
    </row>
    <row r="6247" spans="6:9" x14ac:dyDescent="0.35">
      <c r="F6247" s="33"/>
      <c r="G6247" s="70"/>
      <c r="H6247" s="400"/>
      <c r="I6247" s="239"/>
    </row>
    <row r="6248" spans="6:9" x14ac:dyDescent="0.35">
      <c r="F6248" s="33"/>
      <c r="G6248" s="70"/>
      <c r="H6248" s="400"/>
      <c r="I6248" s="239"/>
    </row>
    <row r="6249" spans="6:9" x14ac:dyDescent="0.35">
      <c r="F6249" s="33"/>
      <c r="G6249" s="70"/>
      <c r="H6249" s="400"/>
      <c r="I6249" s="239"/>
    </row>
    <row r="6250" spans="6:9" x14ac:dyDescent="0.35">
      <c r="F6250" s="33"/>
      <c r="G6250" s="70"/>
      <c r="H6250" s="400"/>
      <c r="I6250" s="239"/>
    </row>
    <row r="6251" spans="6:9" x14ac:dyDescent="0.35">
      <c r="F6251" s="33"/>
      <c r="G6251" s="70"/>
      <c r="H6251" s="400"/>
      <c r="I6251" s="239"/>
    </row>
    <row r="6252" spans="6:9" x14ac:dyDescent="0.35">
      <c r="F6252" s="33"/>
      <c r="G6252" s="70"/>
      <c r="H6252" s="400"/>
      <c r="I6252" s="239"/>
    </row>
    <row r="6253" spans="6:9" x14ac:dyDescent="0.35">
      <c r="F6253" s="33"/>
      <c r="G6253" s="70"/>
      <c r="H6253" s="400"/>
      <c r="I6253" s="239"/>
    </row>
    <row r="6254" spans="6:9" x14ac:dyDescent="0.35">
      <c r="F6254" s="33"/>
      <c r="G6254" s="70"/>
      <c r="H6254" s="400"/>
      <c r="I6254" s="239"/>
    </row>
    <row r="6255" spans="6:9" x14ac:dyDescent="0.35">
      <c r="F6255" s="33"/>
      <c r="G6255" s="70"/>
      <c r="H6255" s="400"/>
      <c r="I6255" s="239"/>
    </row>
    <row r="6256" spans="6:9" x14ac:dyDescent="0.35">
      <c r="F6256" s="33"/>
      <c r="G6256" s="70"/>
      <c r="H6256" s="400"/>
      <c r="I6256" s="239"/>
    </row>
    <row r="6257" spans="6:9" x14ac:dyDescent="0.35">
      <c r="F6257" s="33"/>
      <c r="G6257" s="70"/>
      <c r="H6257" s="400"/>
      <c r="I6257" s="239"/>
    </row>
    <row r="6258" spans="6:9" x14ac:dyDescent="0.35">
      <c r="F6258" s="33"/>
      <c r="G6258" s="70"/>
      <c r="H6258" s="400"/>
      <c r="I6258" s="239"/>
    </row>
    <row r="6259" spans="6:9" x14ac:dyDescent="0.35">
      <c r="F6259" s="33"/>
      <c r="G6259" s="70"/>
      <c r="H6259" s="400"/>
      <c r="I6259" s="239"/>
    </row>
    <row r="6260" spans="6:9" x14ac:dyDescent="0.35">
      <c r="F6260" s="33"/>
      <c r="G6260" s="70"/>
      <c r="H6260" s="400"/>
      <c r="I6260" s="239"/>
    </row>
    <row r="6261" spans="6:9" x14ac:dyDescent="0.35">
      <c r="F6261" s="33"/>
      <c r="G6261" s="70"/>
      <c r="H6261" s="400"/>
      <c r="I6261" s="239"/>
    </row>
    <row r="6262" spans="6:9" x14ac:dyDescent="0.35">
      <c r="F6262" s="33"/>
      <c r="G6262" s="70"/>
      <c r="H6262" s="400"/>
      <c r="I6262" s="239"/>
    </row>
    <row r="6263" spans="6:9" x14ac:dyDescent="0.35">
      <c r="F6263" s="33"/>
      <c r="G6263" s="70"/>
      <c r="H6263" s="400"/>
      <c r="I6263" s="239"/>
    </row>
    <row r="6264" spans="6:9" x14ac:dyDescent="0.35">
      <c r="F6264" s="33"/>
      <c r="G6264" s="70"/>
      <c r="H6264" s="400"/>
      <c r="I6264" s="239"/>
    </row>
    <row r="6265" spans="6:9" x14ac:dyDescent="0.35">
      <c r="F6265" s="33"/>
      <c r="G6265" s="70"/>
      <c r="H6265" s="400"/>
      <c r="I6265" s="239"/>
    </row>
    <row r="6266" spans="6:9" x14ac:dyDescent="0.35">
      <c r="F6266" s="33"/>
      <c r="G6266" s="70"/>
      <c r="H6266" s="400"/>
      <c r="I6266" s="239"/>
    </row>
    <row r="6267" spans="6:9" x14ac:dyDescent="0.35">
      <c r="F6267" s="33"/>
      <c r="G6267" s="70"/>
      <c r="H6267" s="400"/>
      <c r="I6267" s="239"/>
    </row>
    <row r="6268" spans="6:9" x14ac:dyDescent="0.35">
      <c r="F6268" s="33"/>
      <c r="G6268" s="70"/>
      <c r="H6268" s="400"/>
      <c r="I6268" s="239"/>
    </row>
    <row r="6269" spans="6:9" x14ac:dyDescent="0.35">
      <c r="F6269" s="33"/>
      <c r="G6269" s="70"/>
      <c r="H6269" s="400"/>
      <c r="I6269" s="239"/>
    </row>
    <row r="6270" spans="6:9" x14ac:dyDescent="0.35">
      <c r="F6270" s="33"/>
      <c r="G6270" s="70"/>
      <c r="H6270" s="400"/>
      <c r="I6270" s="239"/>
    </row>
    <row r="6271" spans="6:9" x14ac:dyDescent="0.35">
      <c r="F6271" s="33"/>
      <c r="G6271" s="70"/>
      <c r="H6271" s="400"/>
      <c r="I6271" s="239"/>
    </row>
    <row r="6272" spans="6:9" x14ac:dyDescent="0.35">
      <c r="F6272" s="33"/>
      <c r="G6272" s="70"/>
      <c r="H6272" s="400"/>
      <c r="I6272" s="239"/>
    </row>
    <row r="6273" spans="6:9" x14ac:dyDescent="0.35">
      <c r="F6273" s="33"/>
      <c r="G6273" s="70"/>
      <c r="H6273" s="400"/>
      <c r="I6273" s="239"/>
    </row>
    <row r="6274" spans="6:9" x14ac:dyDescent="0.35">
      <c r="F6274" s="33"/>
      <c r="G6274" s="70"/>
      <c r="H6274" s="400"/>
      <c r="I6274" s="239"/>
    </row>
    <row r="6275" spans="6:9" x14ac:dyDescent="0.35">
      <c r="F6275" s="33"/>
      <c r="G6275" s="70"/>
      <c r="H6275" s="400"/>
      <c r="I6275" s="239"/>
    </row>
    <row r="6276" spans="6:9" x14ac:dyDescent="0.35">
      <c r="F6276" s="33"/>
      <c r="G6276" s="70"/>
      <c r="H6276" s="400"/>
      <c r="I6276" s="239"/>
    </row>
    <row r="6277" spans="6:9" x14ac:dyDescent="0.35">
      <c r="F6277" s="33"/>
      <c r="G6277" s="70"/>
      <c r="H6277" s="400"/>
      <c r="I6277" s="239"/>
    </row>
    <row r="6278" spans="6:9" x14ac:dyDescent="0.35">
      <c r="F6278" s="33"/>
      <c r="G6278" s="70"/>
      <c r="H6278" s="400"/>
      <c r="I6278" s="239"/>
    </row>
    <row r="6279" spans="6:9" x14ac:dyDescent="0.35">
      <c r="F6279" s="33"/>
      <c r="G6279" s="70"/>
      <c r="H6279" s="400"/>
      <c r="I6279" s="239"/>
    </row>
    <row r="6280" spans="6:9" x14ac:dyDescent="0.35">
      <c r="F6280" s="33"/>
      <c r="G6280" s="70"/>
      <c r="H6280" s="400"/>
      <c r="I6280" s="239"/>
    </row>
    <row r="6281" spans="6:9" x14ac:dyDescent="0.35">
      <c r="F6281" s="33"/>
      <c r="G6281" s="70"/>
      <c r="H6281" s="400"/>
      <c r="I6281" s="239"/>
    </row>
    <row r="6282" spans="6:9" x14ac:dyDescent="0.35">
      <c r="F6282" s="33"/>
      <c r="G6282" s="70"/>
      <c r="H6282" s="400"/>
      <c r="I6282" s="239"/>
    </row>
    <row r="6283" spans="6:9" x14ac:dyDescent="0.35">
      <c r="F6283" s="33"/>
      <c r="G6283" s="70"/>
      <c r="H6283" s="400"/>
      <c r="I6283" s="239"/>
    </row>
    <row r="6284" spans="6:9" x14ac:dyDescent="0.35">
      <c r="F6284" s="33"/>
      <c r="G6284" s="70"/>
      <c r="H6284" s="400"/>
      <c r="I6284" s="239"/>
    </row>
    <row r="6285" spans="6:9" x14ac:dyDescent="0.35">
      <c r="F6285" s="33"/>
      <c r="G6285" s="70"/>
      <c r="H6285" s="400"/>
      <c r="I6285" s="239"/>
    </row>
    <row r="6286" spans="6:9" x14ac:dyDescent="0.35">
      <c r="F6286" s="33"/>
      <c r="G6286" s="70"/>
      <c r="H6286" s="400"/>
      <c r="I6286" s="239"/>
    </row>
    <row r="6287" spans="6:9" x14ac:dyDescent="0.35">
      <c r="F6287" s="33"/>
      <c r="G6287" s="70"/>
      <c r="H6287" s="400"/>
      <c r="I6287" s="239"/>
    </row>
    <row r="6288" spans="6:9" x14ac:dyDescent="0.35">
      <c r="F6288" s="33"/>
      <c r="G6288" s="70"/>
      <c r="H6288" s="400"/>
      <c r="I6288" s="239"/>
    </row>
    <row r="6289" spans="6:9" x14ac:dyDescent="0.35">
      <c r="F6289" s="33"/>
      <c r="G6289" s="70"/>
      <c r="H6289" s="400"/>
      <c r="I6289" s="239"/>
    </row>
    <row r="6290" spans="6:9" x14ac:dyDescent="0.35">
      <c r="F6290" s="33"/>
      <c r="G6290" s="70"/>
      <c r="H6290" s="400"/>
      <c r="I6290" s="239"/>
    </row>
    <row r="6291" spans="6:9" x14ac:dyDescent="0.35">
      <c r="F6291" s="33"/>
      <c r="G6291" s="70"/>
      <c r="H6291" s="400"/>
      <c r="I6291" s="239"/>
    </row>
    <row r="6292" spans="6:9" x14ac:dyDescent="0.35">
      <c r="F6292" s="33"/>
      <c r="G6292" s="70"/>
      <c r="H6292" s="400"/>
      <c r="I6292" s="239"/>
    </row>
    <row r="6293" spans="6:9" x14ac:dyDescent="0.35">
      <c r="F6293" s="33"/>
      <c r="G6293" s="70"/>
      <c r="H6293" s="400"/>
      <c r="I6293" s="239"/>
    </row>
    <row r="6294" spans="6:9" x14ac:dyDescent="0.35">
      <c r="F6294" s="33"/>
      <c r="G6294" s="70"/>
      <c r="H6294" s="400"/>
      <c r="I6294" s="239"/>
    </row>
    <row r="6295" spans="6:9" x14ac:dyDescent="0.35">
      <c r="F6295" s="33"/>
      <c r="G6295" s="70"/>
      <c r="H6295" s="400"/>
      <c r="I6295" s="239"/>
    </row>
    <row r="6296" spans="6:9" x14ac:dyDescent="0.35">
      <c r="F6296" s="33"/>
      <c r="G6296" s="70"/>
      <c r="H6296" s="400"/>
      <c r="I6296" s="239"/>
    </row>
    <row r="6297" spans="6:9" x14ac:dyDescent="0.35">
      <c r="F6297" s="33"/>
      <c r="G6297" s="70"/>
      <c r="H6297" s="400"/>
      <c r="I6297" s="239"/>
    </row>
    <row r="6298" spans="6:9" x14ac:dyDescent="0.35">
      <c r="F6298" s="33"/>
      <c r="G6298" s="70"/>
      <c r="H6298" s="400"/>
      <c r="I6298" s="239"/>
    </row>
    <row r="6299" spans="6:9" x14ac:dyDescent="0.35">
      <c r="F6299" s="33"/>
      <c r="G6299" s="70"/>
      <c r="H6299" s="400"/>
      <c r="I6299" s="239"/>
    </row>
    <row r="6300" spans="6:9" x14ac:dyDescent="0.35">
      <c r="F6300" s="33"/>
      <c r="G6300" s="70"/>
      <c r="H6300" s="400"/>
      <c r="I6300" s="239"/>
    </row>
    <row r="6301" spans="6:9" x14ac:dyDescent="0.35">
      <c r="F6301" s="33"/>
      <c r="G6301" s="70"/>
      <c r="H6301" s="400"/>
      <c r="I6301" s="239"/>
    </row>
    <row r="6302" spans="6:9" x14ac:dyDescent="0.35">
      <c r="F6302" s="33"/>
      <c r="G6302" s="70"/>
      <c r="H6302" s="400"/>
      <c r="I6302" s="239"/>
    </row>
    <row r="6303" spans="6:9" x14ac:dyDescent="0.35">
      <c r="F6303" s="33"/>
      <c r="G6303" s="70"/>
      <c r="H6303" s="400"/>
      <c r="I6303" s="239"/>
    </row>
    <row r="6304" spans="6:9" x14ac:dyDescent="0.35">
      <c r="F6304" s="33"/>
      <c r="G6304" s="70"/>
      <c r="H6304" s="400"/>
      <c r="I6304" s="239"/>
    </row>
    <row r="6305" spans="6:9" x14ac:dyDescent="0.35">
      <c r="F6305" s="33"/>
      <c r="G6305" s="70"/>
      <c r="H6305" s="400"/>
      <c r="I6305" s="239"/>
    </row>
    <row r="6306" spans="6:9" x14ac:dyDescent="0.35">
      <c r="F6306" s="33"/>
      <c r="G6306" s="70"/>
      <c r="H6306" s="400"/>
      <c r="I6306" s="239"/>
    </row>
    <row r="6307" spans="6:9" x14ac:dyDescent="0.35">
      <c r="F6307" s="33"/>
      <c r="G6307" s="70"/>
      <c r="H6307" s="400"/>
      <c r="I6307" s="239"/>
    </row>
    <row r="6308" spans="6:9" x14ac:dyDescent="0.35">
      <c r="F6308" s="33"/>
      <c r="G6308" s="70"/>
      <c r="H6308" s="400"/>
      <c r="I6308" s="239"/>
    </row>
    <row r="6309" spans="6:9" x14ac:dyDescent="0.35">
      <c r="F6309" s="33"/>
      <c r="G6309" s="70"/>
      <c r="H6309" s="400"/>
      <c r="I6309" s="239"/>
    </row>
    <row r="6310" spans="6:9" x14ac:dyDescent="0.35">
      <c r="F6310" s="33"/>
      <c r="G6310" s="70"/>
      <c r="H6310" s="400"/>
      <c r="I6310" s="239"/>
    </row>
    <row r="6311" spans="6:9" x14ac:dyDescent="0.35">
      <c r="F6311" s="33"/>
      <c r="G6311" s="70"/>
      <c r="H6311" s="400"/>
      <c r="I6311" s="239"/>
    </row>
    <row r="6312" spans="6:9" x14ac:dyDescent="0.35">
      <c r="F6312" s="33"/>
      <c r="G6312" s="70"/>
      <c r="H6312" s="400"/>
      <c r="I6312" s="239"/>
    </row>
    <row r="6313" spans="6:9" x14ac:dyDescent="0.35">
      <c r="F6313" s="33"/>
      <c r="G6313" s="70"/>
      <c r="H6313" s="400"/>
      <c r="I6313" s="239"/>
    </row>
    <row r="6314" spans="6:9" x14ac:dyDescent="0.35">
      <c r="F6314" s="33"/>
      <c r="G6314" s="70"/>
      <c r="H6314" s="400"/>
      <c r="I6314" s="239"/>
    </row>
    <row r="6315" spans="6:9" x14ac:dyDescent="0.35">
      <c r="F6315" s="33"/>
      <c r="G6315" s="70"/>
      <c r="H6315" s="400"/>
      <c r="I6315" s="239"/>
    </row>
    <row r="6316" spans="6:9" x14ac:dyDescent="0.35">
      <c r="F6316" s="33"/>
      <c r="G6316" s="70"/>
      <c r="H6316" s="400"/>
      <c r="I6316" s="239"/>
    </row>
    <row r="6317" spans="6:9" x14ac:dyDescent="0.35">
      <c r="F6317" s="33"/>
      <c r="G6317" s="70"/>
      <c r="H6317" s="400"/>
      <c r="I6317" s="239"/>
    </row>
    <row r="6318" spans="6:9" x14ac:dyDescent="0.35">
      <c r="F6318" s="33"/>
      <c r="G6318" s="70"/>
      <c r="H6318" s="400"/>
      <c r="I6318" s="239"/>
    </row>
    <row r="6319" spans="6:9" x14ac:dyDescent="0.35">
      <c r="F6319" s="33"/>
      <c r="G6319" s="70"/>
      <c r="H6319" s="400"/>
      <c r="I6319" s="239"/>
    </row>
    <row r="6320" spans="6:9" x14ac:dyDescent="0.35">
      <c r="F6320" s="33"/>
      <c r="G6320" s="70"/>
      <c r="H6320" s="400"/>
      <c r="I6320" s="239"/>
    </row>
    <row r="6321" spans="6:9" x14ac:dyDescent="0.35">
      <c r="F6321" s="33"/>
      <c r="G6321" s="70"/>
      <c r="H6321" s="400"/>
      <c r="I6321" s="239"/>
    </row>
    <row r="6322" spans="6:9" x14ac:dyDescent="0.35">
      <c r="F6322" s="33"/>
      <c r="G6322" s="70"/>
      <c r="H6322" s="400"/>
      <c r="I6322" s="239"/>
    </row>
    <row r="6323" spans="6:9" x14ac:dyDescent="0.35">
      <c r="F6323" s="33"/>
      <c r="G6323" s="70"/>
      <c r="H6323" s="400"/>
      <c r="I6323" s="239"/>
    </row>
    <row r="6324" spans="6:9" x14ac:dyDescent="0.35">
      <c r="F6324" s="33"/>
      <c r="G6324" s="70"/>
      <c r="H6324" s="400"/>
      <c r="I6324" s="239"/>
    </row>
    <row r="6325" spans="6:9" x14ac:dyDescent="0.35">
      <c r="F6325" s="33"/>
      <c r="G6325" s="70"/>
      <c r="H6325" s="400"/>
      <c r="I6325" s="239"/>
    </row>
    <row r="6326" spans="6:9" x14ac:dyDescent="0.35">
      <c r="F6326" s="33"/>
      <c r="G6326" s="70"/>
      <c r="H6326" s="400"/>
      <c r="I6326" s="239"/>
    </row>
    <row r="6327" spans="6:9" x14ac:dyDescent="0.35">
      <c r="F6327" s="33"/>
      <c r="G6327" s="70"/>
      <c r="H6327" s="400"/>
      <c r="I6327" s="239"/>
    </row>
    <row r="6328" spans="6:9" x14ac:dyDescent="0.35">
      <c r="F6328" s="33"/>
      <c r="G6328" s="70"/>
      <c r="H6328" s="400"/>
      <c r="I6328" s="239"/>
    </row>
    <row r="6329" spans="6:9" x14ac:dyDescent="0.35">
      <c r="F6329" s="33"/>
      <c r="G6329" s="70"/>
      <c r="H6329" s="400"/>
      <c r="I6329" s="239"/>
    </row>
    <row r="6330" spans="6:9" x14ac:dyDescent="0.35">
      <c r="F6330" s="33"/>
      <c r="G6330" s="70"/>
      <c r="H6330" s="400"/>
      <c r="I6330" s="239"/>
    </row>
    <row r="6331" spans="6:9" x14ac:dyDescent="0.35">
      <c r="F6331" s="33"/>
      <c r="G6331" s="70"/>
      <c r="H6331" s="400"/>
      <c r="I6331" s="239"/>
    </row>
    <row r="6332" spans="6:9" x14ac:dyDescent="0.35">
      <c r="F6332" s="33"/>
      <c r="G6332" s="70"/>
      <c r="H6332" s="400"/>
      <c r="I6332" s="239"/>
    </row>
    <row r="6333" spans="6:9" x14ac:dyDescent="0.35">
      <c r="F6333" s="33"/>
      <c r="G6333" s="70"/>
      <c r="H6333" s="400"/>
      <c r="I6333" s="239"/>
    </row>
    <row r="6334" spans="6:9" x14ac:dyDescent="0.35">
      <c r="F6334" s="33"/>
      <c r="G6334" s="70"/>
      <c r="H6334" s="400"/>
      <c r="I6334" s="239"/>
    </row>
    <row r="6335" spans="6:9" x14ac:dyDescent="0.35">
      <c r="F6335" s="33"/>
      <c r="G6335" s="70"/>
      <c r="H6335" s="400"/>
      <c r="I6335" s="239"/>
    </row>
    <row r="6336" spans="6:9" x14ac:dyDescent="0.35">
      <c r="F6336" s="33"/>
      <c r="G6336" s="70"/>
      <c r="H6336" s="400"/>
      <c r="I6336" s="239"/>
    </row>
    <row r="6337" spans="6:9" x14ac:dyDescent="0.35">
      <c r="F6337" s="33"/>
      <c r="G6337" s="70"/>
      <c r="H6337" s="400"/>
      <c r="I6337" s="239"/>
    </row>
    <row r="6338" spans="6:9" x14ac:dyDescent="0.35">
      <c r="F6338" s="33"/>
      <c r="G6338" s="70"/>
      <c r="H6338" s="400"/>
      <c r="I6338" s="239"/>
    </row>
    <row r="6339" spans="6:9" x14ac:dyDescent="0.35">
      <c r="F6339" s="33"/>
      <c r="G6339" s="70"/>
      <c r="H6339" s="400"/>
      <c r="I6339" s="239"/>
    </row>
    <row r="6340" spans="6:9" x14ac:dyDescent="0.35">
      <c r="F6340" s="33"/>
      <c r="G6340" s="70"/>
      <c r="H6340" s="400"/>
      <c r="I6340" s="239"/>
    </row>
    <row r="6341" spans="6:9" x14ac:dyDescent="0.35">
      <c r="F6341" s="33"/>
      <c r="G6341" s="70"/>
      <c r="H6341" s="400"/>
      <c r="I6341" s="239"/>
    </row>
    <row r="6342" spans="6:9" x14ac:dyDescent="0.35">
      <c r="F6342" s="33"/>
      <c r="G6342" s="70"/>
      <c r="H6342" s="400"/>
      <c r="I6342" s="239"/>
    </row>
    <row r="6343" spans="6:9" x14ac:dyDescent="0.35">
      <c r="F6343" s="33"/>
      <c r="G6343" s="70"/>
      <c r="H6343" s="400"/>
      <c r="I6343" s="239"/>
    </row>
    <row r="6344" spans="6:9" x14ac:dyDescent="0.35">
      <c r="F6344" s="33"/>
      <c r="G6344" s="70"/>
      <c r="H6344" s="400"/>
      <c r="I6344" s="239"/>
    </row>
    <row r="6345" spans="6:9" x14ac:dyDescent="0.35">
      <c r="F6345" s="33"/>
      <c r="G6345" s="70"/>
      <c r="H6345" s="400"/>
      <c r="I6345" s="239"/>
    </row>
    <row r="6346" spans="6:9" x14ac:dyDescent="0.35">
      <c r="F6346" s="33"/>
      <c r="G6346" s="70"/>
      <c r="H6346" s="400"/>
      <c r="I6346" s="239"/>
    </row>
    <row r="6347" spans="6:9" x14ac:dyDescent="0.35">
      <c r="F6347" s="33"/>
      <c r="G6347" s="70"/>
      <c r="H6347" s="400"/>
      <c r="I6347" s="239"/>
    </row>
    <row r="6348" spans="6:9" x14ac:dyDescent="0.35">
      <c r="F6348" s="33"/>
      <c r="G6348" s="70"/>
      <c r="H6348" s="400"/>
      <c r="I6348" s="239"/>
    </row>
    <row r="6349" spans="6:9" x14ac:dyDescent="0.35">
      <c r="F6349" s="33"/>
      <c r="G6349" s="70"/>
      <c r="H6349" s="400"/>
      <c r="I6349" s="239"/>
    </row>
    <row r="6350" spans="6:9" x14ac:dyDescent="0.35">
      <c r="F6350" s="33"/>
      <c r="G6350" s="70"/>
      <c r="H6350" s="400"/>
      <c r="I6350" s="239"/>
    </row>
    <row r="6351" spans="6:9" x14ac:dyDescent="0.35">
      <c r="F6351" s="33"/>
      <c r="G6351" s="70"/>
      <c r="H6351" s="400"/>
      <c r="I6351" s="239"/>
    </row>
    <row r="6352" spans="6:9" x14ac:dyDescent="0.35">
      <c r="F6352" s="33"/>
      <c r="G6352" s="70"/>
      <c r="H6352" s="400"/>
      <c r="I6352" s="239"/>
    </row>
    <row r="6353" spans="6:9" x14ac:dyDescent="0.35">
      <c r="F6353" s="33"/>
      <c r="G6353" s="70"/>
      <c r="H6353" s="400"/>
      <c r="I6353" s="239"/>
    </row>
    <row r="6354" spans="6:9" x14ac:dyDescent="0.35">
      <c r="F6354" s="33"/>
      <c r="G6354" s="70"/>
      <c r="H6354" s="400"/>
      <c r="I6354" s="239"/>
    </row>
    <row r="6355" spans="6:9" x14ac:dyDescent="0.35">
      <c r="F6355" s="33"/>
      <c r="G6355" s="70"/>
      <c r="H6355" s="400"/>
      <c r="I6355" s="239"/>
    </row>
    <row r="6356" spans="6:9" x14ac:dyDescent="0.35">
      <c r="F6356" s="33"/>
      <c r="G6356" s="70"/>
      <c r="H6356" s="400"/>
      <c r="I6356" s="239"/>
    </row>
    <row r="6357" spans="6:9" x14ac:dyDescent="0.35">
      <c r="F6357" s="33"/>
      <c r="G6357" s="70"/>
      <c r="H6357" s="400"/>
      <c r="I6357" s="239"/>
    </row>
    <row r="6358" spans="6:9" x14ac:dyDescent="0.35">
      <c r="F6358" s="33"/>
      <c r="G6358" s="70"/>
      <c r="H6358" s="400"/>
      <c r="I6358" s="239"/>
    </row>
    <row r="6359" spans="6:9" x14ac:dyDescent="0.35">
      <c r="F6359" s="33"/>
      <c r="G6359" s="70"/>
      <c r="H6359" s="400"/>
      <c r="I6359" s="239"/>
    </row>
    <row r="6360" spans="6:9" x14ac:dyDescent="0.35">
      <c r="F6360" s="33"/>
      <c r="G6360" s="70"/>
      <c r="H6360" s="400"/>
      <c r="I6360" s="239"/>
    </row>
    <row r="6361" spans="6:9" x14ac:dyDescent="0.35">
      <c r="F6361" s="33"/>
      <c r="G6361" s="70"/>
      <c r="H6361" s="400"/>
      <c r="I6361" s="239"/>
    </row>
    <row r="6362" spans="6:9" x14ac:dyDescent="0.35">
      <c r="F6362" s="33"/>
      <c r="G6362" s="70"/>
      <c r="H6362" s="400"/>
      <c r="I6362" s="239"/>
    </row>
    <row r="6363" spans="6:9" x14ac:dyDescent="0.35">
      <c r="F6363" s="33"/>
      <c r="G6363" s="70"/>
      <c r="H6363" s="400"/>
      <c r="I6363" s="239"/>
    </row>
    <row r="6364" spans="6:9" x14ac:dyDescent="0.35">
      <c r="F6364" s="33"/>
      <c r="G6364" s="70"/>
      <c r="H6364" s="400"/>
      <c r="I6364" s="239"/>
    </row>
    <row r="6365" spans="6:9" x14ac:dyDescent="0.35">
      <c r="F6365" s="33"/>
      <c r="G6365" s="70"/>
      <c r="H6365" s="400"/>
      <c r="I6365" s="239"/>
    </row>
    <row r="6366" spans="6:9" x14ac:dyDescent="0.35">
      <c r="F6366" s="33"/>
      <c r="G6366" s="70"/>
      <c r="H6366" s="400"/>
      <c r="I6366" s="239"/>
    </row>
    <row r="6367" spans="6:9" x14ac:dyDescent="0.35">
      <c r="F6367" s="33"/>
      <c r="G6367" s="70"/>
      <c r="H6367" s="400"/>
      <c r="I6367" s="239"/>
    </row>
    <row r="6368" spans="6:9" x14ac:dyDescent="0.35">
      <c r="F6368" s="33"/>
      <c r="G6368" s="70"/>
      <c r="H6368" s="400"/>
      <c r="I6368" s="239"/>
    </row>
    <row r="6369" spans="6:9" x14ac:dyDescent="0.35">
      <c r="F6369" s="33"/>
      <c r="G6369" s="70"/>
      <c r="H6369" s="400"/>
      <c r="I6369" s="239"/>
    </row>
    <row r="6370" spans="6:9" x14ac:dyDescent="0.35">
      <c r="F6370" s="33"/>
      <c r="G6370" s="70"/>
      <c r="H6370" s="400"/>
      <c r="I6370" s="239"/>
    </row>
    <row r="6371" spans="6:9" x14ac:dyDescent="0.35">
      <c r="F6371" s="33"/>
      <c r="G6371" s="70"/>
      <c r="H6371" s="400"/>
      <c r="I6371" s="239"/>
    </row>
    <row r="6372" spans="6:9" x14ac:dyDescent="0.35">
      <c r="F6372" s="33"/>
      <c r="G6372" s="70"/>
      <c r="H6372" s="400"/>
      <c r="I6372" s="239"/>
    </row>
    <row r="6373" spans="6:9" x14ac:dyDescent="0.35">
      <c r="F6373" s="33"/>
      <c r="G6373" s="70"/>
      <c r="H6373" s="400"/>
      <c r="I6373" s="239"/>
    </row>
    <row r="6374" spans="6:9" x14ac:dyDescent="0.35">
      <c r="F6374" s="33"/>
      <c r="G6374" s="70"/>
      <c r="H6374" s="400"/>
      <c r="I6374" s="239"/>
    </row>
    <row r="6375" spans="6:9" x14ac:dyDescent="0.35">
      <c r="F6375" s="33"/>
      <c r="G6375" s="70"/>
      <c r="H6375" s="400"/>
      <c r="I6375" s="239"/>
    </row>
    <row r="6376" spans="6:9" x14ac:dyDescent="0.35">
      <c r="F6376" s="33"/>
      <c r="G6376" s="70"/>
      <c r="H6376" s="400"/>
      <c r="I6376" s="239"/>
    </row>
    <row r="6377" spans="6:9" x14ac:dyDescent="0.35">
      <c r="F6377" s="33"/>
      <c r="G6377" s="70"/>
      <c r="H6377" s="400"/>
      <c r="I6377" s="239"/>
    </row>
    <row r="6378" spans="6:9" x14ac:dyDescent="0.35">
      <c r="F6378" s="33"/>
      <c r="G6378" s="70"/>
      <c r="H6378" s="400"/>
      <c r="I6378" s="239"/>
    </row>
    <row r="6379" spans="6:9" x14ac:dyDescent="0.35">
      <c r="F6379" s="33"/>
      <c r="G6379" s="70"/>
      <c r="H6379" s="400"/>
      <c r="I6379" s="239"/>
    </row>
    <row r="6380" spans="6:9" x14ac:dyDescent="0.35">
      <c r="F6380" s="33"/>
      <c r="G6380" s="70"/>
      <c r="H6380" s="400"/>
      <c r="I6380" s="239"/>
    </row>
    <row r="6381" spans="6:9" x14ac:dyDescent="0.35">
      <c r="F6381" s="33"/>
      <c r="G6381" s="70"/>
      <c r="H6381" s="400"/>
      <c r="I6381" s="239"/>
    </row>
    <row r="6382" spans="6:9" x14ac:dyDescent="0.35">
      <c r="F6382" s="33"/>
      <c r="G6382" s="70"/>
      <c r="H6382" s="400"/>
      <c r="I6382" s="239"/>
    </row>
    <row r="6383" spans="6:9" x14ac:dyDescent="0.35">
      <c r="F6383" s="33"/>
      <c r="G6383" s="70"/>
      <c r="H6383" s="400"/>
      <c r="I6383" s="239"/>
    </row>
    <row r="6384" spans="6:9" x14ac:dyDescent="0.35">
      <c r="F6384" s="33"/>
      <c r="G6384" s="70"/>
      <c r="H6384" s="400"/>
      <c r="I6384" s="239"/>
    </row>
    <row r="6385" spans="6:9" x14ac:dyDescent="0.35">
      <c r="F6385" s="33"/>
      <c r="G6385" s="70"/>
      <c r="H6385" s="400"/>
      <c r="I6385" s="239"/>
    </row>
    <row r="6386" spans="6:9" x14ac:dyDescent="0.35">
      <c r="F6386" s="33"/>
      <c r="G6386" s="70"/>
      <c r="H6386" s="400"/>
      <c r="I6386" s="239"/>
    </row>
    <row r="6387" spans="6:9" x14ac:dyDescent="0.35">
      <c r="F6387" s="33"/>
      <c r="G6387" s="70"/>
      <c r="H6387" s="400"/>
      <c r="I6387" s="239"/>
    </row>
    <row r="6388" spans="6:9" x14ac:dyDescent="0.35">
      <c r="F6388" s="33"/>
      <c r="G6388" s="70"/>
      <c r="H6388" s="400"/>
      <c r="I6388" s="239"/>
    </row>
    <row r="6389" spans="6:9" x14ac:dyDescent="0.35">
      <c r="F6389" s="33"/>
      <c r="G6389" s="70"/>
      <c r="H6389" s="400"/>
      <c r="I6389" s="239"/>
    </row>
    <row r="6390" spans="6:9" x14ac:dyDescent="0.35">
      <c r="F6390" s="33"/>
      <c r="G6390" s="70"/>
      <c r="H6390" s="400"/>
      <c r="I6390" s="239"/>
    </row>
    <row r="6391" spans="6:9" x14ac:dyDescent="0.35">
      <c r="F6391" s="33"/>
      <c r="G6391" s="70"/>
      <c r="H6391" s="400"/>
      <c r="I6391" s="239"/>
    </row>
    <row r="6392" spans="6:9" x14ac:dyDescent="0.35">
      <c r="F6392" s="33"/>
      <c r="G6392" s="70"/>
      <c r="H6392" s="400"/>
      <c r="I6392" s="239"/>
    </row>
    <row r="6393" spans="6:9" x14ac:dyDescent="0.35">
      <c r="F6393" s="33"/>
      <c r="G6393" s="70"/>
      <c r="H6393" s="400"/>
      <c r="I6393" s="239"/>
    </row>
    <row r="6394" spans="6:9" x14ac:dyDescent="0.35">
      <c r="F6394" s="33"/>
      <c r="G6394" s="70"/>
      <c r="H6394" s="400"/>
      <c r="I6394" s="239"/>
    </row>
    <row r="6395" spans="6:9" x14ac:dyDescent="0.35">
      <c r="F6395" s="33"/>
      <c r="G6395" s="70"/>
      <c r="H6395" s="400"/>
      <c r="I6395" s="239"/>
    </row>
    <row r="6396" spans="6:9" x14ac:dyDescent="0.35">
      <c r="F6396" s="33"/>
      <c r="G6396" s="70"/>
      <c r="H6396" s="400"/>
      <c r="I6396" s="239"/>
    </row>
    <row r="6397" spans="6:9" x14ac:dyDescent="0.35">
      <c r="F6397" s="33"/>
      <c r="G6397" s="70"/>
      <c r="H6397" s="400"/>
      <c r="I6397" s="239"/>
    </row>
    <row r="6398" spans="6:9" x14ac:dyDescent="0.35">
      <c r="F6398" s="33"/>
      <c r="G6398" s="70"/>
      <c r="H6398" s="400"/>
      <c r="I6398" s="239"/>
    </row>
    <row r="6399" spans="6:9" x14ac:dyDescent="0.35">
      <c r="F6399" s="33"/>
      <c r="G6399" s="70"/>
      <c r="H6399" s="400"/>
      <c r="I6399" s="239"/>
    </row>
    <row r="6400" spans="6:9" x14ac:dyDescent="0.35">
      <c r="F6400" s="33"/>
      <c r="G6400" s="70"/>
      <c r="H6400" s="400"/>
      <c r="I6400" s="239"/>
    </row>
    <row r="6401" spans="6:9" x14ac:dyDescent="0.35">
      <c r="F6401" s="33"/>
      <c r="G6401" s="70"/>
      <c r="H6401" s="400"/>
      <c r="I6401" s="239"/>
    </row>
    <row r="6402" spans="6:9" x14ac:dyDescent="0.35">
      <c r="F6402" s="33"/>
      <c r="G6402" s="70"/>
      <c r="H6402" s="400"/>
      <c r="I6402" s="239"/>
    </row>
    <row r="6403" spans="6:9" x14ac:dyDescent="0.35">
      <c r="F6403" s="33"/>
      <c r="G6403" s="70"/>
      <c r="H6403" s="400"/>
      <c r="I6403" s="239"/>
    </row>
    <row r="6404" spans="6:9" x14ac:dyDescent="0.35">
      <c r="F6404" s="33"/>
      <c r="G6404" s="70"/>
      <c r="H6404" s="400"/>
      <c r="I6404" s="239"/>
    </row>
    <row r="6405" spans="6:9" x14ac:dyDescent="0.35">
      <c r="F6405" s="33"/>
      <c r="G6405" s="70"/>
      <c r="H6405" s="400"/>
      <c r="I6405" s="239"/>
    </row>
    <row r="6406" spans="6:9" x14ac:dyDescent="0.35">
      <c r="F6406" s="33"/>
      <c r="G6406" s="70"/>
      <c r="H6406" s="400"/>
      <c r="I6406" s="239"/>
    </row>
    <row r="6407" spans="6:9" x14ac:dyDescent="0.35">
      <c r="F6407" s="33"/>
      <c r="G6407" s="70"/>
      <c r="H6407" s="400"/>
      <c r="I6407" s="239"/>
    </row>
    <row r="6408" spans="6:9" x14ac:dyDescent="0.35">
      <c r="F6408" s="33"/>
      <c r="G6408" s="70"/>
      <c r="H6408" s="400"/>
      <c r="I6408" s="239"/>
    </row>
    <row r="6409" spans="6:9" x14ac:dyDescent="0.35">
      <c r="F6409" s="33"/>
      <c r="G6409" s="70"/>
      <c r="H6409" s="400"/>
      <c r="I6409" s="239"/>
    </row>
    <row r="6410" spans="6:9" x14ac:dyDescent="0.35">
      <c r="F6410" s="33"/>
      <c r="G6410" s="70"/>
      <c r="H6410" s="400"/>
      <c r="I6410" s="239"/>
    </row>
    <row r="6411" spans="6:9" x14ac:dyDescent="0.35">
      <c r="F6411" s="33"/>
      <c r="G6411" s="70"/>
      <c r="H6411" s="400"/>
      <c r="I6411" s="239"/>
    </row>
    <row r="6412" spans="6:9" x14ac:dyDescent="0.35">
      <c r="F6412" s="33"/>
      <c r="G6412" s="70"/>
      <c r="H6412" s="400"/>
      <c r="I6412" s="239"/>
    </row>
    <row r="6413" spans="6:9" x14ac:dyDescent="0.35">
      <c r="F6413" s="33"/>
      <c r="G6413" s="70"/>
      <c r="H6413" s="400"/>
      <c r="I6413" s="239"/>
    </row>
    <row r="6414" spans="6:9" x14ac:dyDescent="0.35">
      <c r="F6414" s="33"/>
      <c r="G6414" s="70"/>
      <c r="H6414" s="400"/>
      <c r="I6414" s="239"/>
    </row>
    <row r="6415" spans="6:9" x14ac:dyDescent="0.35">
      <c r="F6415" s="33"/>
      <c r="G6415" s="70"/>
      <c r="H6415" s="400"/>
      <c r="I6415" s="239"/>
    </row>
    <row r="6416" spans="6:9" x14ac:dyDescent="0.35">
      <c r="F6416" s="33"/>
      <c r="G6416" s="70"/>
      <c r="H6416" s="400"/>
      <c r="I6416" s="239"/>
    </row>
    <row r="6417" spans="6:9" x14ac:dyDescent="0.35">
      <c r="F6417" s="33"/>
      <c r="G6417" s="70"/>
      <c r="H6417" s="400"/>
      <c r="I6417" s="239"/>
    </row>
    <row r="6418" spans="6:9" x14ac:dyDescent="0.35">
      <c r="F6418" s="33"/>
      <c r="G6418" s="70"/>
      <c r="H6418" s="400"/>
      <c r="I6418" s="239"/>
    </row>
    <row r="6419" spans="6:9" x14ac:dyDescent="0.35">
      <c r="F6419" s="33"/>
      <c r="G6419" s="70"/>
      <c r="H6419" s="400"/>
      <c r="I6419" s="239"/>
    </row>
    <row r="6420" spans="6:9" x14ac:dyDescent="0.35">
      <c r="F6420" s="33"/>
      <c r="G6420" s="70"/>
      <c r="H6420" s="400"/>
      <c r="I6420" s="239"/>
    </row>
    <row r="6421" spans="6:9" x14ac:dyDescent="0.35">
      <c r="F6421" s="33"/>
      <c r="G6421" s="70"/>
      <c r="H6421" s="400"/>
      <c r="I6421" s="239"/>
    </row>
    <row r="6422" spans="6:9" x14ac:dyDescent="0.35">
      <c r="F6422" s="33"/>
      <c r="G6422" s="70"/>
      <c r="H6422" s="400"/>
      <c r="I6422" s="239"/>
    </row>
    <row r="6423" spans="6:9" x14ac:dyDescent="0.35">
      <c r="F6423" s="33"/>
      <c r="G6423" s="70"/>
      <c r="H6423" s="400"/>
      <c r="I6423" s="239"/>
    </row>
    <row r="6424" spans="6:9" x14ac:dyDescent="0.35">
      <c r="F6424" s="33"/>
      <c r="G6424" s="70"/>
      <c r="H6424" s="400"/>
      <c r="I6424" s="239"/>
    </row>
    <row r="6425" spans="6:9" x14ac:dyDescent="0.35">
      <c r="F6425" s="33"/>
      <c r="G6425" s="70"/>
      <c r="H6425" s="400"/>
      <c r="I6425" s="239"/>
    </row>
    <row r="6426" spans="6:9" x14ac:dyDescent="0.35">
      <c r="F6426" s="33"/>
      <c r="G6426" s="70"/>
      <c r="H6426" s="400"/>
      <c r="I6426" s="239"/>
    </row>
    <row r="6427" spans="6:9" x14ac:dyDescent="0.35">
      <c r="F6427" s="33"/>
      <c r="G6427" s="70"/>
      <c r="H6427" s="400"/>
      <c r="I6427" s="239"/>
    </row>
    <row r="6428" spans="6:9" x14ac:dyDescent="0.35">
      <c r="F6428" s="33"/>
      <c r="G6428" s="70"/>
      <c r="H6428" s="400"/>
      <c r="I6428" s="239"/>
    </row>
    <row r="6429" spans="6:9" x14ac:dyDescent="0.35">
      <c r="F6429" s="33"/>
      <c r="G6429" s="70"/>
      <c r="H6429" s="400"/>
      <c r="I6429" s="239"/>
    </row>
    <row r="6430" spans="6:9" x14ac:dyDescent="0.35">
      <c r="F6430" s="33"/>
      <c r="G6430" s="70"/>
      <c r="H6430" s="400"/>
      <c r="I6430" s="239"/>
    </row>
    <row r="6431" spans="6:9" x14ac:dyDescent="0.35">
      <c r="F6431" s="33"/>
      <c r="G6431" s="70"/>
      <c r="H6431" s="400"/>
      <c r="I6431" s="239"/>
    </row>
    <row r="6432" spans="6:9" x14ac:dyDescent="0.35">
      <c r="F6432" s="33"/>
      <c r="G6432" s="70"/>
      <c r="H6432" s="400"/>
      <c r="I6432" s="239"/>
    </row>
    <row r="6433" spans="6:9" x14ac:dyDescent="0.35">
      <c r="F6433" s="33"/>
      <c r="G6433" s="70"/>
      <c r="H6433" s="400"/>
      <c r="I6433" s="239"/>
    </row>
    <row r="6434" spans="6:9" x14ac:dyDescent="0.35">
      <c r="F6434" s="33"/>
      <c r="G6434" s="70"/>
      <c r="H6434" s="400"/>
      <c r="I6434" s="239"/>
    </row>
    <row r="6435" spans="6:9" x14ac:dyDescent="0.35">
      <c r="F6435" s="33"/>
      <c r="G6435" s="70"/>
      <c r="H6435" s="400"/>
      <c r="I6435" s="239"/>
    </row>
    <row r="6436" spans="6:9" x14ac:dyDescent="0.35">
      <c r="F6436" s="33"/>
      <c r="G6436" s="70"/>
      <c r="H6436" s="400"/>
      <c r="I6436" s="239"/>
    </row>
    <row r="6437" spans="6:9" x14ac:dyDescent="0.35">
      <c r="F6437" s="33"/>
      <c r="G6437" s="70"/>
      <c r="H6437" s="400"/>
      <c r="I6437" s="239"/>
    </row>
    <row r="6438" spans="6:9" x14ac:dyDescent="0.35">
      <c r="F6438" s="33"/>
      <c r="G6438" s="70"/>
      <c r="H6438" s="400"/>
      <c r="I6438" s="239"/>
    </row>
    <row r="6439" spans="6:9" x14ac:dyDescent="0.35">
      <c r="F6439" s="33"/>
      <c r="G6439" s="70"/>
      <c r="H6439" s="400"/>
      <c r="I6439" s="239"/>
    </row>
    <row r="6440" spans="6:9" x14ac:dyDescent="0.35">
      <c r="F6440" s="33"/>
      <c r="G6440" s="70"/>
      <c r="H6440" s="400"/>
      <c r="I6440" s="239"/>
    </row>
    <row r="6441" spans="6:9" x14ac:dyDescent="0.35">
      <c r="F6441" s="33"/>
      <c r="G6441" s="70"/>
      <c r="H6441" s="400"/>
      <c r="I6441" s="239"/>
    </row>
    <row r="6442" spans="6:9" x14ac:dyDescent="0.35">
      <c r="F6442" s="33"/>
      <c r="G6442" s="70"/>
      <c r="H6442" s="400"/>
      <c r="I6442" s="239"/>
    </row>
    <row r="6443" spans="6:9" x14ac:dyDescent="0.35">
      <c r="F6443" s="33"/>
      <c r="G6443" s="70"/>
      <c r="H6443" s="400"/>
      <c r="I6443" s="239"/>
    </row>
    <row r="6444" spans="6:9" x14ac:dyDescent="0.35">
      <c r="F6444" s="33"/>
      <c r="G6444" s="70"/>
      <c r="H6444" s="400"/>
      <c r="I6444" s="239"/>
    </row>
    <row r="6445" spans="6:9" x14ac:dyDescent="0.35">
      <c r="F6445" s="33"/>
      <c r="G6445" s="70"/>
      <c r="H6445" s="400"/>
      <c r="I6445" s="239"/>
    </row>
    <row r="6446" spans="6:9" x14ac:dyDescent="0.35">
      <c r="F6446" s="33"/>
      <c r="G6446" s="70"/>
      <c r="H6446" s="400"/>
      <c r="I6446" s="239"/>
    </row>
    <row r="6447" spans="6:9" x14ac:dyDescent="0.35">
      <c r="F6447" s="33"/>
      <c r="G6447" s="70"/>
      <c r="H6447" s="400"/>
      <c r="I6447" s="239"/>
    </row>
    <row r="6448" spans="6:9" x14ac:dyDescent="0.35">
      <c r="F6448" s="33"/>
      <c r="G6448" s="70"/>
      <c r="H6448" s="400"/>
      <c r="I6448" s="239"/>
    </row>
    <row r="6449" spans="6:9" x14ac:dyDescent="0.35">
      <c r="F6449" s="33"/>
      <c r="G6449" s="70"/>
      <c r="H6449" s="400"/>
      <c r="I6449" s="239"/>
    </row>
    <row r="6450" spans="6:9" x14ac:dyDescent="0.35">
      <c r="F6450" s="33"/>
      <c r="G6450" s="70"/>
      <c r="H6450" s="400"/>
      <c r="I6450" s="239"/>
    </row>
    <row r="6451" spans="6:9" x14ac:dyDescent="0.35">
      <c r="F6451" s="33"/>
      <c r="G6451" s="70"/>
      <c r="H6451" s="400"/>
      <c r="I6451" s="239"/>
    </row>
    <row r="6452" spans="6:9" x14ac:dyDescent="0.35">
      <c r="F6452" s="33"/>
      <c r="G6452" s="70"/>
      <c r="H6452" s="400"/>
      <c r="I6452" s="239"/>
    </row>
    <row r="6453" spans="6:9" x14ac:dyDescent="0.35">
      <c r="F6453" s="33"/>
      <c r="G6453" s="70"/>
      <c r="H6453" s="400"/>
      <c r="I6453" s="239"/>
    </row>
    <row r="6454" spans="6:9" x14ac:dyDescent="0.35">
      <c r="F6454" s="33"/>
      <c r="G6454" s="70"/>
      <c r="H6454" s="400"/>
      <c r="I6454" s="239"/>
    </row>
    <row r="6455" spans="6:9" x14ac:dyDescent="0.35">
      <c r="F6455" s="33"/>
      <c r="G6455" s="70"/>
      <c r="H6455" s="400"/>
      <c r="I6455" s="239"/>
    </row>
    <row r="6456" spans="6:9" x14ac:dyDescent="0.35">
      <c r="F6456" s="33"/>
      <c r="G6456" s="70"/>
      <c r="H6456" s="400"/>
      <c r="I6456" s="239"/>
    </row>
    <row r="6457" spans="6:9" x14ac:dyDescent="0.35">
      <c r="F6457" s="33"/>
      <c r="G6457" s="70"/>
      <c r="H6457" s="400"/>
      <c r="I6457" s="239"/>
    </row>
    <row r="6458" spans="6:9" x14ac:dyDescent="0.35">
      <c r="F6458" s="33"/>
      <c r="G6458" s="70"/>
      <c r="H6458" s="400"/>
      <c r="I6458" s="239"/>
    </row>
    <row r="6459" spans="6:9" x14ac:dyDescent="0.35">
      <c r="F6459" s="33"/>
      <c r="G6459" s="70"/>
      <c r="H6459" s="400"/>
      <c r="I6459" s="239"/>
    </row>
    <row r="6460" spans="6:9" x14ac:dyDescent="0.35">
      <c r="F6460" s="33"/>
      <c r="G6460" s="70"/>
      <c r="H6460" s="400"/>
      <c r="I6460" s="239"/>
    </row>
    <row r="6461" spans="6:9" x14ac:dyDescent="0.35">
      <c r="F6461" s="33"/>
      <c r="G6461" s="70"/>
      <c r="H6461" s="400"/>
      <c r="I6461" s="239"/>
    </row>
    <row r="6462" spans="6:9" x14ac:dyDescent="0.35">
      <c r="F6462" s="33"/>
      <c r="G6462" s="70"/>
      <c r="H6462" s="400"/>
      <c r="I6462" s="239"/>
    </row>
    <row r="6463" spans="6:9" x14ac:dyDescent="0.35">
      <c r="F6463" s="33"/>
      <c r="G6463" s="70"/>
      <c r="H6463" s="400"/>
      <c r="I6463" s="239"/>
    </row>
    <row r="6464" spans="6:9" x14ac:dyDescent="0.35">
      <c r="F6464" s="33"/>
      <c r="G6464" s="70"/>
      <c r="H6464" s="400"/>
      <c r="I6464" s="239"/>
    </row>
    <row r="6465" spans="6:9" x14ac:dyDescent="0.35">
      <c r="F6465" s="33"/>
      <c r="G6465" s="70"/>
      <c r="H6465" s="400"/>
      <c r="I6465" s="239"/>
    </row>
    <row r="6466" spans="6:9" x14ac:dyDescent="0.35">
      <c r="F6466" s="33"/>
      <c r="G6466" s="70"/>
      <c r="H6466" s="400"/>
      <c r="I6466" s="239"/>
    </row>
    <row r="6467" spans="6:9" x14ac:dyDescent="0.35">
      <c r="F6467" s="33"/>
      <c r="G6467" s="70"/>
      <c r="H6467" s="400"/>
      <c r="I6467" s="239"/>
    </row>
    <row r="6468" spans="6:9" x14ac:dyDescent="0.35">
      <c r="F6468" s="33"/>
      <c r="G6468" s="70"/>
      <c r="H6468" s="400"/>
      <c r="I6468" s="239"/>
    </row>
    <row r="6469" spans="6:9" x14ac:dyDescent="0.35">
      <c r="F6469" s="33"/>
      <c r="G6469" s="70"/>
      <c r="H6469" s="400"/>
      <c r="I6469" s="239"/>
    </row>
    <row r="6470" spans="6:9" x14ac:dyDescent="0.35">
      <c r="F6470" s="33"/>
      <c r="G6470" s="70"/>
      <c r="H6470" s="400"/>
      <c r="I6470" s="239"/>
    </row>
    <row r="6471" spans="6:9" x14ac:dyDescent="0.35">
      <c r="F6471" s="33"/>
      <c r="G6471" s="70"/>
      <c r="H6471" s="400"/>
      <c r="I6471" s="239"/>
    </row>
    <row r="6472" spans="6:9" x14ac:dyDescent="0.35">
      <c r="F6472" s="33"/>
      <c r="G6472" s="70"/>
      <c r="H6472" s="400"/>
      <c r="I6472" s="239"/>
    </row>
    <row r="6473" spans="6:9" x14ac:dyDescent="0.35">
      <c r="F6473" s="33"/>
      <c r="G6473" s="70"/>
      <c r="H6473" s="400"/>
      <c r="I6473" s="239"/>
    </row>
    <row r="6474" spans="6:9" x14ac:dyDescent="0.35">
      <c r="F6474" s="33"/>
      <c r="G6474" s="70"/>
      <c r="H6474" s="400"/>
      <c r="I6474" s="239"/>
    </row>
    <row r="6475" spans="6:9" x14ac:dyDescent="0.35">
      <c r="F6475" s="33"/>
      <c r="G6475" s="70"/>
      <c r="H6475" s="400"/>
      <c r="I6475" s="239"/>
    </row>
    <row r="6476" spans="6:9" x14ac:dyDescent="0.35">
      <c r="F6476" s="33"/>
      <c r="G6476" s="70"/>
      <c r="H6476" s="400"/>
      <c r="I6476" s="239"/>
    </row>
    <row r="6477" spans="6:9" x14ac:dyDescent="0.35">
      <c r="F6477" s="33"/>
      <c r="G6477" s="70"/>
      <c r="H6477" s="400"/>
      <c r="I6477" s="239"/>
    </row>
    <row r="6478" spans="6:9" x14ac:dyDescent="0.35">
      <c r="F6478" s="33"/>
      <c r="G6478" s="70"/>
      <c r="H6478" s="400"/>
      <c r="I6478" s="239"/>
    </row>
    <row r="6479" spans="6:9" x14ac:dyDescent="0.35">
      <c r="F6479" s="33"/>
      <c r="G6479" s="70"/>
      <c r="H6479" s="400"/>
      <c r="I6479" s="239"/>
    </row>
    <row r="6480" spans="6:9" x14ac:dyDescent="0.35">
      <c r="F6480" s="33"/>
      <c r="G6480" s="70"/>
      <c r="H6480" s="400"/>
      <c r="I6480" s="239"/>
    </row>
    <row r="6481" spans="6:9" x14ac:dyDescent="0.35">
      <c r="F6481" s="33"/>
      <c r="G6481" s="70"/>
      <c r="H6481" s="400"/>
      <c r="I6481" s="239"/>
    </row>
    <row r="6482" spans="6:9" x14ac:dyDescent="0.35">
      <c r="F6482" s="33"/>
      <c r="G6482" s="70"/>
      <c r="H6482" s="400"/>
      <c r="I6482" s="239"/>
    </row>
    <row r="6483" spans="6:9" x14ac:dyDescent="0.35">
      <c r="F6483" s="33"/>
      <c r="G6483" s="70"/>
      <c r="H6483" s="400"/>
      <c r="I6483" s="239"/>
    </row>
    <row r="6484" spans="6:9" x14ac:dyDescent="0.35">
      <c r="F6484" s="33"/>
      <c r="G6484" s="70"/>
      <c r="H6484" s="400"/>
      <c r="I6484" s="239"/>
    </row>
    <row r="6485" spans="6:9" x14ac:dyDescent="0.35">
      <c r="F6485" s="33"/>
      <c r="G6485" s="70"/>
      <c r="H6485" s="400"/>
      <c r="I6485" s="239"/>
    </row>
    <row r="6486" spans="6:9" x14ac:dyDescent="0.35">
      <c r="F6486" s="33"/>
      <c r="G6486" s="70"/>
      <c r="H6486" s="400"/>
      <c r="I6486" s="239"/>
    </row>
    <row r="6487" spans="6:9" x14ac:dyDescent="0.35">
      <c r="F6487" s="33"/>
      <c r="G6487" s="70"/>
      <c r="H6487" s="400"/>
      <c r="I6487" s="239"/>
    </row>
    <row r="6488" spans="6:9" x14ac:dyDescent="0.35">
      <c r="F6488" s="33"/>
      <c r="G6488" s="70"/>
      <c r="H6488" s="400"/>
      <c r="I6488" s="239"/>
    </row>
    <row r="6489" spans="6:9" x14ac:dyDescent="0.35">
      <c r="F6489" s="33"/>
      <c r="G6489" s="70"/>
      <c r="H6489" s="400"/>
      <c r="I6489" s="239"/>
    </row>
    <row r="6490" spans="6:9" x14ac:dyDescent="0.35">
      <c r="F6490" s="33"/>
      <c r="G6490" s="70"/>
      <c r="H6490" s="400"/>
      <c r="I6490" s="239"/>
    </row>
    <row r="6491" spans="6:9" x14ac:dyDescent="0.35">
      <c r="F6491" s="33"/>
      <c r="G6491" s="70"/>
      <c r="H6491" s="400"/>
      <c r="I6491" s="239"/>
    </row>
    <row r="6492" spans="6:9" x14ac:dyDescent="0.35">
      <c r="F6492" s="33"/>
      <c r="G6492" s="70"/>
      <c r="H6492" s="400"/>
      <c r="I6492" s="239"/>
    </row>
    <row r="6493" spans="6:9" x14ac:dyDescent="0.35">
      <c r="F6493" s="33"/>
      <c r="G6493" s="70"/>
      <c r="H6493" s="400"/>
      <c r="I6493" s="239"/>
    </row>
    <row r="6494" spans="6:9" x14ac:dyDescent="0.35">
      <c r="F6494" s="33"/>
      <c r="G6494" s="70"/>
      <c r="H6494" s="400"/>
      <c r="I6494" s="239"/>
    </row>
    <row r="6495" spans="6:9" x14ac:dyDescent="0.35">
      <c r="F6495" s="33"/>
      <c r="G6495" s="70"/>
      <c r="H6495" s="400"/>
      <c r="I6495" s="239"/>
    </row>
    <row r="6496" spans="6:9" x14ac:dyDescent="0.35">
      <c r="F6496" s="33"/>
      <c r="G6496" s="70"/>
      <c r="H6496" s="400"/>
      <c r="I6496" s="239"/>
    </row>
    <row r="6497" spans="6:9" x14ac:dyDescent="0.35">
      <c r="F6497" s="33"/>
      <c r="G6497" s="70"/>
      <c r="H6497" s="400"/>
      <c r="I6497" s="239"/>
    </row>
    <row r="6498" spans="6:9" x14ac:dyDescent="0.35">
      <c r="F6498" s="33"/>
      <c r="G6498" s="70"/>
      <c r="H6498" s="400"/>
      <c r="I6498" s="239"/>
    </row>
    <row r="6499" spans="6:9" x14ac:dyDescent="0.35">
      <c r="F6499" s="33"/>
      <c r="G6499" s="70"/>
      <c r="H6499" s="400"/>
      <c r="I6499" s="239"/>
    </row>
    <row r="6500" spans="6:9" x14ac:dyDescent="0.35">
      <c r="F6500" s="33"/>
      <c r="G6500" s="70"/>
      <c r="H6500" s="400"/>
      <c r="I6500" s="239"/>
    </row>
    <row r="6501" spans="6:9" x14ac:dyDescent="0.35">
      <c r="F6501" s="33"/>
      <c r="G6501" s="70"/>
      <c r="H6501" s="400"/>
      <c r="I6501" s="239"/>
    </row>
    <row r="6502" spans="6:9" x14ac:dyDescent="0.35">
      <c r="F6502" s="33"/>
      <c r="G6502" s="70"/>
      <c r="H6502" s="400"/>
      <c r="I6502" s="239"/>
    </row>
    <row r="6503" spans="6:9" x14ac:dyDescent="0.35">
      <c r="F6503" s="33"/>
      <c r="G6503" s="70"/>
      <c r="H6503" s="400"/>
      <c r="I6503" s="239"/>
    </row>
    <row r="6504" spans="6:9" x14ac:dyDescent="0.35">
      <c r="F6504" s="33"/>
      <c r="G6504" s="70"/>
      <c r="H6504" s="400"/>
      <c r="I6504" s="239"/>
    </row>
    <row r="6505" spans="6:9" x14ac:dyDescent="0.35">
      <c r="F6505" s="33"/>
      <c r="G6505" s="70"/>
      <c r="H6505" s="400"/>
      <c r="I6505" s="239"/>
    </row>
    <row r="6506" spans="6:9" x14ac:dyDescent="0.35">
      <c r="F6506" s="33"/>
      <c r="G6506" s="70"/>
      <c r="H6506" s="400"/>
      <c r="I6506" s="239"/>
    </row>
    <row r="6507" spans="6:9" x14ac:dyDescent="0.35">
      <c r="F6507" s="33"/>
      <c r="G6507" s="70"/>
      <c r="H6507" s="400"/>
      <c r="I6507" s="239"/>
    </row>
    <row r="6508" spans="6:9" x14ac:dyDescent="0.35">
      <c r="F6508" s="33"/>
      <c r="G6508" s="70"/>
      <c r="H6508" s="400"/>
      <c r="I6508" s="239"/>
    </row>
    <row r="6509" spans="6:9" x14ac:dyDescent="0.35">
      <c r="F6509" s="33"/>
      <c r="G6509" s="70"/>
      <c r="H6509" s="400"/>
      <c r="I6509" s="239"/>
    </row>
    <row r="6510" spans="6:9" x14ac:dyDescent="0.35">
      <c r="F6510" s="33"/>
      <c r="G6510" s="70"/>
      <c r="H6510" s="400"/>
      <c r="I6510" s="239"/>
    </row>
    <row r="6511" spans="6:9" x14ac:dyDescent="0.35">
      <c r="F6511" s="33"/>
      <c r="G6511" s="70"/>
      <c r="H6511" s="400"/>
      <c r="I6511" s="239"/>
    </row>
    <row r="6512" spans="6:9" x14ac:dyDescent="0.35">
      <c r="F6512" s="33"/>
      <c r="G6512" s="70"/>
      <c r="H6512" s="400"/>
      <c r="I6512" s="239"/>
    </row>
    <row r="6513" spans="6:9" x14ac:dyDescent="0.35">
      <c r="F6513" s="33"/>
      <c r="G6513" s="70"/>
      <c r="H6513" s="400"/>
      <c r="I6513" s="239"/>
    </row>
    <row r="6514" spans="6:9" x14ac:dyDescent="0.35">
      <c r="F6514" s="33"/>
      <c r="G6514" s="70"/>
      <c r="H6514" s="400"/>
      <c r="I6514" s="239"/>
    </row>
    <row r="6515" spans="6:9" x14ac:dyDescent="0.35">
      <c r="F6515" s="33"/>
      <c r="G6515" s="70"/>
      <c r="H6515" s="400"/>
      <c r="I6515" s="239"/>
    </row>
    <row r="6516" spans="6:9" x14ac:dyDescent="0.35">
      <c r="F6516" s="33"/>
      <c r="G6516" s="70"/>
      <c r="H6516" s="400"/>
      <c r="I6516" s="239"/>
    </row>
    <row r="6517" spans="6:9" x14ac:dyDescent="0.35">
      <c r="F6517" s="33"/>
      <c r="G6517" s="70"/>
      <c r="H6517" s="400"/>
      <c r="I6517" s="239"/>
    </row>
    <row r="6518" spans="6:9" x14ac:dyDescent="0.35">
      <c r="F6518" s="33"/>
      <c r="G6518" s="70"/>
      <c r="H6518" s="400"/>
      <c r="I6518" s="239"/>
    </row>
    <row r="6519" spans="6:9" x14ac:dyDescent="0.35">
      <c r="F6519" s="33"/>
      <c r="G6519" s="70"/>
      <c r="H6519" s="400"/>
      <c r="I6519" s="239"/>
    </row>
    <row r="6520" spans="6:9" x14ac:dyDescent="0.35">
      <c r="F6520" s="33"/>
      <c r="G6520" s="70"/>
      <c r="H6520" s="400"/>
      <c r="I6520" s="239"/>
    </row>
    <row r="6521" spans="6:9" x14ac:dyDescent="0.35">
      <c r="F6521" s="33"/>
      <c r="G6521" s="70"/>
      <c r="H6521" s="400"/>
      <c r="I6521" s="239"/>
    </row>
    <row r="6522" spans="6:9" x14ac:dyDescent="0.35">
      <c r="F6522" s="33"/>
      <c r="G6522" s="70"/>
      <c r="H6522" s="400"/>
      <c r="I6522" s="239"/>
    </row>
    <row r="6523" spans="6:9" x14ac:dyDescent="0.35">
      <c r="F6523" s="33"/>
      <c r="G6523" s="70"/>
      <c r="H6523" s="400"/>
      <c r="I6523" s="239"/>
    </row>
    <row r="6524" spans="6:9" x14ac:dyDescent="0.35">
      <c r="F6524" s="33"/>
      <c r="G6524" s="70"/>
      <c r="H6524" s="400"/>
      <c r="I6524" s="239"/>
    </row>
    <row r="6525" spans="6:9" x14ac:dyDescent="0.35">
      <c r="F6525" s="33"/>
      <c r="G6525" s="70"/>
      <c r="H6525" s="400"/>
      <c r="I6525" s="239"/>
    </row>
    <row r="6526" spans="6:9" x14ac:dyDescent="0.35">
      <c r="F6526" s="33"/>
      <c r="G6526" s="70"/>
      <c r="H6526" s="400"/>
      <c r="I6526" s="239"/>
    </row>
    <row r="6527" spans="6:9" x14ac:dyDescent="0.35">
      <c r="F6527" s="33"/>
      <c r="G6527" s="70"/>
      <c r="H6527" s="400"/>
      <c r="I6527" s="239"/>
    </row>
    <row r="6528" spans="6:9" x14ac:dyDescent="0.35">
      <c r="F6528" s="33"/>
      <c r="G6528" s="70"/>
      <c r="H6528" s="400"/>
      <c r="I6528" s="239"/>
    </row>
    <row r="6529" spans="6:9" x14ac:dyDescent="0.35">
      <c r="F6529" s="33"/>
      <c r="G6529" s="70"/>
      <c r="H6529" s="400"/>
      <c r="I6529" s="239"/>
    </row>
    <row r="6530" spans="6:9" x14ac:dyDescent="0.35">
      <c r="F6530" s="33"/>
      <c r="G6530" s="70"/>
      <c r="H6530" s="400"/>
      <c r="I6530" s="239"/>
    </row>
    <row r="6531" spans="6:9" x14ac:dyDescent="0.35">
      <c r="F6531" s="33"/>
      <c r="G6531" s="70"/>
      <c r="H6531" s="400"/>
      <c r="I6531" s="239"/>
    </row>
    <row r="6532" spans="6:9" x14ac:dyDescent="0.35">
      <c r="F6532" s="33"/>
      <c r="G6532" s="70"/>
      <c r="H6532" s="400"/>
      <c r="I6532" s="239"/>
    </row>
    <row r="6533" spans="6:9" x14ac:dyDescent="0.35">
      <c r="F6533" s="33"/>
      <c r="G6533" s="70"/>
      <c r="H6533" s="400"/>
      <c r="I6533" s="239"/>
    </row>
    <row r="6534" spans="6:9" x14ac:dyDescent="0.35">
      <c r="F6534" s="33"/>
      <c r="G6534" s="70"/>
      <c r="H6534" s="400"/>
      <c r="I6534" s="239"/>
    </row>
    <row r="6535" spans="6:9" x14ac:dyDescent="0.35">
      <c r="F6535" s="33"/>
      <c r="G6535" s="70"/>
      <c r="H6535" s="400"/>
      <c r="I6535" s="239"/>
    </row>
    <row r="6536" spans="6:9" x14ac:dyDescent="0.35">
      <c r="F6536" s="33"/>
      <c r="G6536" s="70"/>
      <c r="H6536" s="400"/>
      <c r="I6536" s="239"/>
    </row>
    <row r="6537" spans="6:9" x14ac:dyDescent="0.35">
      <c r="F6537" s="33"/>
      <c r="G6537" s="70"/>
      <c r="H6537" s="400"/>
      <c r="I6537" s="239"/>
    </row>
    <row r="6538" spans="6:9" x14ac:dyDescent="0.35">
      <c r="F6538" s="33"/>
      <c r="G6538" s="70"/>
      <c r="H6538" s="400"/>
      <c r="I6538" s="239"/>
    </row>
    <row r="6539" spans="6:9" x14ac:dyDescent="0.35">
      <c r="F6539" s="33"/>
      <c r="G6539" s="70"/>
      <c r="H6539" s="400"/>
      <c r="I6539" s="239"/>
    </row>
    <row r="6540" spans="6:9" x14ac:dyDescent="0.35">
      <c r="F6540" s="33"/>
      <c r="G6540" s="70"/>
      <c r="H6540" s="400"/>
      <c r="I6540" s="239"/>
    </row>
    <row r="6541" spans="6:9" x14ac:dyDescent="0.35">
      <c r="F6541" s="33"/>
      <c r="G6541" s="70"/>
      <c r="H6541" s="400"/>
      <c r="I6541" s="239"/>
    </row>
    <row r="6542" spans="6:9" x14ac:dyDescent="0.35">
      <c r="F6542" s="33"/>
      <c r="G6542" s="70"/>
      <c r="H6542" s="400"/>
      <c r="I6542" s="239"/>
    </row>
    <row r="6543" spans="6:9" x14ac:dyDescent="0.35">
      <c r="F6543" s="33"/>
      <c r="G6543" s="70"/>
      <c r="H6543" s="400"/>
      <c r="I6543" s="239"/>
    </row>
    <row r="6544" spans="6:9" x14ac:dyDescent="0.35">
      <c r="F6544" s="33"/>
      <c r="G6544" s="70"/>
      <c r="H6544" s="400"/>
      <c r="I6544" s="239"/>
    </row>
    <row r="6545" spans="6:9" x14ac:dyDescent="0.35">
      <c r="F6545" s="33"/>
      <c r="G6545" s="70"/>
      <c r="H6545" s="400"/>
      <c r="I6545" s="239"/>
    </row>
    <row r="6546" spans="6:9" x14ac:dyDescent="0.35">
      <c r="F6546" s="33"/>
      <c r="G6546" s="70"/>
      <c r="H6546" s="400"/>
      <c r="I6546" s="239"/>
    </row>
    <row r="6547" spans="6:9" x14ac:dyDescent="0.35">
      <c r="F6547" s="33"/>
      <c r="G6547" s="70"/>
      <c r="H6547" s="400"/>
      <c r="I6547" s="239"/>
    </row>
    <row r="6548" spans="6:9" x14ac:dyDescent="0.35">
      <c r="F6548" s="33"/>
      <c r="G6548" s="70"/>
      <c r="H6548" s="400"/>
      <c r="I6548" s="239"/>
    </row>
    <row r="6549" spans="6:9" x14ac:dyDescent="0.35">
      <c r="F6549" s="33"/>
      <c r="G6549" s="70"/>
      <c r="H6549" s="400"/>
      <c r="I6549" s="239"/>
    </row>
    <row r="6550" spans="6:9" x14ac:dyDescent="0.35">
      <c r="F6550" s="33"/>
      <c r="G6550" s="70"/>
      <c r="H6550" s="400"/>
      <c r="I6550" s="239"/>
    </row>
    <row r="6551" spans="6:9" x14ac:dyDescent="0.35">
      <c r="F6551" s="33"/>
      <c r="G6551" s="70"/>
      <c r="H6551" s="400"/>
      <c r="I6551" s="239"/>
    </row>
    <row r="6552" spans="6:9" x14ac:dyDescent="0.35">
      <c r="F6552" s="33"/>
      <c r="G6552" s="70"/>
      <c r="H6552" s="400"/>
      <c r="I6552" s="239"/>
    </row>
    <row r="6553" spans="6:9" x14ac:dyDescent="0.35">
      <c r="F6553" s="33"/>
      <c r="G6553" s="70"/>
      <c r="H6553" s="400"/>
      <c r="I6553" s="239"/>
    </row>
    <row r="6554" spans="6:9" x14ac:dyDescent="0.35">
      <c r="F6554" s="33"/>
      <c r="G6554" s="70"/>
      <c r="H6554" s="400"/>
      <c r="I6554" s="239"/>
    </row>
    <row r="6555" spans="6:9" x14ac:dyDescent="0.35">
      <c r="F6555" s="33"/>
      <c r="G6555" s="70"/>
      <c r="H6555" s="400"/>
      <c r="I6555" s="239"/>
    </row>
    <row r="6556" spans="6:9" x14ac:dyDescent="0.35">
      <c r="F6556" s="33"/>
      <c r="G6556" s="70"/>
      <c r="H6556" s="400"/>
      <c r="I6556" s="239"/>
    </row>
    <row r="6557" spans="6:9" x14ac:dyDescent="0.35">
      <c r="F6557" s="33"/>
      <c r="G6557" s="70"/>
      <c r="H6557" s="400"/>
      <c r="I6557" s="239"/>
    </row>
    <row r="6558" spans="6:9" x14ac:dyDescent="0.35">
      <c r="F6558" s="33"/>
      <c r="G6558" s="70"/>
      <c r="H6558" s="400"/>
      <c r="I6558" s="239"/>
    </row>
    <row r="6559" spans="6:9" x14ac:dyDescent="0.35">
      <c r="F6559" s="33"/>
      <c r="G6559" s="70"/>
      <c r="H6559" s="400"/>
      <c r="I6559" s="239"/>
    </row>
    <row r="6560" spans="6:9" x14ac:dyDescent="0.35">
      <c r="F6560" s="33"/>
      <c r="G6560" s="70"/>
      <c r="H6560" s="400"/>
      <c r="I6560" s="239"/>
    </row>
    <row r="6561" spans="6:9" x14ac:dyDescent="0.35">
      <c r="F6561" s="33"/>
      <c r="G6561" s="70"/>
      <c r="H6561" s="400"/>
      <c r="I6561" s="239"/>
    </row>
    <row r="6562" spans="6:9" x14ac:dyDescent="0.35">
      <c r="F6562" s="33"/>
      <c r="G6562" s="70"/>
      <c r="H6562" s="400"/>
      <c r="I6562" s="239"/>
    </row>
    <row r="6563" spans="6:9" x14ac:dyDescent="0.35">
      <c r="F6563" s="33"/>
      <c r="G6563" s="70"/>
      <c r="H6563" s="400"/>
      <c r="I6563" s="239"/>
    </row>
    <row r="6564" spans="6:9" x14ac:dyDescent="0.35">
      <c r="F6564" s="33"/>
      <c r="G6564" s="70"/>
      <c r="H6564" s="400"/>
      <c r="I6564" s="239"/>
    </row>
    <row r="6565" spans="6:9" x14ac:dyDescent="0.35">
      <c r="F6565" s="33"/>
      <c r="G6565" s="70"/>
      <c r="H6565" s="400"/>
      <c r="I6565" s="239"/>
    </row>
    <row r="6566" spans="6:9" x14ac:dyDescent="0.35">
      <c r="F6566" s="33"/>
      <c r="G6566" s="70"/>
      <c r="H6566" s="400"/>
      <c r="I6566" s="239"/>
    </row>
    <row r="6567" spans="6:9" x14ac:dyDescent="0.35">
      <c r="F6567" s="33"/>
      <c r="G6567" s="70"/>
      <c r="H6567" s="400"/>
      <c r="I6567" s="239"/>
    </row>
    <row r="6568" spans="6:9" x14ac:dyDescent="0.35">
      <c r="F6568" s="33"/>
      <c r="G6568" s="70"/>
      <c r="H6568" s="400"/>
      <c r="I6568" s="239"/>
    </row>
    <row r="6569" spans="6:9" x14ac:dyDescent="0.35">
      <c r="F6569" s="33"/>
      <c r="G6569" s="70"/>
      <c r="H6569" s="400"/>
      <c r="I6569" s="239"/>
    </row>
    <row r="6570" spans="6:9" x14ac:dyDescent="0.35">
      <c r="F6570" s="33"/>
      <c r="G6570" s="70"/>
      <c r="H6570" s="400"/>
      <c r="I6570" s="239"/>
    </row>
    <row r="6571" spans="6:9" x14ac:dyDescent="0.35">
      <c r="F6571" s="33"/>
      <c r="G6571" s="70"/>
      <c r="H6571" s="400"/>
      <c r="I6571" s="239"/>
    </row>
    <row r="6572" spans="6:9" x14ac:dyDescent="0.35">
      <c r="F6572" s="33"/>
      <c r="G6572" s="70"/>
      <c r="H6572" s="400"/>
      <c r="I6572" s="239"/>
    </row>
    <row r="6573" spans="6:9" x14ac:dyDescent="0.35">
      <c r="F6573" s="33"/>
      <c r="G6573" s="70"/>
      <c r="H6573" s="400"/>
      <c r="I6573" s="239"/>
    </row>
    <row r="6574" spans="6:9" x14ac:dyDescent="0.35">
      <c r="F6574" s="33"/>
      <c r="G6574" s="70"/>
      <c r="H6574" s="400"/>
      <c r="I6574" s="239"/>
    </row>
    <row r="6575" spans="6:9" x14ac:dyDescent="0.35">
      <c r="F6575" s="33"/>
      <c r="G6575" s="70"/>
      <c r="H6575" s="400"/>
      <c r="I6575" s="239"/>
    </row>
    <row r="6576" spans="6:9" x14ac:dyDescent="0.35">
      <c r="F6576" s="33"/>
      <c r="G6576" s="70"/>
      <c r="H6576" s="400"/>
      <c r="I6576" s="239"/>
    </row>
    <row r="6577" spans="6:9" x14ac:dyDescent="0.35">
      <c r="F6577" s="33"/>
      <c r="G6577" s="70"/>
      <c r="H6577" s="400"/>
      <c r="I6577" s="239"/>
    </row>
    <row r="6578" spans="6:9" x14ac:dyDescent="0.35">
      <c r="F6578" s="33"/>
      <c r="G6578" s="70"/>
      <c r="H6578" s="400"/>
      <c r="I6578" s="239"/>
    </row>
    <row r="6579" spans="6:9" x14ac:dyDescent="0.35">
      <c r="F6579" s="33"/>
      <c r="G6579" s="70"/>
      <c r="H6579" s="400"/>
      <c r="I6579" s="239"/>
    </row>
    <row r="6580" spans="6:9" x14ac:dyDescent="0.35">
      <c r="F6580" s="33"/>
      <c r="G6580" s="70"/>
      <c r="H6580" s="400"/>
      <c r="I6580" s="239"/>
    </row>
    <row r="6581" spans="6:9" x14ac:dyDescent="0.35">
      <c r="F6581" s="33"/>
      <c r="G6581" s="70"/>
      <c r="H6581" s="400"/>
      <c r="I6581" s="239"/>
    </row>
    <row r="6582" spans="6:9" x14ac:dyDescent="0.35">
      <c r="F6582" s="33"/>
      <c r="G6582" s="70"/>
      <c r="H6582" s="400"/>
      <c r="I6582" s="239"/>
    </row>
    <row r="6583" spans="6:9" x14ac:dyDescent="0.35">
      <c r="F6583" s="33"/>
      <c r="G6583" s="70"/>
      <c r="H6583" s="400"/>
      <c r="I6583" s="239"/>
    </row>
    <row r="6584" spans="6:9" x14ac:dyDescent="0.35">
      <c r="F6584" s="33"/>
      <c r="G6584" s="70"/>
      <c r="H6584" s="400"/>
      <c r="I6584" s="239"/>
    </row>
    <row r="6585" spans="6:9" x14ac:dyDescent="0.35">
      <c r="F6585" s="33"/>
      <c r="G6585" s="70"/>
      <c r="H6585" s="400"/>
      <c r="I6585" s="239"/>
    </row>
    <row r="6586" spans="6:9" x14ac:dyDescent="0.35">
      <c r="F6586" s="33"/>
      <c r="G6586" s="70"/>
      <c r="H6586" s="400"/>
      <c r="I6586" s="239"/>
    </row>
    <row r="6587" spans="6:9" x14ac:dyDescent="0.35">
      <c r="F6587" s="33"/>
      <c r="G6587" s="70"/>
      <c r="H6587" s="400"/>
      <c r="I6587" s="239"/>
    </row>
    <row r="6588" spans="6:9" x14ac:dyDescent="0.35">
      <c r="F6588" s="33"/>
      <c r="G6588" s="70"/>
      <c r="H6588" s="400"/>
      <c r="I6588" s="239"/>
    </row>
    <row r="6589" spans="6:9" x14ac:dyDescent="0.35">
      <c r="F6589" s="33"/>
      <c r="G6589" s="70"/>
      <c r="H6589" s="400"/>
      <c r="I6589" s="239"/>
    </row>
    <row r="6590" spans="6:9" x14ac:dyDescent="0.35">
      <c r="F6590" s="33"/>
      <c r="G6590" s="70"/>
      <c r="H6590" s="400"/>
      <c r="I6590" s="239"/>
    </row>
    <row r="6591" spans="6:9" x14ac:dyDescent="0.35">
      <c r="F6591" s="33"/>
      <c r="G6591" s="70"/>
      <c r="H6591" s="400"/>
      <c r="I6591" s="239"/>
    </row>
    <row r="6592" spans="6:9" x14ac:dyDescent="0.35">
      <c r="F6592" s="33"/>
      <c r="G6592" s="70"/>
      <c r="H6592" s="400"/>
      <c r="I6592" s="239"/>
    </row>
    <row r="6593" spans="6:9" x14ac:dyDescent="0.35">
      <c r="F6593" s="33"/>
      <c r="G6593" s="70"/>
      <c r="H6593" s="400"/>
      <c r="I6593" s="239"/>
    </row>
    <row r="6594" spans="6:9" x14ac:dyDescent="0.35">
      <c r="F6594" s="33"/>
      <c r="G6594" s="70"/>
      <c r="H6594" s="400"/>
      <c r="I6594" s="239"/>
    </row>
    <row r="6595" spans="6:9" x14ac:dyDescent="0.35">
      <c r="F6595" s="33"/>
      <c r="G6595" s="70"/>
      <c r="H6595" s="400"/>
      <c r="I6595" s="239"/>
    </row>
    <row r="6596" spans="6:9" x14ac:dyDescent="0.35">
      <c r="F6596" s="33"/>
      <c r="G6596" s="70"/>
      <c r="H6596" s="400"/>
      <c r="I6596" s="239"/>
    </row>
    <row r="6597" spans="6:9" x14ac:dyDescent="0.35">
      <c r="F6597" s="33"/>
      <c r="G6597" s="70"/>
      <c r="H6597" s="400"/>
      <c r="I6597" s="239"/>
    </row>
    <row r="6598" spans="6:9" x14ac:dyDescent="0.35">
      <c r="F6598" s="33"/>
      <c r="G6598" s="70"/>
      <c r="H6598" s="400"/>
      <c r="I6598" s="239"/>
    </row>
    <row r="6599" spans="6:9" x14ac:dyDescent="0.35">
      <c r="F6599" s="33"/>
      <c r="G6599" s="70"/>
      <c r="H6599" s="400"/>
      <c r="I6599" s="239"/>
    </row>
    <row r="6600" spans="6:9" x14ac:dyDescent="0.35">
      <c r="F6600" s="33"/>
      <c r="G6600" s="70"/>
      <c r="H6600" s="400"/>
      <c r="I6600" s="239"/>
    </row>
    <row r="6601" spans="6:9" x14ac:dyDescent="0.35">
      <c r="F6601" s="33"/>
      <c r="G6601" s="70"/>
      <c r="H6601" s="400"/>
      <c r="I6601" s="239"/>
    </row>
    <row r="6602" spans="6:9" x14ac:dyDescent="0.35">
      <c r="F6602" s="33"/>
      <c r="G6602" s="70"/>
      <c r="H6602" s="400"/>
      <c r="I6602" s="239"/>
    </row>
    <row r="6603" spans="6:9" x14ac:dyDescent="0.35">
      <c r="F6603" s="33"/>
      <c r="G6603" s="70"/>
      <c r="H6603" s="400"/>
      <c r="I6603" s="239"/>
    </row>
    <row r="6604" spans="6:9" x14ac:dyDescent="0.35">
      <c r="F6604" s="33"/>
      <c r="G6604" s="70"/>
      <c r="H6604" s="400"/>
      <c r="I6604" s="239"/>
    </row>
    <row r="6605" spans="6:9" x14ac:dyDescent="0.35">
      <c r="F6605" s="33"/>
      <c r="G6605" s="70"/>
      <c r="H6605" s="400"/>
      <c r="I6605" s="239"/>
    </row>
    <row r="6606" spans="6:9" x14ac:dyDescent="0.35">
      <c r="F6606" s="33"/>
      <c r="G6606" s="70"/>
      <c r="H6606" s="400"/>
      <c r="I6606" s="239"/>
    </row>
    <row r="6607" spans="6:9" x14ac:dyDescent="0.35">
      <c r="F6607" s="33"/>
      <c r="G6607" s="70"/>
      <c r="H6607" s="400"/>
      <c r="I6607" s="239"/>
    </row>
    <row r="6608" spans="6:9" x14ac:dyDescent="0.35">
      <c r="F6608" s="33"/>
      <c r="G6608" s="70"/>
      <c r="H6608" s="400"/>
      <c r="I6608" s="239"/>
    </row>
    <row r="6609" spans="6:9" x14ac:dyDescent="0.35">
      <c r="F6609" s="33"/>
      <c r="G6609" s="70"/>
      <c r="H6609" s="400"/>
      <c r="I6609" s="239"/>
    </row>
    <row r="6610" spans="6:9" x14ac:dyDescent="0.35">
      <c r="F6610" s="33"/>
      <c r="G6610" s="70"/>
      <c r="H6610" s="400"/>
      <c r="I6610" s="239"/>
    </row>
    <row r="6611" spans="6:9" x14ac:dyDescent="0.35">
      <c r="F6611" s="33"/>
      <c r="G6611" s="70"/>
      <c r="H6611" s="400"/>
      <c r="I6611" s="239"/>
    </row>
    <row r="6612" spans="6:9" x14ac:dyDescent="0.35">
      <c r="F6612" s="33"/>
      <c r="G6612" s="70"/>
      <c r="H6612" s="400"/>
      <c r="I6612" s="239"/>
    </row>
    <row r="6613" spans="6:9" x14ac:dyDescent="0.35">
      <c r="F6613" s="33"/>
      <c r="G6613" s="70"/>
      <c r="H6613" s="400"/>
      <c r="I6613" s="239"/>
    </row>
    <row r="6614" spans="6:9" x14ac:dyDescent="0.35">
      <c r="F6614" s="33"/>
      <c r="G6614" s="70"/>
      <c r="H6614" s="400"/>
      <c r="I6614" s="239"/>
    </row>
    <row r="6615" spans="6:9" x14ac:dyDescent="0.35">
      <c r="F6615" s="33"/>
      <c r="G6615" s="70"/>
      <c r="H6615" s="400"/>
      <c r="I6615" s="239"/>
    </row>
    <row r="6616" spans="6:9" x14ac:dyDescent="0.35">
      <c r="F6616" s="33"/>
      <c r="G6616" s="70"/>
      <c r="H6616" s="400"/>
      <c r="I6616" s="239"/>
    </row>
    <row r="6617" spans="6:9" x14ac:dyDescent="0.35">
      <c r="F6617" s="33"/>
      <c r="G6617" s="70"/>
      <c r="H6617" s="400"/>
      <c r="I6617" s="239"/>
    </row>
    <row r="6618" spans="6:9" x14ac:dyDescent="0.35">
      <c r="F6618" s="33"/>
      <c r="G6618" s="70"/>
      <c r="H6618" s="400"/>
      <c r="I6618" s="239"/>
    </row>
    <row r="6619" spans="6:9" x14ac:dyDescent="0.35">
      <c r="F6619" s="33"/>
      <c r="G6619" s="70"/>
      <c r="H6619" s="400"/>
      <c r="I6619" s="239"/>
    </row>
    <row r="6620" spans="6:9" x14ac:dyDescent="0.35">
      <c r="F6620" s="33"/>
      <c r="G6620" s="70"/>
      <c r="H6620" s="400"/>
      <c r="I6620" s="239"/>
    </row>
    <row r="6621" spans="6:9" x14ac:dyDescent="0.35">
      <c r="F6621" s="33"/>
      <c r="G6621" s="70"/>
      <c r="H6621" s="400"/>
      <c r="I6621" s="239"/>
    </row>
    <row r="6622" spans="6:9" x14ac:dyDescent="0.35">
      <c r="F6622" s="33"/>
      <c r="G6622" s="70"/>
      <c r="H6622" s="400"/>
      <c r="I6622" s="239"/>
    </row>
    <row r="6623" spans="6:9" x14ac:dyDescent="0.35">
      <c r="F6623" s="33"/>
      <c r="G6623" s="70"/>
      <c r="H6623" s="400"/>
      <c r="I6623" s="239"/>
    </row>
    <row r="6624" spans="6:9" x14ac:dyDescent="0.35">
      <c r="F6624" s="33"/>
      <c r="G6624" s="70"/>
      <c r="H6624" s="400"/>
      <c r="I6624" s="239"/>
    </row>
    <row r="6625" spans="6:9" x14ac:dyDescent="0.35">
      <c r="F6625" s="33"/>
      <c r="G6625" s="70"/>
      <c r="H6625" s="400"/>
      <c r="I6625" s="239"/>
    </row>
    <row r="6626" spans="6:9" x14ac:dyDescent="0.35">
      <c r="F6626" s="33"/>
      <c r="G6626" s="70"/>
      <c r="H6626" s="400"/>
      <c r="I6626" s="239"/>
    </row>
    <row r="6627" spans="6:9" x14ac:dyDescent="0.35">
      <c r="F6627" s="33"/>
      <c r="G6627" s="70"/>
      <c r="H6627" s="400"/>
      <c r="I6627" s="239"/>
    </row>
    <row r="6628" spans="6:9" x14ac:dyDescent="0.35">
      <c r="F6628" s="33"/>
      <c r="G6628" s="70"/>
      <c r="H6628" s="400"/>
      <c r="I6628" s="239"/>
    </row>
    <row r="6629" spans="6:9" x14ac:dyDescent="0.35">
      <c r="F6629" s="33"/>
      <c r="G6629" s="70"/>
      <c r="H6629" s="400"/>
      <c r="I6629" s="239"/>
    </row>
    <row r="6630" spans="6:9" x14ac:dyDescent="0.35">
      <c r="F6630" s="33"/>
      <c r="G6630" s="70"/>
      <c r="H6630" s="400"/>
      <c r="I6630" s="239"/>
    </row>
    <row r="6631" spans="6:9" x14ac:dyDescent="0.35">
      <c r="F6631" s="33"/>
      <c r="G6631" s="70"/>
      <c r="H6631" s="400"/>
      <c r="I6631" s="239"/>
    </row>
    <row r="6632" spans="6:9" x14ac:dyDescent="0.35">
      <c r="F6632" s="33"/>
      <c r="G6632" s="70"/>
      <c r="H6632" s="400"/>
      <c r="I6632" s="239"/>
    </row>
    <row r="6633" spans="6:9" x14ac:dyDescent="0.35">
      <c r="F6633" s="33"/>
      <c r="G6633" s="70"/>
      <c r="H6633" s="400"/>
      <c r="I6633" s="239"/>
    </row>
    <row r="6634" spans="6:9" x14ac:dyDescent="0.35">
      <c r="F6634" s="33"/>
      <c r="G6634" s="70"/>
      <c r="H6634" s="400"/>
      <c r="I6634" s="239"/>
    </row>
    <row r="6635" spans="6:9" x14ac:dyDescent="0.35">
      <c r="F6635" s="33"/>
      <c r="G6635" s="70"/>
      <c r="H6635" s="400"/>
      <c r="I6635" s="239"/>
    </row>
    <row r="6636" spans="6:9" x14ac:dyDescent="0.35">
      <c r="F6636" s="33"/>
      <c r="G6636" s="70"/>
      <c r="H6636" s="400"/>
      <c r="I6636" s="239"/>
    </row>
    <row r="6637" spans="6:9" x14ac:dyDescent="0.35">
      <c r="F6637" s="33"/>
      <c r="G6637" s="70"/>
      <c r="H6637" s="400"/>
      <c r="I6637" s="239"/>
    </row>
    <row r="6638" spans="6:9" x14ac:dyDescent="0.35">
      <c r="F6638" s="33"/>
      <c r="G6638" s="70"/>
      <c r="H6638" s="400"/>
      <c r="I6638" s="239"/>
    </row>
    <row r="6639" spans="6:9" x14ac:dyDescent="0.35">
      <c r="F6639" s="33"/>
      <c r="G6639" s="70"/>
      <c r="H6639" s="400"/>
      <c r="I6639" s="239"/>
    </row>
    <row r="6640" spans="6:9" x14ac:dyDescent="0.35">
      <c r="F6640" s="33"/>
      <c r="G6640" s="70"/>
      <c r="H6640" s="400"/>
      <c r="I6640" s="239"/>
    </row>
    <row r="6641" spans="6:9" x14ac:dyDescent="0.35">
      <c r="F6641" s="33"/>
      <c r="G6641" s="70"/>
      <c r="H6641" s="400"/>
      <c r="I6641" s="239"/>
    </row>
    <row r="6642" spans="6:9" x14ac:dyDescent="0.35">
      <c r="F6642" s="33"/>
      <c r="G6642" s="70"/>
      <c r="H6642" s="400"/>
      <c r="I6642" s="239"/>
    </row>
    <row r="6643" spans="6:9" x14ac:dyDescent="0.35">
      <c r="F6643" s="33"/>
      <c r="G6643" s="70"/>
      <c r="H6643" s="400"/>
      <c r="I6643" s="239"/>
    </row>
    <row r="6644" spans="6:9" x14ac:dyDescent="0.35">
      <c r="F6644" s="33"/>
      <c r="G6644" s="70"/>
      <c r="H6644" s="400"/>
      <c r="I6644" s="239"/>
    </row>
    <row r="6645" spans="6:9" x14ac:dyDescent="0.35">
      <c r="F6645" s="33"/>
      <c r="G6645" s="70"/>
      <c r="H6645" s="400"/>
      <c r="I6645" s="239"/>
    </row>
    <row r="6646" spans="6:9" x14ac:dyDescent="0.35">
      <c r="F6646" s="33"/>
      <c r="G6646" s="70"/>
      <c r="H6646" s="400"/>
      <c r="I6646" s="239"/>
    </row>
    <row r="6647" spans="6:9" x14ac:dyDescent="0.35">
      <c r="F6647" s="33"/>
      <c r="G6647" s="70"/>
      <c r="H6647" s="400"/>
      <c r="I6647" s="239"/>
    </row>
    <row r="6648" spans="6:9" x14ac:dyDescent="0.35">
      <c r="F6648" s="33"/>
      <c r="G6648" s="70"/>
      <c r="H6648" s="400"/>
      <c r="I6648" s="239"/>
    </row>
    <row r="6649" spans="6:9" x14ac:dyDescent="0.35">
      <c r="F6649" s="33"/>
      <c r="G6649" s="70"/>
      <c r="H6649" s="400"/>
      <c r="I6649" s="239"/>
    </row>
    <row r="6650" spans="6:9" x14ac:dyDescent="0.35">
      <c r="F6650" s="33"/>
      <c r="G6650" s="70"/>
      <c r="H6650" s="400"/>
      <c r="I6650" s="239"/>
    </row>
    <row r="6651" spans="6:9" x14ac:dyDescent="0.35">
      <c r="F6651" s="33"/>
      <c r="G6651" s="70"/>
      <c r="H6651" s="400"/>
      <c r="I6651" s="239"/>
    </row>
    <row r="6652" spans="6:9" x14ac:dyDescent="0.35">
      <c r="F6652" s="33"/>
      <c r="G6652" s="70"/>
      <c r="H6652" s="400"/>
      <c r="I6652" s="239"/>
    </row>
    <row r="6653" spans="6:9" x14ac:dyDescent="0.35">
      <c r="F6653" s="33"/>
      <c r="G6653" s="70"/>
      <c r="H6653" s="400"/>
      <c r="I6653" s="239"/>
    </row>
    <row r="6654" spans="6:9" x14ac:dyDescent="0.35">
      <c r="F6654" s="33"/>
      <c r="G6654" s="70"/>
      <c r="H6654" s="400"/>
      <c r="I6654" s="239"/>
    </row>
    <row r="6655" spans="6:9" x14ac:dyDescent="0.35">
      <c r="F6655" s="33"/>
      <c r="G6655" s="70"/>
      <c r="H6655" s="400"/>
      <c r="I6655" s="239"/>
    </row>
    <row r="6656" spans="6:9" x14ac:dyDescent="0.35">
      <c r="F6656" s="33"/>
      <c r="G6656" s="70"/>
      <c r="H6656" s="400"/>
      <c r="I6656" s="239"/>
    </row>
    <row r="6657" spans="6:9" x14ac:dyDescent="0.35">
      <c r="F6657" s="33"/>
      <c r="G6657" s="70"/>
      <c r="H6657" s="400"/>
      <c r="I6657" s="239"/>
    </row>
    <row r="6658" spans="6:9" x14ac:dyDescent="0.35">
      <c r="F6658" s="33"/>
      <c r="G6658" s="70"/>
      <c r="H6658" s="400"/>
      <c r="I6658" s="239"/>
    </row>
    <row r="6659" spans="6:9" x14ac:dyDescent="0.35">
      <c r="F6659" s="33"/>
      <c r="G6659" s="70"/>
      <c r="H6659" s="400"/>
      <c r="I6659" s="239"/>
    </row>
    <row r="6660" spans="6:9" x14ac:dyDescent="0.35">
      <c r="F6660" s="33"/>
      <c r="G6660" s="70"/>
      <c r="H6660" s="400"/>
      <c r="I6660" s="239"/>
    </row>
    <row r="6661" spans="6:9" x14ac:dyDescent="0.35">
      <c r="F6661" s="33"/>
      <c r="G6661" s="70"/>
      <c r="H6661" s="400"/>
      <c r="I6661" s="239"/>
    </row>
    <row r="6662" spans="6:9" x14ac:dyDescent="0.35">
      <c r="F6662" s="33"/>
      <c r="G6662" s="70"/>
      <c r="H6662" s="400"/>
      <c r="I6662" s="239"/>
    </row>
    <row r="6663" spans="6:9" x14ac:dyDescent="0.35">
      <c r="F6663" s="33"/>
      <c r="G6663" s="70"/>
      <c r="H6663" s="400"/>
      <c r="I6663" s="239"/>
    </row>
    <row r="6664" spans="6:9" x14ac:dyDescent="0.35">
      <c r="F6664" s="33"/>
      <c r="G6664" s="70"/>
      <c r="H6664" s="400"/>
      <c r="I6664" s="239"/>
    </row>
    <row r="6665" spans="6:9" x14ac:dyDescent="0.35">
      <c r="F6665" s="33"/>
      <c r="G6665" s="70"/>
      <c r="H6665" s="400"/>
      <c r="I6665" s="239"/>
    </row>
    <row r="6666" spans="6:9" x14ac:dyDescent="0.35">
      <c r="F6666" s="33"/>
      <c r="G6666" s="70"/>
      <c r="H6666" s="400"/>
      <c r="I6666" s="239"/>
    </row>
    <row r="6667" spans="6:9" x14ac:dyDescent="0.35">
      <c r="F6667" s="33"/>
      <c r="G6667" s="70"/>
      <c r="H6667" s="400"/>
      <c r="I6667" s="239"/>
    </row>
    <row r="6668" spans="6:9" x14ac:dyDescent="0.35">
      <c r="F6668" s="33"/>
      <c r="G6668" s="70"/>
      <c r="H6668" s="400"/>
      <c r="I6668" s="239"/>
    </row>
    <row r="6669" spans="6:9" x14ac:dyDescent="0.35">
      <c r="F6669" s="33"/>
      <c r="G6669" s="70"/>
      <c r="H6669" s="400"/>
      <c r="I6669" s="239"/>
    </row>
    <row r="6670" spans="6:9" x14ac:dyDescent="0.35">
      <c r="F6670" s="33"/>
      <c r="G6670" s="70"/>
      <c r="H6670" s="400"/>
      <c r="I6670" s="239"/>
    </row>
    <row r="6671" spans="6:9" x14ac:dyDescent="0.35">
      <c r="F6671" s="33"/>
      <c r="G6671" s="70"/>
      <c r="H6671" s="400"/>
      <c r="I6671" s="239"/>
    </row>
    <row r="6672" spans="6:9" x14ac:dyDescent="0.35">
      <c r="F6672" s="33"/>
      <c r="G6672" s="70"/>
      <c r="H6672" s="400"/>
      <c r="I6672" s="239"/>
    </row>
    <row r="6673" spans="6:9" x14ac:dyDescent="0.35">
      <c r="F6673" s="33"/>
      <c r="G6673" s="70"/>
      <c r="H6673" s="400"/>
      <c r="I6673" s="239"/>
    </row>
    <row r="6674" spans="6:9" x14ac:dyDescent="0.35">
      <c r="F6674" s="33"/>
      <c r="G6674" s="70"/>
      <c r="H6674" s="400"/>
      <c r="I6674" s="239"/>
    </row>
    <row r="6675" spans="6:9" x14ac:dyDescent="0.35">
      <c r="F6675" s="33"/>
      <c r="G6675" s="70"/>
      <c r="H6675" s="400"/>
      <c r="I6675" s="239"/>
    </row>
    <row r="6676" spans="6:9" x14ac:dyDescent="0.35">
      <c r="F6676" s="33"/>
      <c r="G6676" s="70"/>
      <c r="H6676" s="400"/>
      <c r="I6676" s="239"/>
    </row>
    <row r="6677" spans="6:9" x14ac:dyDescent="0.35">
      <c r="F6677" s="33"/>
      <c r="G6677" s="70"/>
      <c r="H6677" s="400"/>
      <c r="I6677" s="239"/>
    </row>
    <row r="6678" spans="6:9" x14ac:dyDescent="0.35">
      <c r="F6678" s="33"/>
      <c r="G6678" s="70"/>
      <c r="H6678" s="400"/>
      <c r="I6678" s="239"/>
    </row>
    <row r="6679" spans="6:9" x14ac:dyDescent="0.35">
      <c r="F6679" s="33"/>
      <c r="G6679" s="70"/>
      <c r="H6679" s="400"/>
      <c r="I6679" s="239"/>
    </row>
    <row r="6680" spans="6:9" x14ac:dyDescent="0.35">
      <c r="F6680" s="33"/>
      <c r="G6680" s="70"/>
      <c r="H6680" s="400"/>
      <c r="I6680" s="239"/>
    </row>
    <row r="6681" spans="6:9" x14ac:dyDescent="0.35">
      <c r="F6681" s="33"/>
      <c r="G6681" s="70"/>
      <c r="H6681" s="400"/>
      <c r="I6681" s="239"/>
    </row>
    <row r="6682" spans="6:9" x14ac:dyDescent="0.35">
      <c r="F6682" s="33"/>
      <c r="G6682" s="70"/>
      <c r="H6682" s="400"/>
      <c r="I6682" s="239"/>
    </row>
    <row r="6683" spans="6:9" x14ac:dyDescent="0.35">
      <c r="F6683" s="33"/>
      <c r="G6683" s="70"/>
      <c r="H6683" s="400"/>
      <c r="I6683" s="239"/>
    </row>
    <row r="6684" spans="6:9" x14ac:dyDescent="0.35">
      <c r="F6684" s="33"/>
      <c r="G6684" s="70"/>
      <c r="H6684" s="400"/>
      <c r="I6684" s="239"/>
    </row>
    <row r="6685" spans="6:9" x14ac:dyDescent="0.35">
      <c r="F6685" s="33"/>
      <c r="G6685" s="70"/>
      <c r="H6685" s="400"/>
      <c r="I6685" s="239"/>
    </row>
    <row r="6686" spans="6:9" x14ac:dyDescent="0.35">
      <c r="F6686" s="33"/>
      <c r="G6686" s="70"/>
      <c r="H6686" s="400"/>
      <c r="I6686" s="239"/>
    </row>
    <row r="6687" spans="6:9" x14ac:dyDescent="0.35">
      <c r="F6687" s="33"/>
      <c r="G6687" s="70"/>
      <c r="H6687" s="400"/>
      <c r="I6687" s="239"/>
    </row>
    <row r="6688" spans="6:9" x14ac:dyDescent="0.35">
      <c r="F6688" s="33"/>
      <c r="G6688" s="70"/>
      <c r="H6688" s="400"/>
      <c r="I6688" s="239"/>
    </row>
    <row r="6689" spans="6:9" x14ac:dyDescent="0.35">
      <c r="F6689" s="33"/>
      <c r="G6689" s="70"/>
      <c r="H6689" s="400"/>
      <c r="I6689" s="239"/>
    </row>
    <row r="6690" spans="6:9" x14ac:dyDescent="0.35">
      <c r="F6690" s="33"/>
      <c r="G6690" s="70"/>
      <c r="H6690" s="400"/>
      <c r="I6690" s="239"/>
    </row>
    <row r="6691" spans="6:9" x14ac:dyDescent="0.35">
      <c r="F6691" s="33"/>
      <c r="G6691" s="70"/>
      <c r="H6691" s="400"/>
      <c r="I6691" s="239"/>
    </row>
    <row r="6692" spans="6:9" x14ac:dyDescent="0.35">
      <c r="F6692" s="33"/>
      <c r="G6692" s="70"/>
      <c r="H6692" s="400"/>
      <c r="I6692" s="239"/>
    </row>
    <row r="6693" spans="6:9" x14ac:dyDescent="0.35">
      <c r="F6693" s="33"/>
      <c r="G6693" s="70"/>
      <c r="H6693" s="400"/>
      <c r="I6693" s="239"/>
    </row>
    <row r="6694" spans="6:9" x14ac:dyDescent="0.35">
      <c r="F6694" s="33"/>
      <c r="G6694" s="70"/>
      <c r="H6694" s="400"/>
      <c r="I6694" s="239"/>
    </row>
    <row r="6695" spans="6:9" x14ac:dyDescent="0.35">
      <c r="F6695" s="33"/>
      <c r="G6695" s="70"/>
      <c r="H6695" s="400"/>
      <c r="I6695" s="239"/>
    </row>
    <row r="6696" spans="6:9" x14ac:dyDescent="0.35">
      <c r="F6696" s="33"/>
      <c r="G6696" s="70"/>
      <c r="H6696" s="400"/>
      <c r="I6696" s="239"/>
    </row>
    <row r="6697" spans="6:9" x14ac:dyDescent="0.35">
      <c r="F6697" s="33"/>
      <c r="G6697" s="70"/>
      <c r="H6697" s="400"/>
      <c r="I6697" s="239"/>
    </row>
    <row r="6698" spans="6:9" x14ac:dyDescent="0.35">
      <c r="F6698" s="33"/>
      <c r="G6698" s="70"/>
      <c r="H6698" s="400"/>
      <c r="I6698" s="239"/>
    </row>
    <row r="6699" spans="6:9" x14ac:dyDescent="0.35">
      <c r="F6699" s="33"/>
      <c r="G6699" s="70"/>
      <c r="H6699" s="400"/>
      <c r="I6699" s="239"/>
    </row>
    <row r="6700" spans="6:9" x14ac:dyDescent="0.35">
      <c r="F6700" s="33"/>
      <c r="G6700" s="70"/>
      <c r="H6700" s="400"/>
      <c r="I6700" s="239"/>
    </row>
    <row r="6701" spans="6:9" x14ac:dyDescent="0.35">
      <c r="F6701" s="33"/>
      <c r="G6701" s="70"/>
      <c r="H6701" s="400"/>
      <c r="I6701" s="239"/>
    </row>
    <row r="6702" spans="6:9" x14ac:dyDescent="0.35">
      <c r="F6702" s="33"/>
      <c r="G6702" s="70"/>
      <c r="H6702" s="400"/>
      <c r="I6702" s="239"/>
    </row>
    <row r="6703" spans="6:9" x14ac:dyDescent="0.35">
      <c r="F6703" s="33"/>
      <c r="G6703" s="70"/>
      <c r="H6703" s="400"/>
      <c r="I6703" s="239"/>
    </row>
    <row r="6704" spans="6:9" x14ac:dyDescent="0.35">
      <c r="F6704" s="33"/>
      <c r="G6704" s="70"/>
      <c r="H6704" s="400"/>
      <c r="I6704" s="239"/>
    </row>
    <row r="6705" spans="6:9" x14ac:dyDescent="0.35">
      <c r="F6705" s="33"/>
      <c r="G6705" s="70"/>
      <c r="H6705" s="400"/>
      <c r="I6705" s="239"/>
    </row>
    <row r="6706" spans="6:9" x14ac:dyDescent="0.35">
      <c r="F6706" s="33"/>
      <c r="G6706" s="70"/>
      <c r="H6706" s="400"/>
      <c r="I6706" s="239"/>
    </row>
    <row r="6707" spans="6:9" x14ac:dyDescent="0.35">
      <c r="F6707" s="33"/>
      <c r="G6707" s="70"/>
      <c r="H6707" s="400"/>
      <c r="I6707" s="239"/>
    </row>
    <row r="6708" spans="6:9" x14ac:dyDescent="0.35">
      <c r="F6708" s="33"/>
      <c r="G6708" s="70"/>
      <c r="H6708" s="400"/>
      <c r="I6708" s="239"/>
    </row>
    <row r="6709" spans="6:9" x14ac:dyDescent="0.35">
      <c r="F6709" s="33"/>
      <c r="G6709" s="70"/>
      <c r="H6709" s="400"/>
      <c r="I6709" s="239"/>
    </row>
    <row r="6710" spans="6:9" x14ac:dyDescent="0.35">
      <c r="F6710" s="33"/>
      <c r="G6710" s="70"/>
      <c r="H6710" s="400"/>
      <c r="I6710" s="239"/>
    </row>
    <row r="6711" spans="6:9" x14ac:dyDescent="0.35">
      <c r="F6711" s="33"/>
      <c r="G6711" s="70"/>
      <c r="H6711" s="400"/>
      <c r="I6711" s="239"/>
    </row>
    <row r="6712" spans="6:9" x14ac:dyDescent="0.35">
      <c r="F6712" s="33"/>
      <c r="G6712" s="70"/>
      <c r="H6712" s="400"/>
      <c r="I6712" s="239"/>
    </row>
    <row r="6713" spans="6:9" x14ac:dyDescent="0.35">
      <c r="F6713" s="33"/>
      <c r="G6713" s="70"/>
      <c r="H6713" s="400"/>
      <c r="I6713" s="239"/>
    </row>
    <row r="6714" spans="6:9" x14ac:dyDescent="0.35">
      <c r="F6714" s="33"/>
      <c r="G6714" s="70"/>
      <c r="H6714" s="400"/>
      <c r="I6714" s="239"/>
    </row>
    <row r="6715" spans="6:9" x14ac:dyDescent="0.35">
      <c r="F6715" s="33"/>
      <c r="G6715" s="70"/>
      <c r="H6715" s="400"/>
      <c r="I6715" s="239"/>
    </row>
    <row r="6716" spans="6:9" x14ac:dyDescent="0.35">
      <c r="F6716" s="33"/>
      <c r="G6716" s="70"/>
      <c r="H6716" s="400"/>
      <c r="I6716" s="239"/>
    </row>
    <row r="6717" spans="6:9" x14ac:dyDescent="0.35">
      <c r="F6717" s="33"/>
      <c r="G6717" s="70"/>
      <c r="H6717" s="400"/>
      <c r="I6717" s="239"/>
    </row>
    <row r="6718" spans="6:9" x14ac:dyDescent="0.35">
      <c r="F6718" s="33"/>
      <c r="G6718" s="70"/>
      <c r="H6718" s="400"/>
      <c r="I6718" s="239"/>
    </row>
    <row r="6719" spans="6:9" x14ac:dyDescent="0.35">
      <c r="F6719" s="33"/>
      <c r="G6719" s="70"/>
      <c r="H6719" s="400"/>
      <c r="I6719" s="239"/>
    </row>
    <row r="6720" spans="6:9" x14ac:dyDescent="0.35">
      <c r="F6720" s="33"/>
      <c r="G6720" s="70"/>
      <c r="H6720" s="400"/>
      <c r="I6720" s="239"/>
    </row>
    <row r="6721" spans="6:9" x14ac:dyDescent="0.35">
      <c r="F6721" s="33"/>
      <c r="G6721" s="70"/>
      <c r="H6721" s="400"/>
      <c r="I6721" s="239"/>
    </row>
    <row r="6722" spans="6:9" x14ac:dyDescent="0.35">
      <c r="F6722" s="33"/>
      <c r="G6722" s="70"/>
      <c r="H6722" s="400"/>
      <c r="I6722" s="239"/>
    </row>
    <row r="6723" spans="6:9" x14ac:dyDescent="0.35">
      <c r="F6723" s="33"/>
      <c r="G6723" s="70"/>
      <c r="H6723" s="400"/>
      <c r="I6723" s="239"/>
    </row>
    <row r="6724" spans="6:9" x14ac:dyDescent="0.35">
      <c r="F6724" s="33"/>
      <c r="G6724" s="70"/>
      <c r="H6724" s="400"/>
      <c r="I6724" s="239"/>
    </row>
    <row r="6725" spans="6:9" x14ac:dyDescent="0.35">
      <c r="F6725" s="33"/>
      <c r="G6725" s="70"/>
      <c r="H6725" s="400"/>
      <c r="I6725" s="239"/>
    </row>
    <row r="6726" spans="6:9" x14ac:dyDescent="0.35">
      <c r="F6726" s="33"/>
      <c r="G6726" s="70"/>
      <c r="H6726" s="400"/>
      <c r="I6726" s="239"/>
    </row>
    <row r="6727" spans="6:9" x14ac:dyDescent="0.35">
      <c r="F6727" s="33"/>
      <c r="G6727" s="70"/>
      <c r="H6727" s="400"/>
      <c r="I6727" s="239"/>
    </row>
    <row r="6728" spans="6:9" x14ac:dyDescent="0.35">
      <c r="F6728" s="33"/>
      <c r="G6728" s="70"/>
      <c r="H6728" s="400"/>
      <c r="I6728" s="239"/>
    </row>
    <row r="6729" spans="6:9" x14ac:dyDescent="0.35">
      <c r="F6729" s="33"/>
      <c r="G6729" s="70"/>
      <c r="H6729" s="400"/>
      <c r="I6729" s="239"/>
    </row>
    <row r="6730" spans="6:9" x14ac:dyDescent="0.35">
      <c r="F6730" s="33"/>
      <c r="G6730" s="70"/>
      <c r="H6730" s="400"/>
      <c r="I6730" s="239"/>
    </row>
    <row r="6731" spans="6:9" x14ac:dyDescent="0.35">
      <c r="F6731" s="33"/>
      <c r="G6731" s="70"/>
      <c r="H6731" s="400"/>
      <c r="I6731" s="239"/>
    </row>
    <row r="6732" spans="6:9" x14ac:dyDescent="0.35">
      <c r="F6732" s="33"/>
      <c r="G6732" s="70"/>
      <c r="H6732" s="400"/>
      <c r="I6732" s="239"/>
    </row>
    <row r="6733" spans="6:9" x14ac:dyDescent="0.35">
      <c r="F6733" s="33"/>
      <c r="G6733" s="70"/>
      <c r="H6733" s="400"/>
      <c r="I6733" s="239"/>
    </row>
    <row r="6734" spans="6:9" x14ac:dyDescent="0.35">
      <c r="F6734" s="33"/>
      <c r="G6734" s="70"/>
      <c r="H6734" s="400"/>
      <c r="I6734" s="239"/>
    </row>
    <row r="6735" spans="6:9" x14ac:dyDescent="0.35">
      <c r="F6735" s="33"/>
      <c r="G6735" s="70"/>
      <c r="H6735" s="400"/>
      <c r="I6735" s="239"/>
    </row>
    <row r="6736" spans="6:9" x14ac:dyDescent="0.35">
      <c r="F6736" s="33"/>
      <c r="G6736" s="70"/>
      <c r="H6736" s="400"/>
      <c r="I6736" s="239"/>
    </row>
    <row r="6737" spans="6:9" x14ac:dyDescent="0.35">
      <c r="F6737" s="33"/>
      <c r="G6737" s="70"/>
      <c r="H6737" s="400"/>
      <c r="I6737" s="239"/>
    </row>
    <row r="6738" spans="6:9" x14ac:dyDescent="0.35">
      <c r="F6738" s="33"/>
      <c r="G6738" s="70"/>
      <c r="H6738" s="400"/>
      <c r="I6738" s="239"/>
    </row>
    <row r="6739" spans="6:9" x14ac:dyDescent="0.35">
      <c r="F6739" s="33"/>
      <c r="G6739" s="70"/>
      <c r="H6739" s="400"/>
      <c r="I6739" s="239"/>
    </row>
    <row r="6740" spans="6:9" x14ac:dyDescent="0.35">
      <c r="F6740" s="33"/>
      <c r="G6740" s="70"/>
      <c r="H6740" s="400"/>
      <c r="I6740" s="239"/>
    </row>
    <row r="6741" spans="6:9" x14ac:dyDescent="0.35">
      <c r="F6741" s="33"/>
      <c r="G6741" s="70"/>
      <c r="H6741" s="400"/>
      <c r="I6741" s="239"/>
    </row>
    <row r="6742" spans="6:9" x14ac:dyDescent="0.35">
      <c r="F6742" s="33"/>
      <c r="G6742" s="70"/>
      <c r="H6742" s="400"/>
      <c r="I6742" s="239"/>
    </row>
    <row r="6743" spans="6:9" x14ac:dyDescent="0.35">
      <c r="F6743" s="33"/>
      <c r="G6743" s="70"/>
      <c r="H6743" s="400"/>
      <c r="I6743" s="239"/>
    </row>
    <row r="6744" spans="6:9" x14ac:dyDescent="0.35">
      <c r="F6744" s="33"/>
      <c r="G6744" s="70"/>
      <c r="H6744" s="400"/>
      <c r="I6744" s="239"/>
    </row>
    <row r="6745" spans="6:9" x14ac:dyDescent="0.35">
      <c r="F6745" s="33"/>
      <c r="G6745" s="70"/>
      <c r="H6745" s="400"/>
      <c r="I6745" s="239"/>
    </row>
    <row r="6746" spans="6:9" x14ac:dyDescent="0.35">
      <c r="F6746" s="33"/>
      <c r="G6746" s="70"/>
      <c r="H6746" s="400"/>
      <c r="I6746" s="239"/>
    </row>
    <row r="6747" spans="6:9" x14ac:dyDescent="0.35">
      <c r="F6747" s="33"/>
      <c r="G6747" s="70"/>
      <c r="H6747" s="400"/>
      <c r="I6747" s="239"/>
    </row>
    <row r="6748" spans="6:9" x14ac:dyDescent="0.35">
      <c r="F6748" s="33"/>
      <c r="G6748" s="70"/>
      <c r="H6748" s="400"/>
      <c r="I6748" s="239"/>
    </row>
    <row r="6749" spans="6:9" x14ac:dyDescent="0.35">
      <c r="F6749" s="33"/>
      <c r="G6749" s="70"/>
      <c r="H6749" s="400"/>
      <c r="I6749" s="239"/>
    </row>
    <row r="6750" spans="6:9" x14ac:dyDescent="0.35">
      <c r="F6750" s="33"/>
      <c r="G6750" s="70"/>
      <c r="H6750" s="400"/>
      <c r="I6750" s="239"/>
    </row>
    <row r="6751" spans="6:9" x14ac:dyDescent="0.35">
      <c r="F6751" s="33"/>
      <c r="G6751" s="70"/>
      <c r="H6751" s="400"/>
      <c r="I6751" s="239"/>
    </row>
    <row r="6752" spans="6:9" x14ac:dyDescent="0.35">
      <c r="F6752" s="33"/>
      <c r="G6752" s="70"/>
      <c r="H6752" s="400"/>
      <c r="I6752" s="239"/>
    </row>
    <row r="6753" spans="6:9" x14ac:dyDescent="0.35">
      <c r="F6753" s="33"/>
      <c r="G6753" s="70"/>
      <c r="H6753" s="400"/>
      <c r="I6753" s="239"/>
    </row>
    <row r="6754" spans="6:9" x14ac:dyDescent="0.35">
      <c r="F6754" s="33"/>
      <c r="G6754" s="70"/>
      <c r="H6754" s="400"/>
      <c r="I6754" s="239"/>
    </row>
    <row r="6755" spans="6:9" x14ac:dyDescent="0.35">
      <c r="F6755" s="33"/>
      <c r="G6755" s="70"/>
      <c r="H6755" s="400"/>
      <c r="I6755" s="239"/>
    </row>
    <row r="6756" spans="6:9" x14ac:dyDescent="0.35">
      <c r="F6756" s="33"/>
      <c r="G6756" s="70"/>
      <c r="H6756" s="400"/>
      <c r="I6756" s="239"/>
    </row>
    <row r="6757" spans="6:9" x14ac:dyDescent="0.35">
      <c r="F6757" s="33"/>
      <c r="G6757" s="70"/>
      <c r="H6757" s="400"/>
      <c r="I6757" s="239"/>
    </row>
    <row r="6758" spans="6:9" x14ac:dyDescent="0.35">
      <c r="F6758" s="33"/>
      <c r="G6758" s="70"/>
      <c r="H6758" s="400"/>
      <c r="I6758" s="239"/>
    </row>
    <row r="6759" spans="6:9" x14ac:dyDescent="0.35">
      <c r="F6759" s="33"/>
      <c r="G6759" s="70"/>
      <c r="H6759" s="400"/>
      <c r="I6759" s="239"/>
    </row>
    <row r="6760" spans="6:9" x14ac:dyDescent="0.35">
      <c r="F6760" s="33"/>
      <c r="G6760" s="70"/>
      <c r="H6760" s="400"/>
      <c r="I6760" s="239"/>
    </row>
    <row r="6761" spans="6:9" x14ac:dyDescent="0.35">
      <c r="F6761" s="33"/>
      <c r="G6761" s="70"/>
      <c r="H6761" s="400"/>
      <c r="I6761" s="239"/>
    </row>
    <row r="6762" spans="6:9" x14ac:dyDescent="0.35">
      <c r="F6762" s="33"/>
      <c r="G6762" s="70"/>
      <c r="H6762" s="400"/>
      <c r="I6762" s="239"/>
    </row>
    <row r="6763" spans="6:9" x14ac:dyDescent="0.35">
      <c r="F6763" s="33"/>
      <c r="G6763" s="70"/>
      <c r="H6763" s="400"/>
      <c r="I6763" s="239"/>
    </row>
    <row r="6764" spans="6:9" x14ac:dyDescent="0.35">
      <c r="F6764" s="33"/>
      <c r="G6764" s="70"/>
      <c r="H6764" s="400"/>
      <c r="I6764" s="239"/>
    </row>
    <row r="6765" spans="6:9" x14ac:dyDescent="0.35">
      <c r="F6765" s="33"/>
      <c r="G6765" s="70"/>
      <c r="H6765" s="400"/>
      <c r="I6765" s="239"/>
    </row>
    <row r="6766" spans="6:9" x14ac:dyDescent="0.35">
      <c r="F6766" s="33"/>
      <c r="G6766" s="70"/>
      <c r="H6766" s="400"/>
      <c r="I6766" s="239"/>
    </row>
    <row r="6767" spans="6:9" x14ac:dyDescent="0.35">
      <c r="F6767" s="33"/>
      <c r="G6767" s="70"/>
      <c r="H6767" s="400"/>
      <c r="I6767" s="239"/>
    </row>
    <row r="6768" spans="6:9" x14ac:dyDescent="0.35">
      <c r="F6768" s="33"/>
      <c r="G6768" s="70"/>
      <c r="H6768" s="400"/>
      <c r="I6768" s="239"/>
    </row>
    <row r="6769" spans="6:9" x14ac:dyDescent="0.35">
      <c r="F6769" s="33"/>
      <c r="G6769" s="70"/>
      <c r="H6769" s="400"/>
      <c r="I6769" s="239"/>
    </row>
    <row r="6770" spans="6:9" x14ac:dyDescent="0.35">
      <c r="F6770" s="33"/>
      <c r="G6770" s="70"/>
      <c r="H6770" s="400"/>
      <c r="I6770" s="239"/>
    </row>
    <row r="6771" spans="6:9" x14ac:dyDescent="0.35">
      <c r="F6771" s="33"/>
      <c r="G6771" s="70"/>
      <c r="H6771" s="400"/>
      <c r="I6771" s="239"/>
    </row>
    <row r="6772" spans="6:9" x14ac:dyDescent="0.35">
      <c r="F6772" s="33"/>
      <c r="G6772" s="70"/>
      <c r="H6772" s="400"/>
      <c r="I6772" s="239"/>
    </row>
    <row r="6773" spans="6:9" x14ac:dyDescent="0.35">
      <c r="F6773" s="33"/>
      <c r="G6773" s="70"/>
      <c r="H6773" s="400"/>
      <c r="I6773" s="239"/>
    </row>
    <row r="6774" spans="6:9" x14ac:dyDescent="0.35">
      <c r="F6774" s="33"/>
      <c r="G6774" s="70"/>
      <c r="H6774" s="400"/>
      <c r="I6774" s="239"/>
    </row>
    <row r="6775" spans="6:9" x14ac:dyDescent="0.35">
      <c r="F6775" s="33"/>
      <c r="G6775" s="70"/>
      <c r="H6775" s="400"/>
      <c r="I6775" s="239"/>
    </row>
    <row r="6776" spans="6:9" x14ac:dyDescent="0.35">
      <c r="F6776" s="33"/>
      <c r="G6776" s="70"/>
      <c r="H6776" s="400"/>
      <c r="I6776" s="239"/>
    </row>
    <row r="6777" spans="6:9" x14ac:dyDescent="0.35">
      <c r="F6777" s="33"/>
      <c r="G6777" s="70"/>
      <c r="H6777" s="400"/>
      <c r="I6777" s="239"/>
    </row>
    <row r="6778" spans="6:9" x14ac:dyDescent="0.35">
      <c r="F6778" s="33"/>
      <c r="G6778" s="70"/>
      <c r="H6778" s="400"/>
      <c r="I6778" s="239"/>
    </row>
    <row r="6779" spans="6:9" x14ac:dyDescent="0.35">
      <c r="F6779" s="33"/>
      <c r="G6779" s="70"/>
      <c r="H6779" s="400"/>
      <c r="I6779" s="239"/>
    </row>
    <row r="6780" spans="6:9" x14ac:dyDescent="0.35">
      <c r="F6780" s="33"/>
      <c r="G6780" s="70"/>
      <c r="H6780" s="400"/>
      <c r="I6780" s="239"/>
    </row>
    <row r="6781" spans="6:9" x14ac:dyDescent="0.35">
      <c r="F6781" s="33"/>
      <c r="G6781" s="70"/>
      <c r="H6781" s="400"/>
      <c r="I6781" s="239"/>
    </row>
    <row r="6782" spans="6:9" x14ac:dyDescent="0.35">
      <c r="F6782" s="33"/>
      <c r="G6782" s="70"/>
      <c r="H6782" s="400"/>
      <c r="I6782" s="239"/>
    </row>
    <row r="6783" spans="6:9" x14ac:dyDescent="0.35">
      <c r="F6783" s="33"/>
      <c r="G6783" s="70"/>
      <c r="H6783" s="400"/>
      <c r="I6783" s="239"/>
    </row>
    <row r="6784" spans="6:9" x14ac:dyDescent="0.35">
      <c r="F6784" s="33"/>
      <c r="G6784" s="70"/>
      <c r="H6784" s="400"/>
      <c r="I6784" s="239"/>
    </row>
    <row r="6785" spans="6:9" x14ac:dyDescent="0.35">
      <c r="F6785" s="33"/>
      <c r="G6785" s="70"/>
      <c r="H6785" s="400"/>
      <c r="I6785" s="239"/>
    </row>
    <row r="6786" spans="6:9" x14ac:dyDescent="0.35">
      <c r="F6786" s="33"/>
      <c r="G6786" s="70"/>
      <c r="H6786" s="400"/>
      <c r="I6786" s="239"/>
    </row>
    <row r="6787" spans="6:9" x14ac:dyDescent="0.35">
      <c r="F6787" s="33"/>
      <c r="G6787" s="70"/>
      <c r="H6787" s="400"/>
      <c r="I6787" s="239"/>
    </row>
    <row r="6788" spans="6:9" x14ac:dyDescent="0.35">
      <c r="F6788" s="33"/>
      <c r="G6788" s="70"/>
      <c r="H6788" s="400"/>
      <c r="I6788" s="239"/>
    </row>
    <row r="6789" spans="6:9" x14ac:dyDescent="0.35">
      <c r="F6789" s="33"/>
      <c r="G6789" s="70"/>
      <c r="H6789" s="400"/>
      <c r="I6789" s="239"/>
    </row>
    <row r="6790" spans="6:9" x14ac:dyDescent="0.35">
      <c r="F6790" s="33"/>
      <c r="G6790" s="70"/>
      <c r="H6790" s="400"/>
      <c r="I6790" s="239"/>
    </row>
    <row r="6791" spans="6:9" x14ac:dyDescent="0.35">
      <c r="F6791" s="33"/>
      <c r="G6791" s="70"/>
      <c r="H6791" s="400"/>
      <c r="I6791" s="239"/>
    </row>
    <row r="6792" spans="6:9" x14ac:dyDescent="0.35">
      <c r="F6792" s="33"/>
      <c r="G6792" s="70"/>
      <c r="H6792" s="400"/>
      <c r="I6792" s="239"/>
    </row>
    <row r="6793" spans="6:9" x14ac:dyDescent="0.35">
      <c r="F6793" s="33"/>
      <c r="G6793" s="70"/>
      <c r="H6793" s="400"/>
      <c r="I6793" s="239"/>
    </row>
    <row r="6794" spans="6:9" x14ac:dyDescent="0.35">
      <c r="F6794" s="33"/>
      <c r="G6794" s="70"/>
      <c r="H6794" s="400"/>
      <c r="I6794" s="239"/>
    </row>
    <row r="6795" spans="6:9" x14ac:dyDescent="0.35">
      <c r="F6795" s="33"/>
      <c r="G6795" s="70"/>
      <c r="H6795" s="400"/>
      <c r="I6795" s="239"/>
    </row>
    <row r="6796" spans="6:9" x14ac:dyDescent="0.35">
      <c r="F6796" s="33"/>
      <c r="G6796" s="70"/>
      <c r="H6796" s="400"/>
      <c r="I6796" s="239"/>
    </row>
    <row r="6797" spans="6:9" x14ac:dyDescent="0.35">
      <c r="F6797" s="33"/>
      <c r="G6797" s="70"/>
      <c r="H6797" s="400"/>
      <c r="I6797" s="239"/>
    </row>
    <row r="6798" spans="6:9" x14ac:dyDescent="0.35">
      <c r="F6798" s="33"/>
      <c r="G6798" s="70"/>
      <c r="H6798" s="400"/>
      <c r="I6798" s="239"/>
    </row>
    <row r="6799" spans="6:9" x14ac:dyDescent="0.35">
      <c r="F6799" s="33"/>
      <c r="G6799" s="70"/>
      <c r="H6799" s="400"/>
      <c r="I6799" s="239"/>
    </row>
    <row r="6800" spans="6:9" x14ac:dyDescent="0.35">
      <c r="F6800" s="33"/>
      <c r="G6800" s="70"/>
      <c r="H6800" s="400"/>
      <c r="I6800" s="239"/>
    </row>
    <row r="6801" spans="6:9" x14ac:dyDescent="0.35">
      <c r="F6801" s="33"/>
      <c r="G6801" s="70"/>
      <c r="H6801" s="400"/>
      <c r="I6801" s="239"/>
    </row>
    <row r="6802" spans="6:9" x14ac:dyDescent="0.35">
      <c r="F6802" s="33"/>
      <c r="G6802" s="70"/>
      <c r="H6802" s="400"/>
      <c r="I6802" s="239"/>
    </row>
    <row r="6803" spans="6:9" x14ac:dyDescent="0.35">
      <c r="F6803" s="33"/>
      <c r="G6803" s="70"/>
      <c r="H6803" s="400"/>
      <c r="I6803" s="239"/>
    </row>
    <row r="6804" spans="6:9" x14ac:dyDescent="0.35">
      <c r="F6804" s="33"/>
      <c r="G6804" s="70"/>
      <c r="H6804" s="400"/>
      <c r="I6804" s="239"/>
    </row>
    <row r="6805" spans="6:9" x14ac:dyDescent="0.35">
      <c r="F6805" s="33"/>
      <c r="G6805" s="70"/>
      <c r="H6805" s="400"/>
      <c r="I6805" s="239"/>
    </row>
    <row r="6806" spans="6:9" x14ac:dyDescent="0.35">
      <c r="F6806" s="33"/>
      <c r="G6806" s="70"/>
      <c r="H6806" s="400"/>
      <c r="I6806" s="239"/>
    </row>
    <row r="6807" spans="6:9" x14ac:dyDescent="0.35">
      <c r="F6807" s="33"/>
      <c r="G6807" s="70"/>
      <c r="H6807" s="400"/>
      <c r="I6807" s="239"/>
    </row>
    <row r="6808" spans="6:9" x14ac:dyDescent="0.35">
      <c r="F6808" s="33"/>
      <c r="G6808" s="70"/>
      <c r="H6808" s="400"/>
      <c r="I6808" s="239"/>
    </row>
    <row r="6809" spans="6:9" x14ac:dyDescent="0.35">
      <c r="F6809" s="33"/>
      <c r="G6809" s="70"/>
      <c r="H6809" s="400"/>
      <c r="I6809" s="239"/>
    </row>
    <row r="6810" spans="6:9" x14ac:dyDescent="0.35">
      <c r="F6810" s="33"/>
      <c r="G6810" s="70"/>
      <c r="H6810" s="400"/>
      <c r="I6810" s="239"/>
    </row>
    <row r="6811" spans="6:9" x14ac:dyDescent="0.35">
      <c r="F6811" s="33"/>
      <c r="G6811" s="70"/>
      <c r="H6811" s="400"/>
      <c r="I6811" s="239"/>
    </row>
    <row r="6812" spans="6:9" x14ac:dyDescent="0.35">
      <c r="F6812" s="33"/>
      <c r="G6812" s="70"/>
      <c r="H6812" s="400"/>
      <c r="I6812" s="239"/>
    </row>
    <row r="6813" spans="6:9" x14ac:dyDescent="0.35">
      <c r="F6813" s="33"/>
      <c r="G6813" s="70"/>
      <c r="H6813" s="400"/>
      <c r="I6813" s="239"/>
    </row>
    <row r="6814" spans="6:9" x14ac:dyDescent="0.35">
      <c r="F6814" s="33"/>
      <c r="G6814" s="70"/>
      <c r="H6814" s="400"/>
      <c r="I6814" s="239"/>
    </row>
    <row r="6815" spans="6:9" x14ac:dyDescent="0.35">
      <c r="F6815" s="33"/>
      <c r="G6815" s="70"/>
      <c r="H6815" s="400"/>
      <c r="I6815" s="239"/>
    </row>
    <row r="6816" spans="6:9" x14ac:dyDescent="0.35">
      <c r="F6816" s="33"/>
      <c r="G6816" s="70"/>
      <c r="H6816" s="400"/>
      <c r="I6816" s="239"/>
    </row>
    <row r="6817" spans="6:9" x14ac:dyDescent="0.35">
      <c r="F6817" s="33"/>
      <c r="G6817" s="70"/>
      <c r="H6817" s="400"/>
      <c r="I6817" s="239"/>
    </row>
    <row r="6818" spans="6:9" x14ac:dyDescent="0.35">
      <c r="F6818" s="33"/>
      <c r="G6818" s="70"/>
      <c r="H6818" s="400"/>
      <c r="I6818" s="239"/>
    </row>
    <row r="6819" spans="6:9" x14ac:dyDescent="0.35">
      <c r="F6819" s="33"/>
      <c r="G6819" s="70"/>
      <c r="H6819" s="400"/>
      <c r="I6819" s="239"/>
    </row>
    <row r="6820" spans="6:9" x14ac:dyDescent="0.35">
      <c r="F6820" s="33"/>
      <c r="G6820" s="70"/>
      <c r="H6820" s="400"/>
      <c r="I6820" s="239"/>
    </row>
    <row r="6821" spans="6:9" x14ac:dyDescent="0.35">
      <c r="F6821" s="33"/>
      <c r="G6821" s="70"/>
      <c r="H6821" s="400"/>
      <c r="I6821" s="239"/>
    </row>
    <row r="6822" spans="6:9" x14ac:dyDescent="0.35">
      <c r="F6822" s="33"/>
      <c r="G6822" s="70"/>
      <c r="H6822" s="400"/>
      <c r="I6822" s="239"/>
    </row>
    <row r="6823" spans="6:9" x14ac:dyDescent="0.35">
      <c r="F6823" s="33"/>
      <c r="G6823" s="70"/>
      <c r="H6823" s="400"/>
      <c r="I6823" s="239"/>
    </row>
    <row r="6824" spans="6:9" x14ac:dyDescent="0.35">
      <c r="F6824" s="33"/>
      <c r="G6824" s="70"/>
      <c r="H6824" s="400"/>
      <c r="I6824" s="239"/>
    </row>
    <row r="6825" spans="6:9" x14ac:dyDescent="0.35">
      <c r="F6825" s="33"/>
      <c r="G6825" s="70"/>
      <c r="H6825" s="400"/>
      <c r="I6825" s="239"/>
    </row>
    <row r="6826" spans="6:9" x14ac:dyDescent="0.35">
      <c r="F6826" s="33"/>
      <c r="G6826" s="70"/>
      <c r="H6826" s="400"/>
      <c r="I6826" s="239"/>
    </row>
    <row r="6827" spans="6:9" x14ac:dyDescent="0.35">
      <c r="F6827" s="33"/>
      <c r="G6827" s="70"/>
      <c r="H6827" s="400"/>
      <c r="I6827" s="239"/>
    </row>
    <row r="6828" spans="6:9" x14ac:dyDescent="0.35">
      <c r="F6828" s="33"/>
      <c r="G6828" s="70"/>
      <c r="H6828" s="400"/>
      <c r="I6828" s="239"/>
    </row>
    <row r="6829" spans="6:9" x14ac:dyDescent="0.35">
      <c r="F6829" s="33"/>
      <c r="G6829" s="70"/>
      <c r="H6829" s="400"/>
      <c r="I6829" s="239"/>
    </row>
    <row r="6830" spans="6:9" x14ac:dyDescent="0.35">
      <c r="F6830" s="33"/>
      <c r="G6830" s="70"/>
      <c r="H6830" s="400"/>
      <c r="I6830" s="239"/>
    </row>
    <row r="6831" spans="6:9" x14ac:dyDescent="0.35">
      <c r="F6831" s="33"/>
      <c r="G6831" s="70"/>
      <c r="H6831" s="400"/>
      <c r="I6831" s="239"/>
    </row>
    <row r="6832" spans="6:9" x14ac:dyDescent="0.35">
      <c r="F6832" s="33"/>
      <c r="G6832" s="70"/>
      <c r="H6832" s="400"/>
      <c r="I6832" s="239"/>
    </row>
    <row r="6833" spans="6:9" x14ac:dyDescent="0.35">
      <c r="F6833" s="33"/>
      <c r="G6833" s="70"/>
      <c r="H6833" s="400"/>
      <c r="I6833" s="239"/>
    </row>
    <row r="6834" spans="6:9" x14ac:dyDescent="0.35">
      <c r="F6834" s="33"/>
      <c r="G6834" s="70"/>
      <c r="H6834" s="400"/>
      <c r="I6834" s="239"/>
    </row>
    <row r="6835" spans="6:9" x14ac:dyDescent="0.35">
      <c r="F6835" s="33"/>
      <c r="G6835" s="70"/>
      <c r="H6835" s="400"/>
      <c r="I6835" s="239"/>
    </row>
    <row r="6836" spans="6:9" x14ac:dyDescent="0.35">
      <c r="F6836" s="33"/>
      <c r="G6836" s="70"/>
      <c r="H6836" s="400"/>
      <c r="I6836" s="239"/>
    </row>
    <row r="6837" spans="6:9" x14ac:dyDescent="0.35">
      <c r="F6837" s="33"/>
      <c r="G6837" s="70"/>
      <c r="H6837" s="400"/>
      <c r="I6837" s="239"/>
    </row>
    <row r="6838" spans="6:9" x14ac:dyDescent="0.35">
      <c r="F6838" s="33"/>
      <c r="G6838" s="70"/>
      <c r="H6838" s="400"/>
      <c r="I6838" s="239"/>
    </row>
    <row r="6839" spans="6:9" x14ac:dyDescent="0.35">
      <c r="F6839" s="33"/>
      <c r="G6839" s="70"/>
      <c r="H6839" s="400"/>
      <c r="I6839" s="239"/>
    </row>
    <row r="6840" spans="6:9" x14ac:dyDescent="0.35">
      <c r="F6840" s="33"/>
      <c r="G6840" s="70"/>
      <c r="H6840" s="400"/>
      <c r="I6840" s="239"/>
    </row>
    <row r="6841" spans="6:9" x14ac:dyDescent="0.35">
      <c r="F6841" s="33"/>
      <c r="G6841" s="70"/>
      <c r="H6841" s="400"/>
      <c r="I6841" s="239"/>
    </row>
    <row r="6842" spans="6:9" x14ac:dyDescent="0.35">
      <c r="F6842" s="33"/>
      <c r="G6842" s="70"/>
      <c r="H6842" s="400"/>
      <c r="I6842" s="239"/>
    </row>
    <row r="6843" spans="6:9" x14ac:dyDescent="0.35">
      <c r="F6843" s="33"/>
      <c r="G6843" s="70"/>
      <c r="H6843" s="400"/>
      <c r="I6843" s="239"/>
    </row>
    <row r="6844" spans="6:9" x14ac:dyDescent="0.35">
      <c r="F6844" s="33"/>
      <c r="G6844" s="70"/>
      <c r="H6844" s="400"/>
      <c r="I6844" s="239"/>
    </row>
    <row r="6845" spans="6:9" x14ac:dyDescent="0.35">
      <c r="F6845" s="33"/>
      <c r="G6845" s="70"/>
      <c r="H6845" s="400"/>
      <c r="I6845" s="239"/>
    </row>
    <row r="6846" spans="6:9" x14ac:dyDescent="0.35">
      <c r="F6846" s="33"/>
      <c r="G6846" s="70"/>
      <c r="H6846" s="400"/>
      <c r="I6846" s="239"/>
    </row>
    <row r="6847" spans="6:9" x14ac:dyDescent="0.35">
      <c r="F6847" s="33"/>
      <c r="G6847" s="70"/>
      <c r="H6847" s="400"/>
      <c r="I6847" s="239"/>
    </row>
    <row r="6848" spans="6:9" x14ac:dyDescent="0.35">
      <c r="F6848" s="33"/>
      <c r="G6848" s="70"/>
      <c r="H6848" s="400"/>
      <c r="I6848" s="239"/>
    </row>
    <row r="6849" spans="6:9" x14ac:dyDescent="0.35">
      <c r="F6849" s="33"/>
      <c r="G6849" s="70"/>
      <c r="H6849" s="400"/>
      <c r="I6849" s="239"/>
    </row>
    <row r="6850" spans="6:9" x14ac:dyDescent="0.35">
      <c r="F6850" s="33"/>
      <c r="G6850" s="70"/>
      <c r="H6850" s="400"/>
      <c r="I6850" s="239"/>
    </row>
    <row r="6851" spans="6:9" x14ac:dyDescent="0.35">
      <c r="F6851" s="33"/>
      <c r="G6851" s="70"/>
      <c r="H6851" s="400"/>
      <c r="I6851" s="239"/>
    </row>
    <row r="6852" spans="6:9" x14ac:dyDescent="0.35">
      <c r="F6852" s="33"/>
      <c r="G6852" s="70"/>
      <c r="H6852" s="400"/>
      <c r="I6852" s="239"/>
    </row>
    <row r="6853" spans="6:9" x14ac:dyDescent="0.35">
      <c r="F6853" s="33"/>
      <c r="G6853" s="70"/>
      <c r="H6853" s="400"/>
      <c r="I6853" s="239"/>
    </row>
    <row r="6854" spans="6:9" x14ac:dyDescent="0.35">
      <c r="F6854" s="33"/>
      <c r="G6854" s="70"/>
      <c r="H6854" s="400"/>
      <c r="I6854" s="239"/>
    </row>
    <row r="6855" spans="6:9" x14ac:dyDescent="0.35">
      <c r="F6855" s="33"/>
      <c r="G6855" s="70"/>
      <c r="H6855" s="400"/>
      <c r="I6855" s="239"/>
    </row>
    <row r="6856" spans="6:9" x14ac:dyDescent="0.35">
      <c r="F6856" s="33"/>
      <c r="G6856" s="70"/>
      <c r="H6856" s="400"/>
      <c r="I6856" s="239"/>
    </row>
    <row r="6857" spans="6:9" x14ac:dyDescent="0.35">
      <c r="F6857" s="33"/>
      <c r="G6857" s="70"/>
      <c r="H6857" s="400"/>
      <c r="I6857" s="239"/>
    </row>
    <row r="6858" spans="6:9" x14ac:dyDescent="0.35">
      <c r="F6858" s="33"/>
      <c r="G6858" s="70"/>
      <c r="H6858" s="400"/>
      <c r="I6858" s="239"/>
    </row>
    <row r="6859" spans="6:9" x14ac:dyDescent="0.35">
      <c r="F6859" s="33"/>
      <c r="G6859" s="70"/>
      <c r="H6859" s="400"/>
      <c r="I6859" s="239"/>
    </row>
    <row r="6860" spans="6:9" x14ac:dyDescent="0.35">
      <c r="F6860" s="33"/>
      <c r="G6860" s="70"/>
      <c r="H6860" s="400"/>
      <c r="I6860" s="239"/>
    </row>
    <row r="6861" spans="6:9" x14ac:dyDescent="0.35">
      <c r="F6861" s="33"/>
      <c r="G6861" s="70"/>
      <c r="H6861" s="400"/>
      <c r="I6861" s="239"/>
    </row>
    <row r="6862" spans="6:9" x14ac:dyDescent="0.35">
      <c r="F6862" s="33"/>
      <c r="G6862" s="70"/>
      <c r="H6862" s="400"/>
      <c r="I6862" s="239"/>
    </row>
    <row r="6863" spans="6:9" x14ac:dyDescent="0.35">
      <c r="F6863" s="33"/>
      <c r="G6863" s="70"/>
      <c r="H6863" s="400"/>
      <c r="I6863" s="239"/>
    </row>
    <row r="6864" spans="6:9" x14ac:dyDescent="0.35">
      <c r="F6864" s="33"/>
      <c r="G6864" s="70"/>
      <c r="H6864" s="400"/>
      <c r="I6864" s="239"/>
    </row>
    <row r="6865" spans="6:9" x14ac:dyDescent="0.35">
      <c r="F6865" s="33"/>
      <c r="G6865" s="70"/>
      <c r="H6865" s="400"/>
      <c r="I6865" s="239"/>
    </row>
    <row r="6866" spans="6:9" x14ac:dyDescent="0.35">
      <c r="F6866" s="33"/>
      <c r="G6866" s="70"/>
      <c r="H6866" s="400"/>
      <c r="I6866" s="239"/>
    </row>
    <row r="6867" spans="6:9" x14ac:dyDescent="0.35">
      <c r="F6867" s="33"/>
      <c r="G6867" s="70"/>
      <c r="H6867" s="400"/>
      <c r="I6867" s="239"/>
    </row>
    <row r="6868" spans="6:9" x14ac:dyDescent="0.35">
      <c r="F6868" s="33"/>
      <c r="G6868" s="70"/>
      <c r="H6868" s="400"/>
      <c r="I6868" s="239"/>
    </row>
    <row r="6869" spans="6:9" x14ac:dyDescent="0.35">
      <c r="F6869" s="33"/>
      <c r="G6869" s="70"/>
      <c r="H6869" s="400"/>
      <c r="I6869" s="239"/>
    </row>
    <row r="6870" spans="6:9" x14ac:dyDescent="0.35">
      <c r="F6870" s="33"/>
      <c r="G6870" s="70"/>
      <c r="H6870" s="400"/>
      <c r="I6870" s="239"/>
    </row>
    <row r="6871" spans="6:9" x14ac:dyDescent="0.35">
      <c r="F6871" s="33"/>
      <c r="G6871" s="70"/>
      <c r="H6871" s="400"/>
      <c r="I6871" s="239"/>
    </row>
    <row r="6872" spans="6:9" x14ac:dyDescent="0.35">
      <c r="F6872" s="33"/>
      <c r="G6872" s="70"/>
      <c r="H6872" s="400"/>
      <c r="I6872" s="239"/>
    </row>
    <row r="6873" spans="6:9" x14ac:dyDescent="0.35">
      <c r="F6873" s="33"/>
      <c r="G6873" s="70"/>
      <c r="H6873" s="400"/>
      <c r="I6873" s="239"/>
    </row>
    <row r="6874" spans="6:9" x14ac:dyDescent="0.35">
      <c r="F6874" s="33"/>
      <c r="G6874" s="70"/>
      <c r="H6874" s="400"/>
      <c r="I6874" s="239"/>
    </row>
    <row r="6875" spans="6:9" x14ac:dyDescent="0.35">
      <c r="F6875" s="33"/>
      <c r="G6875" s="70"/>
      <c r="H6875" s="400"/>
      <c r="I6875" s="239"/>
    </row>
    <row r="6876" spans="6:9" x14ac:dyDescent="0.35">
      <c r="F6876" s="33"/>
      <c r="G6876" s="70"/>
      <c r="H6876" s="400"/>
      <c r="I6876" s="239"/>
    </row>
    <row r="6877" spans="6:9" x14ac:dyDescent="0.35">
      <c r="F6877" s="33"/>
      <c r="G6877" s="70"/>
      <c r="H6877" s="400"/>
      <c r="I6877" s="239"/>
    </row>
    <row r="6878" spans="6:9" x14ac:dyDescent="0.35">
      <c r="F6878" s="33"/>
      <c r="G6878" s="70"/>
      <c r="H6878" s="400"/>
      <c r="I6878" s="239"/>
    </row>
    <row r="6879" spans="6:9" x14ac:dyDescent="0.35">
      <c r="F6879" s="33"/>
      <c r="G6879" s="70"/>
      <c r="H6879" s="400"/>
      <c r="I6879" s="239"/>
    </row>
    <row r="6880" spans="6:9" x14ac:dyDescent="0.35">
      <c r="F6880" s="33"/>
      <c r="G6880" s="70"/>
      <c r="H6880" s="400"/>
      <c r="I6880" s="239"/>
    </row>
    <row r="6881" spans="6:9" x14ac:dyDescent="0.35">
      <c r="F6881" s="33"/>
      <c r="G6881" s="70"/>
      <c r="H6881" s="400"/>
      <c r="I6881" s="239"/>
    </row>
    <row r="6882" spans="6:9" x14ac:dyDescent="0.35">
      <c r="F6882" s="33"/>
      <c r="G6882" s="70"/>
      <c r="H6882" s="400"/>
      <c r="I6882" s="239"/>
    </row>
    <row r="6883" spans="6:9" x14ac:dyDescent="0.35">
      <c r="F6883" s="33"/>
      <c r="G6883" s="70"/>
      <c r="H6883" s="400"/>
      <c r="I6883" s="239"/>
    </row>
    <row r="6884" spans="6:9" x14ac:dyDescent="0.35">
      <c r="F6884" s="33"/>
      <c r="G6884" s="70"/>
      <c r="H6884" s="400"/>
      <c r="I6884" s="239"/>
    </row>
    <row r="6885" spans="6:9" x14ac:dyDescent="0.35">
      <c r="F6885" s="33"/>
      <c r="G6885" s="70"/>
      <c r="H6885" s="400"/>
      <c r="I6885" s="239"/>
    </row>
    <row r="6886" spans="6:9" x14ac:dyDescent="0.35">
      <c r="F6886" s="33"/>
      <c r="G6886" s="70"/>
      <c r="H6886" s="400"/>
      <c r="I6886" s="239"/>
    </row>
    <row r="6887" spans="6:9" x14ac:dyDescent="0.35">
      <c r="F6887" s="33"/>
      <c r="G6887" s="70"/>
      <c r="H6887" s="400"/>
      <c r="I6887" s="239"/>
    </row>
    <row r="6888" spans="6:9" x14ac:dyDescent="0.35">
      <c r="F6888" s="33"/>
      <c r="G6888" s="70"/>
      <c r="H6888" s="400"/>
      <c r="I6888" s="239"/>
    </row>
    <row r="6889" spans="6:9" x14ac:dyDescent="0.35">
      <c r="F6889" s="33"/>
      <c r="G6889" s="70"/>
      <c r="H6889" s="400"/>
      <c r="I6889" s="239"/>
    </row>
    <row r="6890" spans="6:9" x14ac:dyDescent="0.35">
      <c r="F6890" s="33"/>
      <c r="G6890" s="70"/>
      <c r="H6890" s="400"/>
      <c r="I6890" s="239"/>
    </row>
    <row r="6891" spans="6:9" x14ac:dyDescent="0.35">
      <c r="F6891" s="33"/>
      <c r="G6891" s="70"/>
      <c r="H6891" s="400"/>
      <c r="I6891" s="239"/>
    </row>
    <row r="6892" spans="6:9" x14ac:dyDescent="0.35">
      <c r="F6892" s="33"/>
      <c r="G6892" s="70"/>
      <c r="H6892" s="400"/>
      <c r="I6892" s="239"/>
    </row>
    <row r="6893" spans="6:9" x14ac:dyDescent="0.35">
      <c r="F6893" s="33"/>
      <c r="G6893" s="70"/>
      <c r="H6893" s="400"/>
      <c r="I6893" s="239"/>
    </row>
    <row r="6894" spans="6:9" x14ac:dyDescent="0.35">
      <c r="F6894" s="33"/>
      <c r="G6894" s="70"/>
      <c r="H6894" s="400"/>
      <c r="I6894" s="239"/>
    </row>
    <row r="6895" spans="6:9" x14ac:dyDescent="0.35">
      <c r="F6895" s="33"/>
      <c r="G6895" s="70"/>
      <c r="H6895" s="400"/>
      <c r="I6895" s="239"/>
    </row>
    <row r="6896" spans="6:9" x14ac:dyDescent="0.35">
      <c r="F6896" s="33"/>
      <c r="G6896" s="70"/>
      <c r="H6896" s="400"/>
      <c r="I6896" s="239"/>
    </row>
    <row r="6897" spans="6:9" x14ac:dyDescent="0.35">
      <c r="F6897" s="33"/>
      <c r="G6897" s="70"/>
      <c r="H6897" s="400"/>
      <c r="I6897" s="239"/>
    </row>
    <row r="6898" spans="6:9" x14ac:dyDescent="0.35">
      <c r="F6898" s="33"/>
      <c r="G6898" s="70"/>
      <c r="H6898" s="400"/>
      <c r="I6898" s="239"/>
    </row>
    <row r="6899" spans="6:9" x14ac:dyDescent="0.35">
      <c r="F6899" s="33"/>
      <c r="G6899" s="70"/>
      <c r="H6899" s="400"/>
      <c r="I6899" s="239"/>
    </row>
    <row r="6900" spans="6:9" x14ac:dyDescent="0.35">
      <c r="F6900" s="33"/>
      <c r="G6900" s="70"/>
      <c r="H6900" s="400"/>
      <c r="I6900" s="239"/>
    </row>
    <row r="6901" spans="6:9" x14ac:dyDescent="0.35">
      <c r="F6901" s="33"/>
      <c r="G6901" s="70"/>
      <c r="H6901" s="400"/>
      <c r="I6901" s="239"/>
    </row>
    <row r="6902" spans="6:9" x14ac:dyDescent="0.35">
      <c r="F6902" s="33"/>
      <c r="G6902" s="70"/>
      <c r="H6902" s="400"/>
      <c r="I6902" s="239"/>
    </row>
    <row r="6903" spans="6:9" x14ac:dyDescent="0.35">
      <c r="F6903" s="33"/>
      <c r="G6903" s="70"/>
      <c r="H6903" s="400"/>
      <c r="I6903" s="239"/>
    </row>
    <row r="6904" spans="6:9" x14ac:dyDescent="0.35">
      <c r="F6904" s="33"/>
      <c r="G6904" s="70"/>
      <c r="H6904" s="400"/>
      <c r="I6904" s="239"/>
    </row>
    <row r="6905" spans="6:9" x14ac:dyDescent="0.35">
      <c r="F6905" s="33"/>
      <c r="G6905" s="70"/>
      <c r="H6905" s="400"/>
      <c r="I6905" s="239"/>
    </row>
    <row r="6906" spans="6:9" x14ac:dyDescent="0.35">
      <c r="F6906" s="33"/>
      <c r="G6906" s="70"/>
      <c r="H6906" s="400"/>
      <c r="I6906" s="239"/>
    </row>
    <row r="6907" spans="6:9" x14ac:dyDescent="0.35">
      <c r="F6907" s="33"/>
      <c r="G6907" s="70"/>
      <c r="H6907" s="400"/>
      <c r="I6907" s="239"/>
    </row>
    <row r="6908" spans="6:9" x14ac:dyDescent="0.35">
      <c r="F6908" s="33"/>
      <c r="G6908" s="70"/>
      <c r="H6908" s="400"/>
      <c r="I6908" s="239"/>
    </row>
    <row r="6909" spans="6:9" x14ac:dyDescent="0.35">
      <c r="F6909" s="33"/>
      <c r="G6909" s="70"/>
      <c r="H6909" s="400"/>
      <c r="I6909" s="239"/>
    </row>
    <row r="6910" spans="6:9" x14ac:dyDescent="0.35">
      <c r="F6910" s="33"/>
      <c r="G6910" s="70"/>
      <c r="H6910" s="400"/>
      <c r="I6910" s="239"/>
    </row>
    <row r="6911" spans="6:9" x14ac:dyDescent="0.35">
      <c r="F6911" s="33"/>
      <c r="G6911" s="70"/>
      <c r="H6911" s="400"/>
      <c r="I6911" s="239"/>
    </row>
    <row r="6912" spans="6:9" x14ac:dyDescent="0.35">
      <c r="F6912" s="33"/>
      <c r="G6912" s="70"/>
      <c r="H6912" s="400"/>
      <c r="I6912" s="239"/>
    </row>
    <row r="6913" spans="6:9" x14ac:dyDescent="0.35">
      <c r="F6913" s="33"/>
      <c r="G6913" s="70"/>
      <c r="H6913" s="400"/>
      <c r="I6913" s="239"/>
    </row>
    <row r="6914" spans="6:9" x14ac:dyDescent="0.35">
      <c r="F6914" s="33"/>
      <c r="G6914" s="70"/>
      <c r="H6914" s="400"/>
      <c r="I6914" s="239"/>
    </row>
    <row r="6915" spans="6:9" x14ac:dyDescent="0.35">
      <c r="F6915" s="33"/>
      <c r="G6915" s="70"/>
      <c r="H6915" s="400"/>
      <c r="I6915" s="239"/>
    </row>
    <row r="6916" spans="6:9" x14ac:dyDescent="0.35">
      <c r="F6916" s="33"/>
      <c r="G6916" s="70"/>
      <c r="H6916" s="400"/>
      <c r="I6916" s="239"/>
    </row>
    <row r="6917" spans="6:9" x14ac:dyDescent="0.35">
      <c r="F6917" s="33"/>
      <c r="G6917" s="70"/>
      <c r="H6917" s="400"/>
      <c r="I6917" s="239"/>
    </row>
    <row r="6918" spans="6:9" x14ac:dyDescent="0.35">
      <c r="F6918" s="33"/>
      <c r="G6918" s="70"/>
      <c r="H6918" s="400"/>
      <c r="I6918" s="239"/>
    </row>
    <row r="6919" spans="6:9" x14ac:dyDescent="0.35">
      <c r="F6919" s="33"/>
      <c r="G6919" s="70"/>
      <c r="H6919" s="400"/>
      <c r="I6919" s="239"/>
    </row>
    <row r="6920" spans="6:9" x14ac:dyDescent="0.35">
      <c r="F6920" s="33"/>
      <c r="G6920" s="70"/>
      <c r="H6920" s="400"/>
      <c r="I6920" s="239"/>
    </row>
    <row r="6921" spans="6:9" x14ac:dyDescent="0.35">
      <c r="F6921" s="33"/>
      <c r="G6921" s="70"/>
      <c r="H6921" s="400"/>
      <c r="I6921" s="239"/>
    </row>
    <row r="6922" spans="6:9" x14ac:dyDescent="0.35">
      <c r="F6922" s="33"/>
      <c r="G6922" s="70"/>
      <c r="H6922" s="400"/>
      <c r="I6922" s="239"/>
    </row>
    <row r="6923" spans="6:9" x14ac:dyDescent="0.35">
      <c r="F6923" s="33"/>
      <c r="G6923" s="70"/>
      <c r="H6923" s="400"/>
      <c r="I6923" s="239"/>
    </row>
    <row r="6924" spans="6:9" x14ac:dyDescent="0.35">
      <c r="F6924" s="33"/>
      <c r="G6924" s="70"/>
      <c r="H6924" s="400"/>
      <c r="I6924" s="239"/>
    </row>
    <row r="6925" spans="6:9" x14ac:dyDescent="0.35">
      <c r="F6925" s="33"/>
      <c r="G6925" s="70"/>
      <c r="H6925" s="400"/>
      <c r="I6925" s="239"/>
    </row>
    <row r="6926" spans="6:9" x14ac:dyDescent="0.35">
      <c r="F6926" s="33"/>
      <c r="G6926" s="70"/>
      <c r="H6926" s="400"/>
      <c r="I6926" s="239"/>
    </row>
    <row r="6927" spans="6:9" x14ac:dyDescent="0.35">
      <c r="F6927" s="33"/>
      <c r="G6927" s="70"/>
      <c r="H6927" s="400"/>
      <c r="I6927" s="239"/>
    </row>
    <row r="6928" spans="6:9" x14ac:dyDescent="0.35">
      <c r="F6928" s="33"/>
      <c r="G6928" s="70"/>
      <c r="H6928" s="400"/>
      <c r="I6928" s="239"/>
    </row>
    <row r="6929" spans="6:9" x14ac:dyDescent="0.35">
      <c r="F6929" s="33"/>
      <c r="G6929" s="70"/>
      <c r="H6929" s="400"/>
      <c r="I6929" s="239"/>
    </row>
    <row r="6930" spans="6:9" x14ac:dyDescent="0.35">
      <c r="F6930" s="33"/>
      <c r="G6930" s="70"/>
      <c r="H6930" s="400"/>
      <c r="I6930" s="239"/>
    </row>
    <row r="6931" spans="6:9" x14ac:dyDescent="0.35">
      <c r="F6931" s="33"/>
      <c r="G6931" s="70"/>
      <c r="H6931" s="400"/>
      <c r="I6931" s="239"/>
    </row>
    <row r="6932" spans="6:9" x14ac:dyDescent="0.35">
      <c r="F6932" s="33"/>
      <c r="G6932" s="70"/>
      <c r="H6932" s="400"/>
      <c r="I6932" s="239"/>
    </row>
    <row r="6933" spans="6:9" x14ac:dyDescent="0.35">
      <c r="F6933" s="33"/>
      <c r="G6933" s="70"/>
      <c r="H6933" s="400"/>
      <c r="I6933" s="239"/>
    </row>
    <row r="6934" spans="6:9" x14ac:dyDescent="0.35">
      <c r="F6934" s="33"/>
      <c r="G6934" s="70"/>
      <c r="H6934" s="400"/>
      <c r="I6934" s="239"/>
    </row>
    <row r="6935" spans="6:9" x14ac:dyDescent="0.35">
      <c r="F6935" s="33"/>
      <c r="G6935" s="70"/>
      <c r="H6935" s="400"/>
      <c r="I6935" s="239"/>
    </row>
    <row r="6936" spans="6:9" x14ac:dyDescent="0.35">
      <c r="F6936" s="33"/>
      <c r="G6936" s="70"/>
      <c r="H6936" s="400"/>
      <c r="I6936" s="239"/>
    </row>
    <row r="6937" spans="6:9" x14ac:dyDescent="0.35">
      <c r="F6937" s="33"/>
      <c r="G6937" s="70"/>
      <c r="H6937" s="400"/>
      <c r="I6937" s="239"/>
    </row>
    <row r="6938" spans="6:9" x14ac:dyDescent="0.35">
      <c r="F6938" s="33"/>
      <c r="G6938" s="70"/>
      <c r="H6938" s="400"/>
      <c r="I6938" s="239"/>
    </row>
    <row r="6939" spans="6:9" x14ac:dyDescent="0.35">
      <c r="F6939" s="33"/>
      <c r="G6939" s="70"/>
      <c r="H6939" s="400"/>
      <c r="I6939" s="239"/>
    </row>
    <row r="6940" spans="6:9" x14ac:dyDescent="0.35">
      <c r="F6940" s="33"/>
      <c r="G6940" s="70"/>
      <c r="H6940" s="400"/>
      <c r="I6940" s="239"/>
    </row>
    <row r="6941" spans="6:9" x14ac:dyDescent="0.35">
      <c r="F6941" s="33"/>
      <c r="G6941" s="70"/>
      <c r="H6941" s="400"/>
      <c r="I6941" s="239"/>
    </row>
    <row r="6942" spans="6:9" x14ac:dyDescent="0.35">
      <c r="F6942" s="33"/>
      <c r="G6942" s="70"/>
      <c r="H6942" s="400"/>
      <c r="I6942" s="239"/>
    </row>
    <row r="6943" spans="6:9" x14ac:dyDescent="0.35">
      <c r="F6943" s="33"/>
      <c r="G6943" s="70"/>
      <c r="H6943" s="400"/>
      <c r="I6943" s="239"/>
    </row>
    <row r="6944" spans="6:9" x14ac:dyDescent="0.35">
      <c r="F6944" s="33"/>
      <c r="G6944" s="70"/>
      <c r="H6944" s="400"/>
      <c r="I6944" s="239"/>
    </row>
    <row r="6945" spans="6:9" x14ac:dyDescent="0.35">
      <c r="F6945" s="33"/>
      <c r="G6945" s="70"/>
      <c r="H6945" s="400"/>
      <c r="I6945" s="239"/>
    </row>
    <row r="6946" spans="6:9" x14ac:dyDescent="0.35">
      <c r="F6946" s="33"/>
      <c r="G6946" s="70"/>
      <c r="H6946" s="400"/>
      <c r="I6946" s="239"/>
    </row>
    <row r="6947" spans="6:9" x14ac:dyDescent="0.35">
      <c r="F6947" s="33"/>
      <c r="G6947" s="70"/>
      <c r="H6947" s="400"/>
      <c r="I6947" s="239"/>
    </row>
    <row r="6948" spans="6:9" x14ac:dyDescent="0.35">
      <c r="F6948" s="33"/>
      <c r="G6948" s="70"/>
      <c r="H6948" s="400"/>
      <c r="I6948" s="239"/>
    </row>
    <row r="6949" spans="6:9" x14ac:dyDescent="0.35">
      <c r="F6949" s="33"/>
      <c r="G6949" s="70"/>
      <c r="H6949" s="400"/>
      <c r="I6949" s="239"/>
    </row>
    <row r="6950" spans="6:9" x14ac:dyDescent="0.35">
      <c r="F6950" s="33"/>
      <c r="G6950" s="70"/>
      <c r="H6950" s="400"/>
      <c r="I6950" s="239"/>
    </row>
    <row r="6951" spans="6:9" x14ac:dyDescent="0.35">
      <c r="F6951" s="33"/>
      <c r="G6951" s="70"/>
      <c r="H6951" s="400"/>
      <c r="I6951" s="239"/>
    </row>
    <row r="6952" spans="6:9" x14ac:dyDescent="0.35">
      <c r="F6952" s="33"/>
      <c r="G6952" s="70"/>
      <c r="H6952" s="400"/>
      <c r="I6952" s="239"/>
    </row>
    <row r="6953" spans="6:9" x14ac:dyDescent="0.35">
      <c r="F6953" s="33"/>
      <c r="G6953" s="70"/>
      <c r="H6953" s="400"/>
      <c r="I6953" s="239"/>
    </row>
    <row r="6954" spans="6:9" x14ac:dyDescent="0.35">
      <c r="F6954" s="33"/>
      <c r="G6954" s="70"/>
      <c r="H6954" s="400"/>
      <c r="I6954" s="239"/>
    </row>
    <row r="6955" spans="6:9" x14ac:dyDescent="0.35">
      <c r="F6955" s="33"/>
      <c r="G6955" s="70"/>
      <c r="H6955" s="400"/>
      <c r="I6955" s="239"/>
    </row>
    <row r="6956" spans="6:9" x14ac:dyDescent="0.35">
      <c r="F6956" s="33"/>
      <c r="G6956" s="70"/>
      <c r="H6956" s="400"/>
      <c r="I6956" s="239"/>
    </row>
    <row r="6957" spans="6:9" x14ac:dyDescent="0.35">
      <c r="F6957" s="33"/>
      <c r="G6957" s="70"/>
      <c r="H6957" s="400"/>
      <c r="I6957" s="239"/>
    </row>
    <row r="6958" spans="6:9" x14ac:dyDescent="0.35">
      <c r="F6958" s="33"/>
      <c r="G6958" s="70"/>
      <c r="H6958" s="400"/>
      <c r="I6958" s="239"/>
    </row>
    <row r="6959" spans="6:9" x14ac:dyDescent="0.35">
      <c r="F6959" s="33"/>
      <c r="G6959" s="70"/>
      <c r="H6959" s="400"/>
      <c r="I6959" s="239"/>
    </row>
    <row r="6960" spans="6:9" x14ac:dyDescent="0.35">
      <c r="F6960" s="33"/>
      <c r="G6960" s="70"/>
      <c r="H6960" s="400"/>
      <c r="I6960" s="239"/>
    </row>
    <row r="6961" spans="6:9" x14ac:dyDescent="0.35">
      <c r="F6961" s="33"/>
      <c r="G6961" s="70"/>
      <c r="H6961" s="400"/>
      <c r="I6961" s="239"/>
    </row>
    <row r="6962" spans="6:9" x14ac:dyDescent="0.35">
      <c r="F6962" s="33"/>
      <c r="G6962" s="70"/>
      <c r="H6962" s="400"/>
      <c r="I6962" s="239"/>
    </row>
    <row r="6963" spans="6:9" x14ac:dyDescent="0.35">
      <c r="F6963" s="33"/>
      <c r="G6963" s="70"/>
      <c r="H6963" s="400"/>
      <c r="I6963" s="239"/>
    </row>
    <row r="6964" spans="6:9" x14ac:dyDescent="0.35">
      <c r="F6964" s="33"/>
      <c r="G6964" s="70"/>
      <c r="H6964" s="400"/>
      <c r="I6964" s="239"/>
    </row>
    <row r="6965" spans="6:9" x14ac:dyDescent="0.35">
      <c r="F6965" s="33"/>
      <c r="G6965" s="70"/>
      <c r="H6965" s="400"/>
      <c r="I6965" s="239"/>
    </row>
    <row r="6966" spans="6:9" x14ac:dyDescent="0.35">
      <c r="F6966" s="33"/>
      <c r="G6966" s="70"/>
      <c r="H6966" s="400"/>
      <c r="I6966" s="239"/>
    </row>
    <row r="6967" spans="6:9" x14ac:dyDescent="0.35">
      <c r="F6967" s="33"/>
      <c r="G6967" s="70"/>
      <c r="H6967" s="400"/>
      <c r="I6967" s="239"/>
    </row>
    <row r="6968" spans="6:9" x14ac:dyDescent="0.35">
      <c r="F6968" s="33"/>
      <c r="G6968" s="70"/>
      <c r="H6968" s="400"/>
      <c r="I6968" s="239"/>
    </row>
    <row r="6969" spans="6:9" x14ac:dyDescent="0.35">
      <c r="F6969" s="33"/>
      <c r="G6969" s="70"/>
      <c r="H6969" s="400"/>
      <c r="I6969" s="239"/>
    </row>
    <row r="6970" spans="6:9" x14ac:dyDescent="0.35">
      <c r="F6970" s="33"/>
      <c r="G6970" s="70"/>
      <c r="H6970" s="400"/>
      <c r="I6970" s="239"/>
    </row>
    <row r="6971" spans="6:9" x14ac:dyDescent="0.35">
      <c r="F6971" s="33"/>
      <c r="G6971" s="70"/>
      <c r="H6971" s="400"/>
      <c r="I6971" s="239"/>
    </row>
    <row r="6972" spans="6:9" x14ac:dyDescent="0.35">
      <c r="F6972" s="33"/>
      <c r="G6972" s="70"/>
      <c r="H6972" s="400"/>
      <c r="I6972" s="239"/>
    </row>
    <row r="6973" spans="6:9" x14ac:dyDescent="0.35">
      <c r="F6973" s="33"/>
      <c r="G6973" s="70"/>
      <c r="H6973" s="400"/>
      <c r="I6973" s="239"/>
    </row>
    <row r="6974" spans="6:9" x14ac:dyDescent="0.35">
      <c r="F6974" s="33"/>
      <c r="G6974" s="70"/>
      <c r="H6974" s="400"/>
      <c r="I6974" s="239"/>
    </row>
    <row r="6975" spans="6:9" x14ac:dyDescent="0.35">
      <c r="F6975" s="33"/>
      <c r="G6975" s="70"/>
      <c r="H6975" s="400"/>
      <c r="I6975" s="239"/>
    </row>
    <row r="6976" spans="6:9" x14ac:dyDescent="0.35">
      <c r="F6976" s="33"/>
      <c r="G6976" s="70"/>
      <c r="H6976" s="400"/>
      <c r="I6976" s="239"/>
    </row>
    <row r="6977" spans="6:9" x14ac:dyDescent="0.35">
      <c r="F6977" s="33"/>
      <c r="G6977" s="70"/>
      <c r="H6977" s="400"/>
      <c r="I6977" s="239"/>
    </row>
    <row r="6978" spans="6:9" x14ac:dyDescent="0.35">
      <c r="F6978" s="33"/>
      <c r="G6978" s="70"/>
      <c r="H6978" s="400"/>
      <c r="I6978" s="239"/>
    </row>
    <row r="6979" spans="6:9" x14ac:dyDescent="0.35">
      <c r="F6979" s="33"/>
      <c r="G6979" s="70"/>
      <c r="H6979" s="400"/>
      <c r="I6979" s="239"/>
    </row>
    <row r="6980" spans="6:9" x14ac:dyDescent="0.35">
      <c r="F6980" s="33"/>
      <c r="G6980" s="70"/>
      <c r="H6980" s="400"/>
      <c r="I6980" s="239"/>
    </row>
    <row r="6981" spans="6:9" x14ac:dyDescent="0.35">
      <c r="F6981" s="33"/>
      <c r="G6981" s="70"/>
      <c r="H6981" s="400"/>
      <c r="I6981" s="239"/>
    </row>
    <row r="6982" spans="6:9" x14ac:dyDescent="0.35">
      <c r="F6982" s="33"/>
      <c r="G6982" s="70"/>
      <c r="H6982" s="400"/>
      <c r="I6982" s="239"/>
    </row>
    <row r="6983" spans="6:9" x14ac:dyDescent="0.35">
      <c r="F6983" s="33"/>
      <c r="G6983" s="70"/>
      <c r="H6983" s="400"/>
      <c r="I6983" s="239"/>
    </row>
    <row r="6984" spans="6:9" x14ac:dyDescent="0.35">
      <c r="F6984" s="33"/>
      <c r="G6984" s="70"/>
      <c r="H6984" s="400"/>
      <c r="I6984" s="239"/>
    </row>
    <row r="6985" spans="6:9" x14ac:dyDescent="0.35">
      <c r="F6985" s="33"/>
      <c r="G6985" s="70"/>
      <c r="H6985" s="400"/>
      <c r="I6985" s="239"/>
    </row>
    <row r="6986" spans="6:9" x14ac:dyDescent="0.35">
      <c r="F6986" s="33"/>
      <c r="G6986" s="70"/>
      <c r="H6986" s="400"/>
      <c r="I6986" s="239"/>
    </row>
    <row r="6987" spans="6:9" x14ac:dyDescent="0.35">
      <c r="F6987" s="33"/>
      <c r="G6987" s="70"/>
      <c r="H6987" s="400"/>
      <c r="I6987" s="239"/>
    </row>
    <row r="6988" spans="6:9" x14ac:dyDescent="0.35">
      <c r="F6988" s="33"/>
      <c r="G6988" s="70"/>
      <c r="H6988" s="400"/>
      <c r="I6988" s="239"/>
    </row>
    <row r="6989" spans="6:9" x14ac:dyDescent="0.35">
      <c r="F6989" s="33"/>
      <c r="G6989" s="70"/>
      <c r="H6989" s="400"/>
      <c r="I6989" s="239"/>
    </row>
    <row r="6990" spans="6:9" x14ac:dyDescent="0.35">
      <c r="F6990" s="33"/>
      <c r="G6990" s="70"/>
      <c r="H6990" s="400"/>
      <c r="I6990" s="239"/>
    </row>
    <row r="6991" spans="6:9" x14ac:dyDescent="0.35">
      <c r="F6991" s="33"/>
      <c r="G6991" s="70"/>
      <c r="H6991" s="400"/>
      <c r="I6991" s="239"/>
    </row>
    <row r="6992" spans="6:9" x14ac:dyDescent="0.35">
      <c r="F6992" s="33"/>
      <c r="G6992" s="70"/>
      <c r="H6992" s="400"/>
      <c r="I6992" s="239"/>
    </row>
    <row r="6993" spans="6:9" x14ac:dyDescent="0.35">
      <c r="F6993" s="33"/>
      <c r="G6993" s="70"/>
      <c r="H6993" s="400"/>
      <c r="I6993" s="239"/>
    </row>
    <row r="6994" spans="6:9" x14ac:dyDescent="0.35">
      <c r="F6994" s="33"/>
      <c r="G6994" s="70"/>
      <c r="H6994" s="400"/>
      <c r="I6994" s="239"/>
    </row>
    <row r="6995" spans="6:9" x14ac:dyDescent="0.35">
      <c r="F6995" s="33"/>
      <c r="G6995" s="70"/>
      <c r="H6995" s="400"/>
      <c r="I6995" s="239"/>
    </row>
    <row r="6996" spans="6:9" x14ac:dyDescent="0.35">
      <c r="F6996" s="33"/>
      <c r="G6996" s="70"/>
      <c r="H6996" s="400"/>
      <c r="I6996" s="239"/>
    </row>
    <row r="6997" spans="6:9" x14ac:dyDescent="0.35">
      <c r="F6997" s="33"/>
      <c r="G6997" s="70"/>
      <c r="H6997" s="400"/>
      <c r="I6997" s="239"/>
    </row>
    <row r="6998" spans="6:9" x14ac:dyDescent="0.35">
      <c r="F6998" s="33"/>
      <c r="G6998" s="70"/>
      <c r="H6998" s="400"/>
      <c r="I6998" s="239"/>
    </row>
    <row r="6999" spans="6:9" x14ac:dyDescent="0.35">
      <c r="F6999" s="33"/>
      <c r="G6999" s="70"/>
      <c r="H6999" s="400"/>
      <c r="I6999" s="239"/>
    </row>
    <row r="7000" spans="6:9" x14ac:dyDescent="0.35">
      <c r="F7000" s="33"/>
      <c r="G7000" s="70"/>
      <c r="H7000" s="400"/>
      <c r="I7000" s="239"/>
    </row>
    <row r="7001" spans="6:9" x14ac:dyDescent="0.35">
      <c r="F7001" s="33"/>
      <c r="G7001" s="70"/>
      <c r="H7001" s="400"/>
      <c r="I7001" s="239"/>
    </row>
    <row r="7002" spans="6:9" x14ac:dyDescent="0.35">
      <c r="F7002" s="33"/>
      <c r="G7002" s="70"/>
      <c r="H7002" s="400"/>
      <c r="I7002" s="239"/>
    </row>
    <row r="7003" spans="6:9" x14ac:dyDescent="0.35">
      <c r="F7003" s="33"/>
      <c r="G7003" s="70"/>
      <c r="H7003" s="400"/>
      <c r="I7003" s="239"/>
    </row>
    <row r="7004" spans="6:9" x14ac:dyDescent="0.35">
      <c r="F7004" s="33"/>
      <c r="G7004" s="70"/>
      <c r="H7004" s="400"/>
      <c r="I7004" s="239"/>
    </row>
    <row r="7005" spans="6:9" x14ac:dyDescent="0.35">
      <c r="F7005" s="33"/>
      <c r="G7005" s="70"/>
      <c r="H7005" s="400"/>
      <c r="I7005" s="239"/>
    </row>
    <row r="7006" spans="6:9" x14ac:dyDescent="0.35">
      <c r="F7006" s="33"/>
      <c r="G7006" s="70"/>
      <c r="H7006" s="400"/>
      <c r="I7006" s="239"/>
    </row>
    <row r="7007" spans="6:9" x14ac:dyDescent="0.35">
      <c r="F7007" s="33"/>
      <c r="G7007" s="70"/>
      <c r="H7007" s="400"/>
      <c r="I7007" s="239"/>
    </row>
    <row r="7008" spans="6:9" x14ac:dyDescent="0.35">
      <c r="F7008" s="33"/>
      <c r="G7008" s="70"/>
      <c r="H7008" s="400"/>
      <c r="I7008" s="239"/>
    </row>
    <row r="7009" spans="6:9" x14ac:dyDescent="0.35">
      <c r="F7009" s="33"/>
      <c r="G7009" s="70"/>
      <c r="H7009" s="400"/>
      <c r="I7009" s="239"/>
    </row>
    <row r="7010" spans="6:9" x14ac:dyDescent="0.35">
      <c r="F7010" s="33"/>
      <c r="G7010" s="70"/>
      <c r="H7010" s="400"/>
      <c r="I7010" s="239"/>
    </row>
    <row r="7011" spans="6:9" x14ac:dyDescent="0.35">
      <c r="F7011" s="33"/>
      <c r="G7011" s="70"/>
      <c r="H7011" s="400"/>
      <c r="I7011" s="239"/>
    </row>
    <row r="7012" spans="6:9" x14ac:dyDescent="0.35">
      <c r="F7012" s="33"/>
      <c r="G7012" s="70"/>
      <c r="H7012" s="400"/>
      <c r="I7012" s="239"/>
    </row>
    <row r="7013" spans="6:9" x14ac:dyDescent="0.35">
      <c r="F7013" s="33"/>
      <c r="G7013" s="70"/>
      <c r="H7013" s="400"/>
      <c r="I7013" s="239"/>
    </row>
    <row r="7014" spans="6:9" x14ac:dyDescent="0.35">
      <c r="F7014" s="33"/>
      <c r="G7014" s="70"/>
      <c r="H7014" s="400"/>
      <c r="I7014" s="239"/>
    </row>
    <row r="7015" spans="6:9" x14ac:dyDescent="0.35">
      <c r="F7015" s="33"/>
      <c r="G7015" s="70"/>
      <c r="H7015" s="400"/>
      <c r="I7015" s="239"/>
    </row>
    <row r="7016" spans="6:9" x14ac:dyDescent="0.35">
      <c r="F7016" s="33"/>
      <c r="G7016" s="70"/>
      <c r="H7016" s="400"/>
      <c r="I7016" s="239"/>
    </row>
    <row r="7017" spans="6:9" x14ac:dyDescent="0.35">
      <c r="F7017" s="33"/>
      <c r="G7017" s="70"/>
      <c r="H7017" s="400"/>
      <c r="I7017" s="239"/>
    </row>
    <row r="7018" spans="6:9" x14ac:dyDescent="0.35">
      <c r="F7018" s="33"/>
      <c r="G7018" s="70"/>
      <c r="H7018" s="400"/>
      <c r="I7018" s="239"/>
    </row>
    <row r="7019" spans="6:9" x14ac:dyDescent="0.35">
      <c r="F7019" s="33"/>
      <c r="G7019" s="70"/>
      <c r="H7019" s="400"/>
      <c r="I7019" s="239"/>
    </row>
    <row r="7020" spans="6:9" x14ac:dyDescent="0.35">
      <c r="F7020" s="33"/>
      <c r="G7020" s="70"/>
      <c r="H7020" s="400"/>
      <c r="I7020" s="239"/>
    </row>
    <row r="7021" spans="6:9" x14ac:dyDescent="0.35">
      <c r="F7021" s="33"/>
      <c r="G7021" s="70"/>
      <c r="H7021" s="400"/>
      <c r="I7021" s="239"/>
    </row>
    <row r="7022" spans="6:9" x14ac:dyDescent="0.35">
      <c r="F7022" s="33"/>
      <c r="G7022" s="70"/>
      <c r="H7022" s="400"/>
      <c r="I7022" s="239"/>
    </row>
    <row r="7023" spans="6:9" x14ac:dyDescent="0.35">
      <c r="F7023" s="33"/>
      <c r="G7023" s="70"/>
      <c r="H7023" s="400"/>
      <c r="I7023" s="239"/>
    </row>
    <row r="7024" spans="6:9" x14ac:dyDescent="0.35">
      <c r="F7024" s="33"/>
      <c r="G7024" s="70"/>
      <c r="H7024" s="400"/>
      <c r="I7024" s="239"/>
    </row>
    <row r="7025" spans="6:9" x14ac:dyDescent="0.35">
      <c r="F7025" s="33"/>
      <c r="G7025" s="70"/>
      <c r="H7025" s="400"/>
      <c r="I7025" s="239"/>
    </row>
    <row r="7026" spans="6:9" x14ac:dyDescent="0.35">
      <c r="F7026" s="33"/>
      <c r="G7026" s="70"/>
      <c r="H7026" s="400"/>
      <c r="I7026" s="239"/>
    </row>
    <row r="7027" spans="6:9" x14ac:dyDescent="0.35">
      <c r="F7027" s="33"/>
      <c r="G7027" s="70"/>
      <c r="H7027" s="400"/>
      <c r="I7027" s="239"/>
    </row>
    <row r="7028" spans="6:9" x14ac:dyDescent="0.35">
      <c r="F7028" s="33"/>
      <c r="G7028" s="70"/>
      <c r="H7028" s="400"/>
      <c r="I7028" s="239"/>
    </row>
    <row r="7029" spans="6:9" x14ac:dyDescent="0.35">
      <c r="F7029" s="33"/>
      <c r="G7029" s="70"/>
      <c r="H7029" s="400"/>
      <c r="I7029" s="239"/>
    </row>
    <row r="7030" spans="6:9" x14ac:dyDescent="0.35">
      <c r="F7030" s="33"/>
      <c r="G7030" s="70"/>
      <c r="H7030" s="400"/>
      <c r="I7030" s="239"/>
    </row>
    <row r="7031" spans="6:9" x14ac:dyDescent="0.35">
      <c r="F7031" s="33"/>
      <c r="G7031" s="70"/>
      <c r="H7031" s="400"/>
      <c r="I7031" s="239"/>
    </row>
    <row r="7032" spans="6:9" x14ac:dyDescent="0.35">
      <c r="F7032" s="33"/>
      <c r="G7032" s="70"/>
      <c r="H7032" s="400"/>
      <c r="I7032" s="239"/>
    </row>
    <row r="7033" spans="6:9" x14ac:dyDescent="0.35">
      <c r="F7033" s="33"/>
      <c r="G7033" s="70"/>
      <c r="H7033" s="400"/>
      <c r="I7033" s="239"/>
    </row>
    <row r="7034" spans="6:9" x14ac:dyDescent="0.35">
      <c r="F7034" s="33"/>
      <c r="G7034" s="70"/>
      <c r="H7034" s="400"/>
      <c r="I7034" s="239"/>
    </row>
    <row r="7035" spans="6:9" x14ac:dyDescent="0.35">
      <c r="F7035" s="33"/>
      <c r="G7035" s="70"/>
      <c r="H7035" s="400"/>
      <c r="I7035" s="239"/>
    </row>
    <row r="7036" spans="6:9" x14ac:dyDescent="0.35">
      <c r="F7036" s="33"/>
      <c r="G7036" s="70"/>
      <c r="H7036" s="400"/>
      <c r="I7036" s="239"/>
    </row>
    <row r="7037" spans="6:9" x14ac:dyDescent="0.35">
      <c r="F7037" s="33"/>
      <c r="G7037" s="70"/>
      <c r="H7037" s="400"/>
      <c r="I7037" s="239"/>
    </row>
    <row r="7038" spans="6:9" x14ac:dyDescent="0.35">
      <c r="F7038" s="33"/>
      <c r="G7038" s="70"/>
      <c r="H7038" s="400"/>
      <c r="I7038" s="239"/>
    </row>
    <row r="7039" spans="6:9" x14ac:dyDescent="0.35">
      <c r="F7039" s="33"/>
      <c r="G7039" s="70"/>
      <c r="H7039" s="400"/>
      <c r="I7039" s="239"/>
    </row>
    <row r="7040" spans="6:9" x14ac:dyDescent="0.35">
      <c r="F7040" s="33"/>
      <c r="G7040" s="70"/>
      <c r="H7040" s="400"/>
      <c r="I7040" s="239"/>
    </row>
    <row r="7041" spans="6:9" x14ac:dyDescent="0.35">
      <c r="F7041" s="33"/>
      <c r="G7041" s="70"/>
      <c r="H7041" s="400"/>
      <c r="I7041" s="239"/>
    </row>
    <row r="7042" spans="6:9" x14ac:dyDescent="0.35">
      <c r="F7042" s="33"/>
      <c r="G7042" s="70"/>
      <c r="H7042" s="400"/>
      <c r="I7042" s="239"/>
    </row>
    <row r="7043" spans="6:9" x14ac:dyDescent="0.35">
      <c r="F7043" s="33"/>
      <c r="G7043" s="70"/>
      <c r="H7043" s="400"/>
      <c r="I7043" s="239"/>
    </row>
    <row r="7044" spans="6:9" x14ac:dyDescent="0.35">
      <c r="F7044" s="33"/>
      <c r="G7044" s="70"/>
      <c r="H7044" s="400"/>
      <c r="I7044" s="239"/>
    </row>
    <row r="7045" spans="6:9" x14ac:dyDescent="0.35">
      <c r="F7045" s="33"/>
      <c r="G7045" s="70"/>
      <c r="H7045" s="400"/>
      <c r="I7045" s="239"/>
    </row>
    <row r="7046" spans="6:9" x14ac:dyDescent="0.35">
      <c r="F7046" s="33"/>
      <c r="G7046" s="70"/>
      <c r="H7046" s="400"/>
      <c r="I7046" s="239"/>
    </row>
    <row r="7047" spans="6:9" x14ac:dyDescent="0.35">
      <c r="F7047" s="33"/>
      <c r="G7047" s="70"/>
      <c r="H7047" s="400"/>
      <c r="I7047" s="239"/>
    </row>
    <row r="7048" spans="6:9" x14ac:dyDescent="0.35">
      <c r="F7048" s="33"/>
      <c r="G7048" s="70"/>
      <c r="H7048" s="400"/>
      <c r="I7048" s="239"/>
    </row>
    <row r="7049" spans="6:9" x14ac:dyDescent="0.35">
      <c r="F7049" s="33"/>
      <c r="G7049" s="70"/>
      <c r="H7049" s="400"/>
      <c r="I7049" s="239"/>
    </row>
    <row r="7050" spans="6:9" x14ac:dyDescent="0.35">
      <c r="F7050" s="33"/>
      <c r="G7050" s="70"/>
      <c r="H7050" s="400"/>
      <c r="I7050" s="239"/>
    </row>
    <row r="7051" spans="6:9" x14ac:dyDescent="0.35">
      <c r="F7051" s="33"/>
      <c r="G7051" s="70"/>
      <c r="H7051" s="400"/>
      <c r="I7051" s="239"/>
    </row>
    <row r="7052" spans="6:9" x14ac:dyDescent="0.35">
      <c r="F7052" s="33"/>
      <c r="G7052" s="70"/>
      <c r="H7052" s="400"/>
      <c r="I7052" s="239"/>
    </row>
    <row r="7053" spans="6:9" x14ac:dyDescent="0.35">
      <c r="F7053" s="33"/>
      <c r="G7053" s="70"/>
      <c r="H7053" s="400"/>
      <c r="I7053" s="239"/>
    </row>
    <row r="7054" spans="6:9" x14ac:dyDescent="0.35">
      <c r="F7054" s="33"/>
      <c r="G7054" s="70"/>
      <c r="H7054" s="400"/>
      <c r="I7054" s="239"/>
    </row>
    <row r="7055" spans="6:9" x14ac:dyDescent="0.35">
      <c r="F7055" s="33"/>
      <c r="G7055" s="70"/>
      <c r="H7055" s="400"/>
      <c r="I7055" s="239"/>
    </row>
    <row r="7056" spans="6:9" x14ac:dyDescent="0.35">
      <c r="F7056" s="33"/>
      <c r="G7056" s="70"/>
      <c r="H7056" s="400"/>
      <c r="I7056" s="239"/>
    </row>
    <row r="7057" spans="6:9" x14ac:dyDescent="0.35">
      <c r="F7057" s="33"/>
      <c r="G7057" s="70"/>
      <c r="H7057" s="400"/>
      <c r="I7057" s="239"/>
    </row>
    <row r="7058" spans="6:9" x14ac:dyDescent="0.35">
      <c r="F7058" s="33"/>
      <c r="G7058" s="70"/>
      <c r="H7058" s="400"/>
      <c r="I7058" s="239"/>
    </row>
    <row r="7059" spans="6:9" x14ac:dyDescent="0.35">
      <c r="F7059" s="33"/>
      <c r="G7059" s="70"/>
      <c r="H7059" s="400"/>
      <c r="I7059" s="239"/>
    </row>
    <row r="7060" spans="6:9" x14ac:dyDescent="0.35">
      <c r="F7060" s="33"/>
      <c r="G7060" s="70"/>
      <c r="H7060" s="400"/>
      <c r="I7060" s="239"/>
    </row>
    <row r="7061" spans="6:9" x14ac:dyDescent="0.35">
      <c r="F7061" s="33"/>
      <c r="G7061" s="70"/>
      <c r="H7061" s="400"/>
      <c r="I7061" s="239"/>
    </row>
    <row r="7062" spans="6:9" x14ac:dyDescent="0.35">
      <c r="F7062" s="33"/>
      <c r="G7062" s="70"/>
      <c r="H7062" s="400"/>
      <c r="I7062" s="239"/>
    </row>
    <row r="7063" spans="6:9" x14ac:dyDescent="0.35">
      <c r="F7063" s="33"/>
      <c r="G7063" s="70"/>
      <c r="H7063" s="400"/>
      <c r="I7063" s="239"/>
    </row>
    <row r="7064" spans="6:9" x14ac:dyDescent="0.35">
      <c r="F7064" s="33"/>
      <c r="G7064" s="70"/>
      <c r="H7064" s="400"/>
      <c r="I7064" s="239"/>
    </row>
    <row r="7065" spans="6:9" x14ac:dyDescent="0.35">
      <c r="F7065" s="33"/>
      <c r="G7065" s="70"/>
      <c r="H7065" s="400"/>
      <c r="I7065" s="239"/>
    </row>
    <row r="7066" spans="6:9" x14ac:dyDescent="0.35">
      <c r="F7066" s="33"/>
      <c r="G7066" s="70"/>
      <c r="H7066" s="400"/>
      <c r="I7066" s="239"/>
    </row>
    <row r="7067" spans="6:9" x14ac:dyDescent="0.35">
      <c r="F7067" s="33"/>
      <c r="G7067" s="70"/>
      <c r="H7067" s="400"/>
      <c r="I7067" s="239"/>
    </row>
    <row r="7068" spans="6:9" x14ac:dyDescent="0.35">
      <c r="F7068" s="33"/>
      <c r="G7068" s="70"/>
      <c r="H7068" s="400"/>
      <c r="I7068" s="239"/>
    </row>
    <row r="7069" spans="6:9" x14ac:dyDescent="0.35">
      <c r="F7069" s="33"/>
      <c r="G7069" s="70"/>
      <c r="H7069" s="400"/>
      <c r="I7069" s="239"/>
    </row>
    <row r="7070" spans="6:9" x14ac:dyDescent="0.35">
      <c r="F7070" s="33"/>
      <c r="G7070" s="70"/>
      <c r="H7070" s="400"/>
      <c r="I7070" s="239"/>
    </row>
    <row r="7071" spans="6:9" x14ac:dyDescent="0.35">
      <c r="F7071" s="33"/>
      <c r="G7071" s="70"/>
      <c r="H7071" s="400"/>
      <c r="I7071" s="239"/>
    </row>
    <row r="7072" spans="6:9" x14ac:dyDescent="0.35">
      <c r="F7072" s="33"/>
      <c r="G7072" s="70"/>
      <c r="H7072" s="400"/>
      <c r="I7072" s="239"/>
    </row>
    <row r="7073" spans="6:9" x14ac:dyDescent="0.35">
      <c r="F7073" s="33"/>
      <c r="G7073" s="70"/>
      <c r="H7073" s="400"/>
      <c r="I7073" s="239"/>
    </row>
    <row r="7074" spans="6:9" x14ac:dyDescent="0.35">
      <c r="F7074" s="33"/>
      <c r="G7074" s="70"/>
      <c r="H7074" s="400"/>
      <c r="I7074" s="239"/>
    </row>
    <row r="7075" spans="6:9" x14ac:dyDescent="0.35">
      <c r="F7075" s="33"/>
      <c r="G7075" s="70"/>
      <c r="H7075" s="400"/>
      <c r="I7075" s="239"/>
    </row>
    <row r="7076" spans="6:9" x14ac:dyDescent="0.35">
      <c r="F7076" s="33"/>
      <c r="G7076" s="70"/>
      <c r="H7076" s="400"/>
      <c r="I7076" s="239"/>
    </row>
    <row r="7077" spans="6:9" x14ac:dyDescent="0.35">
      <c r="F7077" s="33"/>
      <c r="G7077" s="70"/>
      <c r="H7077" s="400"/>
      <c r="I7077" s="239"/>
    </row>
    <row r="7078" spans="6:9" x14ac:dyDescent="0.35">
      <c r="F7078" s="33"/>
      <c r="G7078" s="70"/>
      <c r="H7078" s="400"/>
      <c r="I7078" s="239"/>
    </row>
    <row r="7079" spans="6:9" x14ac:dyDescent="0.35">
      <c r="F7079" s="33"/>
      <c r="G7079" s="70"/>
      <c r="H7079" s="400"/>
      <c r="I7079" s="239"/>
    </row>
    <row r="7080" spans="6:9" x14ac:dyDescent="0.35">
      <c r="F7080" s="33"/>
      <c r="G7080" s="70"/>
      <c r="H7080" s="400"/>
      <c r="I7080" s="239"/>
    </row>
    <row r="7081" spans="6:9" x14ac:dyDescent="0.35">
      <c r="F7081" s="33"/>
      <c r="G7081" s="70"/>
      <c r="H7081" s="400"/>
      <c r="I7081" s="239"/>
    </row>
    <row r="7082" spans="6:9" x14ac:dyDescent="0.35">
      <c r="F7082" s="33"/>
      <c r="G7082" s="70"/>
      <c r="H7082" s="400"/>
      <c r="I7082" s="239"/>
    </row>
    <row r="7083" spans="6:9" x14ac:dyDescent="0.35">
      <c r="F7083" s="33"/>
      <c r="G7083" s="70"/>
      <c r="H7083" s="400"/>
      <c r="I7083" s="239"/>
    </row>
    <row r="7084" spans="6:9" x14ac:dyDescent="0.35">
      <c r="F7084" s="33"/>
      <c r="G7084" s="70"/>
      <c r="H7084" s="400"/>
      <c r="I7084" s="239"/>
    </row>
    <row r="7085" spans="6:9" x14ac:dyDescent="0.35">
      <c r="F7085" s="33"/>
      <c r="G7085" s="70"/>
      <c r="H7085" s="400"/>
      <c r="I7085" s="239"/>
    </row>
    <row r="7086" spans="6:9" x14ac:dyDescent="0.35">
      <c r="F7086" s="33"/>
      <c r="G7086" s="70"/>
      <c r="H7086" s="400"/>
      <c r="I7086" s="239"/>
    </row>
    <row r="7087" spans="6:9" x14ac:dyDescent="0.35">
      <c r="F7087" s="33"/>
      <c r="G7087" s="70"/>
      <c r="H7087" s="400"/>
      <c r="I7087" s="239"/>
    </row>
    <row r="7088" spans="6:9" x14ac:dyDescent="0.35">
      <c r="F7088" s="33"/>
      <c r="G7088" s="70"/>
      <c r="H7088" s="400"/>
      <c r="I7088" s="239"/>
    </row>
    <row r="7089" spans="6:9" x14ac:dyDescent="0.35">
      <c r="F7089" s="33"/>
      <c r="G7089" s="70"/>
      <c r="H7089" s="400"/>
      <c r="I7089" s="239"/>
    </row>
    <row r="7090" spans="6:9" x14ac:dyDescent="0.35">
      <c r="F7090" s="33"/>
      <c r="G7090" s="70"/>
      <c r="H7090" s="400"/>
      <c r="I7090" s="239"/>
    </row>
    <row r="7091" spans="6:9" x14ac:dyDescent="0.35">
      <c r="F7091" s="33"/>
      <c r="G7091" s="70"/>
      <c r="H7091" s="400"/>
      <c r="I7091" s="239"/>
    </row>
    <row r="7092" spans="6:9" x14ac:dyDescent="0.35">
      <c r="F7092" s="33"/>
      <c r="G7092" s="70"/>
      <c r="H7092" s="400"/>
      <c r="I7092" s="239"/>
    </row>
    <row r="7093" spans="6:9" x14ac:dyDescent="0.35">
      <c r="F7093" s="33"/>
      <c r="G7093" s="70"/>
      <c r="H7093" s="400"/>
      <c r="I7093" s="239"/>
    </row>
    <row r="7094" spans="6:9" x14ac:dyDescent="0.35">
      <c r="F7094" s="33"/>
      <c r="G7094" s="70"/>
      <c r="H7094" s="400"/>
      <c r="I7094" s="239"/>
    </row>
    <row r="7095" spans="6:9" x14ac:dyDescent="0.35">
      <c r="F7095" s="33"/>
      <c r="G7095" s="70"/>
      <c r="H7095" s="400"/>
      <c r="I7095" s="239"/>
    </row>
    <row r="7096" spans="6:9" x14ac:dyDescent="0.35">
      <c r="F7096" s="33"/>
      <c r="G7096" s="70"/>
      <c r="H7096" s="400"/>
      <c r="I7096" s="239"/>
    </row>
    <row r="7097" spans="6:9" x14ac:dyDescent="0.35">
      <c r="F7097" s="33"/>
      <c r="G7097" s="70"/>
      <c r="H7097" s="400"/>
      <c r="I7097" s="239"/>
    </row>
    <row r="7098" spans="6:9" x14ac:dyDescent="0.35">
      <c r="F7098" s="33"/>
      <c r="G7098" s="70"/>
      <c r="H7098" s="400"/>
      <c r="I7098" s="239"/>
    </row>
    <row r="7099" spans="6:9" x14ac:dyDescent="0.35">
      <c r="F7099" s="33"/>
      <c r="G7099" s="70"/>
      <c r="H7099" s="400"/>
      <c r="I7099" s="239"/>
    </row>
    <row r="7100" spans="6:9" x14ac:dyDescent="0.35">
      <c r="F7100" s="33"/>
      <c r="G7100" s="70"/>
      <c r="H7100" s="400"/>
      <c r="I7100" s="239"/>
    </row>
    <row r="7101" spans="6:9" x14ac:dyDescent="0.35">
      <c r="F7101" s="33"/>
      <c r="G7101" s="70"/>
      <c r="H7101" s="400"/>
      <c r="I7101" s="239"/>
    </row>
    <row r="7102" spans="6:9" x14ac:dyDescent="0.35">
      <c r="F7102" s="33"/>
      <c r="G7102" s="70"/>
      <c r="H7102" s="400"/>
      <c r="I7102" s="239"/>
    </row>
    <row r="7103" spans="6:9" x14ac:dyDescent="0.35">
      <c r="F7103" s="33"/>
      <c r="G7103" s="70"/>
      <c r="H7103" s="400"/>
      <c r="I7103" s="239"/>
    </row>
    <row r="7104" spans="6:9" x14ac:dyDescent="0.35">
      <c r="F7104" s="33"/>
      <c r="G7104" s="70"/>
      <c r="H7104" s="400"/>
      <c r="I7104" s="239"/>
    </row>
    <row r="7105" spans="6:9" x14ac:dyDescent="0.35">
      <c r="F7105" s="33"/>
      <c r="G7105" s="70"/>
      <c r="H7105" s="400"/>
      <c r="I7105" s="239"/>
    </row>
    <row r="7106" spans="6:9" x14ac:dyDescent="0.35">
      <c r="F7106" s="33"/>
      <c r="G7106" s="70"/>
      <c r="H7106" s="400"/>
      <c r="I7106" s="239"/>
    </row>
    <row r="7107" spans="6:9" x14ac:dyDescent="0.35">
      <c r="F7107" s="33"/>
      <c r="G7107" s="70"/>
      <c r="H7107" s="400"/>
      <c r="I7107" s="239"/>
    </row>
    <row r="7108" spans="6:9" x14ac:dyDescent="0.35">
      <c r="F7108" s="33"/>
      <c r="G7108" s="70"/>
      <c r="H7108" s="400"/>
      <c r="I7108" s="239"/>
    </row>
    <row r="7109" spans="6:9" x14ac:dyDescent="0.35">
      <c r="F7109" s="33"/>
      <c r="G7109" s="70"/>
      <c r="H7109" s="400"/>
      <c r="I7109" s="239"/>
    </row>
    <row r="7110" spans="6:9" x14ac:dyDescent="0.35">
      <c r="F7110" s="33"/>
      <c r="G7110" s="70"/>
      <c r="H7110" s="400"/>
      <c r="I7110" s="239"/>
    </row>
    <row r="7111" spans="6:9" x14ac:dyDescent="0.35">
      <c r="F7111" s="33"/>
      <c r="G7111" s="70"/>
      <c r="H7111" s="400"/>
      <c r="I7111" s="239"/>
    </row>
    <row r="7112" spans="6:9" x14ac:dyDescent="0.35">
      <c r="F7112" s="33"/>
      <c r="G7112" s="70"/>
      <c r="H7112" s="400"/>
      <c r="I7112" s="239"/>
    </row>
    <row r="7113" spans="6:9" x14ac:dyDescent="0.35">
      <c r="F7113" s="33"/>
      <c r="G7113" s="70"/>
      <c r="H7113" s="400"/>
      <c r="I7113" s="239"/>
    </row>
    <row r="7114" spans="6:9" x14ac:dyDescent="0.35">
      <c r="F7114" s="33"/>
      <c r="G7114" s="70"/>
      <c r="H7114" s="400"/>
      <c r="I7114" s="239"/>
    </row>
    <row r="7115" spans="6:9" x14ac:dyDescent="0.35">
      <c r="F7115" s="33"/>
      <c r="G7115" s="70"/>
      <c r="H7115" s="400"/>
      <c r="I7115" s="239"/>
    </row>
    <row r="7116" spans="6:9" x14ac:dyDescent="0.35">
      <c r="F7116" s="33"/>
      <c r="G7116" s="70"/>
      <c r="H7116" s="400"/>
      <c r="I7116" s="239"/>
    </row>
    <row r="7117" spans="6:9" x14ac:dyDescent="0.35">
      <c r="F7117" s="33"/>
      <c r="G7117" s="70"/>
      <c r="H7117" s="400"/>
      <c r="I7117" s="239"/>
    </row>
    <row r="7118" spans="6:9" x14ac:dyDescent="0.35">
      <c r="F7118" s="33"/>
      <c r="G7118" s="70"/>
      <c r="H7118" s="400"/>
      <c r="I7118" s="239"/>
    </row>
    <row r="7119" spans="6:9" x14ac:dyDescent="0.35">
      <c r="F7119" s="33"/>
      <c r="G7119" s="70"/>
      <c r="H7119" s="400"/>
      <c r="I7119" s="239"/>
    </row>
    <row r="7120" spans="6:9" x14ac:dyDescent="0.35">
      <c r="F7120" s="33"/>
      <c r="G7120" s="70"/>
      <c r="H7120" s="400"/>
      <c r="I7120" s="239"/>
    </row>
    <row r="7121" spans="6:9" x14ac:dyDescent="0.35">
      <c r="F7121" s="33"/>
      <c r="G7121" s="70"/>
      <c r="H7121" s="400"/>
      <c r="I7121" s="239"/>
    </row>
    <row r="7122" spans="6:9" x14ac:dyDescent="0.35">
      <c r="F7122" s="33"/>
      <c r="G7122" s="70"/>
      <c r="H7122" s="400"/>
      <c r="I7122" s="239"/>
    </row>
    <row r="7123" spans="6:9" x14ac:dyDescent="0.35">
      <c r="F7123" s="33"/>
      <c r="G7123" s="70"/>
      <c r="H7123" s="400"/>
      <c r="I7123" s="239"/>
    </row>
    <row r="7124" spans="6:9" x14ac:dyDescent="0.35">
      <c r="F7124" s="33"/>
      <c r="G7124" s="70"/>
      <c r="H7124" s="400"/>
      <c r="I7124" s="239"/>
    </row>
    <row r="7125" spans="6:9" x14ac:dyDescent="0.35">
      <c r="F7125" s="33"/>
      <c r="G7125" s="70"/>
      <c r="H7125" s="400"/>
      <c r="I7125" s="239"/>
    </row>
    <row r="7126" spans="6:9" x14ac:dyDescent="0.35">
      <c r="F7126" s="33"/>
      <c r="G7126" s="70"/>
      <c r="H7126" s="400"/>
      <c r="I7126" s="239"/>
    </row>
    <row r="7127" spans="6:9" x14ac:dyDescent="0.35">
      <c r="F7127" s="33"/>
      <c r="G7127" s="70"/>
      <c r="H7127" s="400"/>
      <c r="I7127" s="239"/>
    </row>
    <row r="7128" spans="6:9" x14ac:dyDescent="0.35">
      <c r="F7128" s="33"/>
      <c r="G7128" s="70"/>
      <c r="H7128" s="400"/>
      <c r="I7128" s="239"/>
    </row>
    <row r="7129" spans="6:9" x14ac:dyDescent="0.35">
      <c r="F7129" s="33"/>
      <c r="G7129" s="70"/>
      <c r="H7129" s="400"/>
      <c r="I7129" s="239"/>
    </row>
    <row r="7130" spans="6:9" x14ac:dyDescent="0.35">
      <c r="F7130" s="33"/>
      <c r="G7130" s="70"/>
      <c r="H7130" s="400"/>
      <c r="I7130" s="239"/>
    </row>
    <row r="7131" spans="6:9" x14ac:dyDescent="0.35">
      <c r="F7131" s="33"/>
      <c r="G7131" s="70"/>
      <c r="H7131" s="400"/>
      <c r="I7131" s="239"/>
    </row>
    <row r="7132" spans="6:9" x14ac:dyDescent="0.35">
      <c r="F7132" s="33"/>
      <c r="G7132" s="70"/>
      <c r="H7132" s="400"/>
      <c r="I7132" s="239"/>
    </row>
    <row r="7133" spans="6:9" x14ac:dyDescent="0.35">
      <c r="F7133" s="33"/>
      <c r="G7133" s="70"/>
      <c r="H7133" s="400"/>
      <c r="I7133" s="239"/>
    </row>
    <row r="7134" spans="6:9" x14ac:dyDescent="0.35">
      <c r="F7134" s="33"/>
      <c r="G7134" s="70"/>
      <c r="H7134" s="400"/>
      <c r="I7134" s="239"/>
    </row>
    <row r="7135" spans="6:9" x14ac:dyDescent="0.35">
      <c r="F7135" s="33"/>
      <c r="G7135" s="70"/>
      <c r="H7135" s="400"/>
      <c r="I7135" s="239"/>
    </row>
    <row r="7136" spans="6:9" x14ac:dyDescent="0.35">
      <c r="F7136" s="33"/>
      <c r="G7136" s="70"/>
      <c r="H7136" s="400"/>
      <c r="I7136" s="239"/>
    </row>
    <row r="7137" spans="6:9" x14ac:dyDescent="0.35">
      <c r="F7137" s="33"/>
      <c r="G7137" s="70"/>
      <c r="H7137" s="400"/>
      <c r="I7137" s="239"/>
    </row>
    <row r="7138" spans="6:9" x14ac:dyDescent="0.35">
      <c r="F7138" s="33"/>
      <c r="G7138" s="70"/>
      <c r="H7138" s="400"/>
      <c r="I7138" s="239"/>
    </row>
    <row r="7139" spans="6:9" x14ac:dyDescent="0.35">
      <c r="F7139" s="33"/>
      <c r="G7139" s="70"/>
      <c r="H7139" s="400"/>
      <c r="I7139" s="239"/>
    </row>
    <row r="7140" spans="6:9" x14ac:dyDescent="0.35">
      <c r="F7140" s="33"/>
      <c r="G7140" s="70"/>
      <c r="H7140" s="400"/>
      <c r="I7140" s="239"/>
    </row>
    <row r="7141" spans="6:9" x14ac:dyDescent="0.35">
      <c r="F7141" s="33"/>
      <c r="G7141" s="70"/>
      <c r="H7141" s="400"/>
      <c r="I7141" s="239"/>
    </row>
    <row r="7142" spans="6:9" x14ac:dyDescent="0.35">
      <c r="F7142" s="33"/>
      <c r="G7142" s="70"/>
      <c r="H7142" s="400"/>
      <c r="I7142" s="239"/>
    </row>
    <row r="7143" spans="6:9" x14ac:dyDescent="0.35">
      <c r="F7143" s="33"/>
      <c r="G7143" s="70"/>
      <c r="H7143" s="400"/>
      <c r="I7143" s="239"/>
    </row>
    <row r="7144" spans="6:9" x14ac:dyDescent="0.35">
      <c r="F7144" s="33"/>
      <c r="G7144" s="70"/>
      <c r="H7144" s="400"/>
      <c r="I7144" s="239"/>
    </row>
    <row r="7145" spans="6:9" x14ac:dyDescent="0.35">
      <c r="F7145" s="33"/>
      <c r="G7145" s="70"/>
      <c r="H7145" s="400"/>
      <c r="I7145" s="239"/>
    </row>
    <row r="7146" spans="6:9" x14ac:dyDescent="0.35">
      <c r="F7146" s="33"/>
      <c r="G7146" s="70"/>
      <c r="H7146" s="400"/>
      <c r="I7146" s="239"/>
    </row>
    <row r="7147" spans="6:9" x14ac:dyDescent="0.35">
      <c r="F7147" s="33"/>
      <c r="G7147" s="70"/>
      <c r="H7147" s="400"/>
      <c r="I7147" s="239"/>
    </row>
    <row r="7148" spans="6:9" x14ac:dyDescent="0.35">
      <c r="F7148" s="33"/>
      <c r="G7148" s="70"/>
      <c r="H7148" s="400"/>
      <c r="I7148" s="239"/>
    </row>
    <row r="7149" spans="6:9" x14ac:dyDescent="0.35">
      <c r="F7149" s="33"/>
      <c r="G7149" s="70"/>
      <c r="H7149" s="400"/>
      <c r="I7149" s="239"/>
    </row>
    <row r="7150" spans="6:9" x14ac:dyDescent="0.35">
      <c r="F7150" s="33"/>
      <c r="G7150" s="70"/>
      <c r="H7150" s="400"/>
      <c r="I7150" s="239"/>
    </row>
    <row r="7151" spans="6:9" x14ac:dyDescent="0.35">
      <c r="F7151" s="33"/>
      <c r="G7151" s="70"/>
      <c r="H7151" s="400"/>
      <c r="I7151" s="239"/>
    </row>
    <row r="7152" spans="6:9" x14ac:dyDescent="0.35">
      <c r="F7152" s="33"/>
      <c r="G7152" s="70"/>
      <c r="H7152" s="400"/>
      <c r="I7152" s="239"/>
    </row>
    <row r="7153" spans="6:9" x14ac:dyDescent="0.35">
      <c r="F7153" s="33"/>
      <c r="G7153" s="70"/>
      <c r="H7153" s="400"/>
      <c r="I7153" s="239"/>
    </row>
    <row r="7154" spans="6:9" x14ac:dyDescent="0.35">
      <c r="F7154" s="33"/>
      <c r="G7154" s="70"/>
      <c r="H7154" s="400"/>
      <c r="I7154" s="239"/>
    </row>
    <row r="7155" spans="6:9" x14ac:dyDescent="0.35">
      <c r="F7155" s="33"/>
      <c r="G7155" s="70"/>
      <c r="H7155" s="400"/>
      <c r="I7155" s="239"/>
    </row>
    <row r="7156" spans="6:9" x14ac:dyDescent="0.35">
      <c r="F7156" s="33"/>
      <c r="G7156" s="70"/>
      <c r="H7156" s="400"/>
      <c r="I7156" s="239"/>
    </row>
    <row r="7157" spans="6:9" x14ac:dyDescent="0.35">
      <c r="F7157" s="33"/>
      <c r="G7157" s="70"/>
      <c r="H7157" s="400"/>
      <c r="I7157" s="239"/>
    </row>
    <row r="7158" spans="6:9" x14ac:dyDescent="0.35">
      <c r="F7158" s="33"/>
      <c r="G7158" s="70"/>
      <c r="H7158" s="400"/>
      <c r="I7158" s="239"/>
    </row>
    <row r="7159" spans="6:9" x14ac:dyDescent="0.35">
      <c r="F7159" s="33"/>
      <c r="G7159" s="70"/>
      <c r="H7159" s="400"/>
      <c r="I7159" s="239"/>
    </row>
    <row r="7160" spans="6:9" x14ac:dyDescent="0.35">
      <c r="F7160" s="33"/>
      <c r="G7160" s="70"/>
      <c r="H7160" s="400"/>
      <c r="I7160" s="239"/>
    </row>
    <row r="7161" spans="6:9" x14ac:dyDescent="0.35">
      <c r="F7161" s="33"/>
      <c r="G7161" s="70"/>
      <c r="H7161" s="400"/>
      <c r="I7161" s="239"/>
    </row>
    <row r="7162" spans="6:9" x14ac:dyDescent="0.35">
      <c r="F7162" s="33"/>
      <c r="G7162" s="70"/>
      <c r="H7162" s="400"/>
      <c r="I7162" s="239"/>
    </row>
    <row r="7163" spans="6:9" x14ac:dyDescent="0.35">
      <c r="F7163" s="33"/>
      <c r="G7163" s="70"/>
      <c r="H7163" s="400"/>
      <c r="I7163" s="239"/>
    </row>
    <row r="7164" spans="6:9" x14ac:dyDescent="0.35">
      <c r="F7164" s="33"/>
      <c r="G7164" s="70"/>
      <c r="H7164" s="400"/>
      <c r="I7164" s="239"/>
    </row>
    <row r="7165" spans="6:9" x14ac:dyDescent="0.35">
      <c r="F7165" s="33"/>
      <c r="G7165" s="70"/>
      <c r="H7165" s="400"/>
      <c r="I7165" s="239"/>
    </row>
    <row r="7166" spans="6:9" x14ac:dyDescent="0.35">
      <c r="F7166" s="33"/>
      <c r="G7166" s="70"/>
      <c r="H7166" s="400"/>
      <c r="I7166" s="239"/>
    </row>
    <row r="7167" spans="6:9" x14ac:dyDescent="0.35">
      <c r="F7167" s="33"/>
      <c r="G7167" s="70"/>
      <c r="H7167" s="400"/>
      <c r="I7167" s="239"/>
    </row>
    <row r="7168" spans="6:9" x14ac:dyDescent="0.35">
      <c r="F7168" s="33"/>
      <c r="G7168" s="70"/>
      <c r="H7168" s="400"/>
      <c r="I7168" s="239"/>
    </row>
    <row r="7169" spans="6:9" x14ac:dyDescent="0.35">
      <c r="F7169" s="33"/>
      <c r="G7169" s="70"/>
      <c r="H7169" s="400"/>
      <c r="I7169" s="239"/>
    </row>
    <row r="7170" spans="6:9" x14ac:dyDescent="0.35">
      <c r="F7170" s="33"/>
      <c r="G7170" s="70"/>
      <c r="H7170" s="400"/>
      <c r="I7170" s="239"/>
    </row>
    <row r="7171" spans="6:9" x14ac:dyDescent="0.35">
      <c r="F7171" s="33"/>
      <c r="G7171" s="70"/>
      <c r="H7171" s="400"/>
      <c r="I7171" s="239"/>
    </row>
    <row r="7172" spans="6:9" x14ac:dyDescent="0.35">
      <c r="F7172" s="33"/>
      <c r="G7172" s="70"/>
      <c r="H7172" s="400"/>
      <c r="I7172" s="239"/>
    </row>
    <row r="7173" spans="6:9" x14ac:dyDescent="0.35">
      <c r="F7173" s="33"/>
      <c r="G7173" s="70"/>
      <c r="H7173" s="400"/>
      <c r="I7173" s="239"/>
    </row>
    <row r="7174" spans="6:9" x14ac:dyDescent="0.35">
      <c r="F7174" s="33"/>
      <c r="G7174" s="70"/>
      <c r="H7174" s="400"/>
      <c r="I7174" s="239"/>
    </row>
    <row r="7175" spans="6:9" x14ac:dyDescent="0.35">
      <c r="F7175" s="33"/>
      <c r="G7175" s="70"/>
      <c r="H7175" s="400"/>
      <c r="I7175" s="239"/>
    </row>
    <row r="7176" spans="6:9" x14ac:dyDescent="0.35">
      <c r="F7176" s="33"/>
      <c r="G7176" s="70"/>
      <c r="H7176" s="400"/>
      <c r="I7176" s="239"/>
    </row>
    <row r="7177" spans="6:9" x14ac:dyDescent="0.35">
      <c r="F7177" s="33"/>
      <c r="G7177" s="70"/>
      <c r="H7177" s="400"/>
      <c r="I7177" s="239"/>
    </row>
    <row r="7178" spans="6:9" x14ac:dyDescent="0.35">
      <c r="F7178" s="33"/>
      <c r="G7178" s="70"/>
      <c r="H7178" s="400"/>
      <c r="I7178" s="239"/>
    </row>
    <row r="7179" spans="6:9" x14ac:dyDescent="0.35">
      <c r="F7179" s="33"/>
      <c r="G7179" s="70"/>
      <c r="H7179" s="400"/>
      <c r="I7179" s="239"/>
    </row>
    <row r="7180" spans="6:9" x14ac:dyDescent="0.35">
      <c r="F7180" s="33"/>
      <c r="G7180" s="70"/>
      <c r="H7180" s="400"/>
      <c r="I7180" s="239"/>
    </row>
    <row r="7181" spans="6:9" x14ac:dyDescent="0.35">
      <c r="F7181" s="33"/>
      <c r="G7181" s="70"/>
      <c r="H7181" s="400"/>
      <c r="I7181" s="239"/>
    </row>
    <row r="7182" spans="6:9" x14ac:dyDescent="0.35">
      <c r="F7182" s="33"/>
      <c r="G7182" s="70"/>
      <c r="H7182" s="400"/>
      <c r="I7182" s="239"/>
    </row>
    <row r="7183" spans="6:9" x14ac:dyDescent="0.35">
      <c r="F7183" s="33"/>
      <c r="G7183" s="70"/>
      <c r="H7183" s="400"/>
      <c r="I7183" s="239"/>
    </row>
    <row r="7184" spans="6:9" x14ac:dyDescent="0.35">
      <c r="F7184" s="33"/>
      <c r="G7184" s="70"/>
      <c r="H7184" s="400"/>
      <c r="I7184" s="239"/>
    </row>
    <row r="7185" spans="6:9" x14ac:dyDescent="0.35">
      <c r="F7185" s="33"/>
      <c r="G7185" s="70"/>
      <c r="H7185" s="400"/>
      <c r="I7185" s="239"/>
    </row>
    <row r="7186" spans="6:9" x14ac:dyDescent="0.35">
      <c r="F7186" s="33"/>
      <c r="G7186" s="70"/>
      <c r="H7186" s="400"/>
      <c r="I7186" s="239"/>
    </row>
    <row r="7187" spans="6:9" x14ac:dyDescent="0.35">
      <c r="F7187" s="33"/>
      <c r="G7187" s="70"/>
      <c r="H7187" s="400"/>
      <c r="I7187" s="239"/>
    </row>
    <row r="7188" spans="6:9" x14ac:dyDescent="0.35">
      <c r="F7188" s="33"/>
      <c r="G7188" s="70"/>
      <c r="H7188" s="400"/>
      <c r="I7188" s="239"/>
    </row>
    <row r="7189" spans="6:9" x14ac:dyDescent="0.35">
      <c r="F7189" s="33"/>
      <c r="G7189" s="70"/>
      <c r="H7189" s="400"/>
      <c r="I7189" s="239"/>
    </row>
    <row r="7190" spans="6:9" x14ac:dyDescent="0.35">
      <c r="F7190" s="33"/>
      <c r="G7190" s="70"/>
      <c r="H7190" s="400"/>
      <c r="I7190" s="239"/>
    </row>
    <row r="7191" spans="6:9" x14ac:dyDescent="0.35">
      <c r="F7191" s="33"/>
      <c r="G7191" s="70"/>
      <c r="H7191" s="400"/>
      <c r="I7191" s="239"/>
    </row>
    <row r="7192" spans="6:9" x14ac:dyDescent="0.35">
      <c r="F7192" s="33"/>
      <c r="G7192" s="70"/>
      <c r="H7192" s="400"/>
      <c r="I7192" s="239"/>
    </row>
    <row r="7193" spans="6:9" x14ac:dyDescent="0.35">
      <c r="F7193" s="33"/>
      <c r="G7193" s="70"/>
      <c r="H7193" s="400"/>
      <c r="I7193" s="239"/>
    </row>
    <row r="7194" spans="6:9" x14ac:dyDescent="0.35">
      <c r="F7194" s="33"/>
      <c r="G7194" s="70"/>
      <c r="H7194" s="400"/>
      <c r="I7194" s="239"/>
    </row>
    <row r="7195" spans="6:9" x14ac:dyDescent="0.35">
      <c r="F7195" s="33"/>
      <c r="G7195" s="70"/>
      <c r="H7195" s="400"/>
      <c r="I7195" s="239"/>
    </row>
    <row r="7196" spans="6:9" x14ac:dyDescent="0.35">
      <c r="F7196" s="33"/>
      <c r="G7196" s="70"/>
      <c r="H7196" s="400"/>
      <c r="I7196" s="239"/>
    </row>
    <row r="7197" spans="6:9" x14ac:dyDescent="0.35">
      <c r="F7197" s="33"/>
      <c r="G7197" s="70"/>
      <c r="H7197" s="400"/>
      <c r="I7197" s="239"/>
    </row>
    <row r="7198" spans="6:9" x14ac:dyDescent="0.35">
      <c r="F7198" s="33"/>
      <c r="G7198" s="70"/>
      <c r="H7198" s="400"/>
      <c r="I7198" s="239"/>
    </row>
    <row r="7199" spans="6:9" x14ac:dyDescent="0.35">
      <c r="F7199" s="33"/>
      <c r="G7199" s="70"/>
      <c r="H7199" s="400"/>
      <c r="I7199" s="239"/>
    </row>
    <row r="7200" spans="6:9" x14ac:dyDescent="0.35">
      <c r="F7200" s="33"/>
      <c r="G7200" s="70"/>
      <c r="H7200" s="400"/>
      <c r="I7200" s="239"/>
    </row>
    <row r="7201" spans="6:9" x14ac:dyDescent="0.35">
      <c r="F7201" s="33"/>
      <c r="G7201" s="70"/>
      <c r="H7201" s="400"/>
      <c r="I7201" s="239"/>
    </row>
    <row r="7202" spans="6:9" x14ac:dyDescent="0.35">
      <c r="F7202" s="33"/>
      <c r="G7202" s="70"/>
      <c r="H7202" s="400"/>
      <c r="I7202" s="239"/>
    </row>
    <row r="7203" spans="6:9" x14ac:dyDescent="0.35">
      <c r="F7203" s="33"/>
      <c r="G7203" s="70"/>
      <c r="H7203" s="400"/>
      <c r="I7203" s="239"/>
    </row>
    <row r="7204" spans="6:9" x14ac:dyDescent="0.35">
      <c r="F7204" s="33"/>
      <c r="G7204" s="70"/>
      <c r="H7204" s="400"/>
      <c r="I7204" s="239"/>
    </row>
    <row r="7205" spans="6:9" x14ac:dyDescent="0.35">
      <c r="F7205" s="33"/>
      <c r="G7205" s="70"/>
      <c r="H7205" s="400"/>
      <c r="I7205" s="239"/>
    </row>
    <row r="7206" spans="6:9" x14ac:dyDescent="0.35">
      <c r="F7206" s="33"/>
      <c r="G7206" s="70"/>
      <c r="H7206" s="400"/>
      <c r="I7206" s="239"/>
    </row>
    <row r="7207" spans="6:9" x14ac:dyDescent="0.35">
      <c r="F7207" s="33"/>
      <c r="G7207" s="70"/>
      <c r="H7207" s="400"/>
      <c r="I7207" s="239"/>
    </row>
    <row r="7208" spans="6:9" x14ac:dyDescent="0.35">
      <c r="F7208" s="33"/>
      <c r="G7208" s="70"/>
      <c r="H7208" s="400"/>
      <c r="I7208" s="239"/>
    </row>
    <row r="7209" spans="6:9" x14ac:dyDescent="0.35">
      <c r="F7209" s="33"/>
      <c r="G7209" s="70"/>
      <c r="H7209" s="400"/>
      <c r="I7209" s="239"/>
    </row>
    <row r="7210" spans="6:9" x14ac:dyDescent="0.35">
      <c r="F7210" s="33"/>
      <c r="G7210" s="70"/>
      <c r="H7210" s="400"/>
      <c r="I7210" s="239"/>
    </row>
    <row r="7211" spans="6:9" x14ac:dyDescent="0.35">
      <c r="F7211" s="33"/>
      <c r="G7211" s="70"/>
      <c r="H7211" s="400"/>
      <c r="I7211" s="239"/>
    </row>
    <row r="7212" spans="6:9" x14ac:dyDescent="0.35">
      <c r="F7212" s="33"/>
      <c r="G7212" s="70"/>
      <c r="H7212" s="400"/>
      <c r="I7212" s="239"/>
    </row>
    <row r="7213" spans="6:9" x14ac:dyDescent="0.35">
      <c r="F7213" s="33"/>
      <c r="G7213" s="70"/>
      <c r="H7213" s="400"/>
      <c r="I7213" s="239"/>
    </row>
    <row r="7214" spans="6:9" x14ac:dyDescent="0.35">
      <c r="F7214" s="33"/>
      <c r="G7214" s="70"/>
      <c r="H7214" s="400"/>
      <c r="I7214" s="239"/>
    </row>
    <row r="7215" spans="6:9" x14ac:dyDescent="0.35">
      <c r="F7215" s="33"/>
      <c r="G7215" s="70"/>
      <c r="H7215" s="400"/>
      <c r="I7215" s="239"/>
    </row>
    <row r="7216" spans="6:9" x14ac:dyDescent="0.35">
      <c r="F7216" s="33"/>
      <c r="G7216" s="70"/>
      <c r="H7216" s="400"/>
      <c r="I7216" s="239"/>
    </row>
    <row r="7217" spans="6:9" x14ac:dyDescent="0.35">
      <c r="F7217" s="33"/>
      <c r="G7217" s="70"/>
      <c r="H7217" s="400"/>
      <c r="I7217" s="239"/>
    </row>
    <row r="7218" spans="6:9" x14ac:dyDescent="0.35">
      <c r="F7218" s="33"/>
      <c r="G7218" s="70"/>
      <c r="H7218" s="400"/>
      <c r="I7218" s="239"/>
    </row>
    <row r="7219" spans="6:9" x14ac:dyDescent="0.35">
      <c r="F7219" s="33"/>
      <c r="G7219" s="70"/>
      <c r="H7219" s="400"/>
      <c r="I7219" s="239"/>
    </row>
    <row r="7220" spans="6:9" x14ac:dyDescent="0.35">
      <c r="F7220" s="33"/>
      <c r="G7220" s="70"/>
      <c r="H7220" s="400"/>
      <c r="I7220" s="239"/>
    </row>
    <row r="7221" spans="6:9" x14ac:dyDescent="0.35">
      <c r="F7221" s="33"/>
      <c r="G7221" s="70"/>
      <c r="H7221" s="400"/>
      <c r="I7221" s="239"/>
    </row>
    <row r="7222" spans="6:9" x14ac:dyDescent="0.35">
      <c r="F7222" s="33"/>
      <c r="G7222" s="70"/>
      <c r="H7222" s="400"/>
      <c r="I7222" s="239"/>
    </row>
    <row r="7223" spans="6:9" x14ac:dyDescent="0.35">
      <c r="F7223" s="33"/>
      <c r="G7223" s="70"/>
      <c r="H7223" s="400"/>
      <c r="I7223" s="239"/>
    </row>
    <row r="7224" spans="6:9" x14ac:dyDescent="0.35">
      <c r="F7224" s="33"/>
      <c r="G7224" s="70"/>
      <c r="H7224" s="400"/>
      <c r="I7224" s="239"/>
    </row>
    <row r="7225" spans="6:9" x14ac:dyDescent="0.35">
      <c r="F7225" s="33"/>
      <c r="G7225" s="70"/>
      <c r="H7225" s="400"/>
      <c r="I7225" s="239"/>
    </row>
    <row r="7226" spans="6:9" x14ac:dyDescent="0.35">
      <c r="F7226" s="33"/>
      <c r="G7226" s="70"/>
      <c r="H7226" s="400"/>
      <c r="I7226" s="239"/>
    </row>
    <row r="7227" spans="6:9" x14ac:dyDescent="0.35">
      <c r="F7227" s="33"/>
      <c r="G7227" s="70"/>
      <c r="H7227" s="400"/>
      <c r="I7227" s="239"/>
    </row>
    <row r="7228" spans="6:9" x14ac:dyDescent="0.35">
      <c r="F7228" s="33"/>
      <c r="G7228" s="70"/>
      <c r="H7228" s="400"/>
      <c r="I7228" s="239"/>
    </row>
    <row r="7229" spans="6:9" x14ac:dyDescent="0.35">
      <c r="F7229" s="33"/>
      <c r="G7229" s="70"/>
      <c r="H7229" s="400"/>
      <c r="I7229" s="239"/>
    </row>
    <row r="7230" spans="6:9" x14ac:dyDescent="0.35">
      <c r="F7230" s="33"/>
      <c r="G7230" s="70"/>
      <c r="H7230" s="400"/>
      <c r="I7230" s="239"/>
    </row>
    <row r="7231" spans="6:9" x14ac:dyDescent="0.35">
      <c r="F7231" s="33"/>
      <c r="G7231" s="70"/>
      <c r="H7231" s="400"/>
      <c r="I7231" s="239"/>
    </row>
    <row r="7232" spans="6:9" x14ac:dyDescent="0.35">
      <c r="F7232" s="33"/>
      <c r="G7232" s="70"/>
      <c r="H7232" s="400"/>
      <c r="I7232" s="239"/>
    </row>
    <row r="7233" spans="6:9" x14ac:dyDescent="0.35">
      <c r="F7233" s="33"/>
      <c r="G7233" s="70"/>
      <c r="H7233" s="400"/>
      <c r="I7233" s="239"/>
    </row>
    <row r="7234" spans="6:9" x14ac:dyDescent="0.35">
      <c r="F7234" s="33"/>
      <c r="G7234" s="70"/>
      <c r="H7234" s="400"/>
      <c r="I7234" s="239"/>
    </row>
    <row r="7235" spans="6:9" x14ac:dyDescent="0.35">
      <c r="F7235" s="33"/>
      <c r="G7235" s="70"/>
      <c r="H7235" s="400"/>
      <c r="I7235" s="239"/>
    </row>
    <row r="7236" spans="6:9" x14ac:dyDescent="0.35">
      <c r="F7236" s="33"/>
      <c r="G7236" s="70"/>
      <c r="H7236" s="400"/>
      <c r="I7236" s="239"/>
    </row>
    <row r="7237" spans="6:9" x14ac:dyDescent="0.35">
      <c r="F7237" s="33"/>
      <c r="G7237" s="70"/>
      <c r="H7237" s="400"/>
      <c r="I7237" s="239"/>
    </row>
    <row r="7238" spans="6:9" x14ac:dyDescent="0.35">
      <c r="F7238" s="33"/>
      <c r="G7238" s="70"/>
      <c r="H7238" s="400"/>
      <c r="I7238" s="239"/>
    </row>
    <row r="7239" spans="6:9" x14ac:dyDescent="0.35">
      <c r="F7239" s="33"/>
      <c r="G7239" s="70"/>
      <c r="H7239" s="400"/>
      <c r="I7239" s="239"/>
    </row>
    <row r="7240" spans="6:9" x14ac:dyDescent="0.35">
      <c r="F7240" s="33"/>
      <c r="G7240" s="70"/>
      <c r="H7240" s="400"/>
      <c r="I7240" s="239"/>
    </row>
    <row r="7241" spans="6:9" x14ac:dyDescent="0.35">
      <c r="F7241" s="33"/>
      <c r="G7241" s="70"/>
      <c r="H7241" s="400"/>
      <c r="I7241" s="239"/>
    </row>
    <row r="7242" spans="6:9" x14ac:dyDescent="0.35">
      <c r="F7242" s="33"/>
      <c r="G7242" s="70"/>
      <c r="H7242" s="400"/>
      <c r="I7242" s="239"/>
    </row>
    <row r="7243" spans="6:9" x14ac:dyDescent="0.35">
      <c r="F7243" s="33"/>
      <c r="G7243" s="70"/>
      <c r="H7243" s="400"/>
      <c r="I7243" s="239"/>
    </row>
    <row r="7244" spans="6:9" x14ac:dyDescent="0.35">
      <c r="F7244" s="33"/>
      <c r="G7244" s="70"/>
      <c r="H7244" s="400"/>
      <c r="I7244" s="239"/>
    </row>
    <row r="7245" spans="6:9" x14ac:dyDescent="0.35">
      <c r="F7245" s="33"/>
      <c r="G7245" s="70"/>
      <c r="H7245" s="400"/>
      <c r="I7245" s="239"/>
    </row>
    <row r="7246" spans="6:9" x14ac:dyDescent="0.35">
      <c r="F7246" s="33"/>
      <c r="G7246" s="70"/>
      <c r="H7246" s="400"/>
      <c r="I7246" s="239"/>
    </row>
    <row r="7247" spans="6:9" x14ac:dyDescent="0.35">
      <c r="F7247" s="33"/>
      <c r="G7247" s="70"/>
      <c r="H7247" s="400"/>
      <c r="I7247" s="239"/>
    </row>
    <row r="7248" spans="6:9" x14ac:dyDescent="0.35">
      <c r="F7248" s="33"/>
      <c r="G7248" s="70"/>
      <c r="H7248" s="400"/>
      <c r="I7248" s="239"/>
    </row>
    <row r="7249" spans="6:9" x14ac:dyDescent="0.35">
      <c r="F7249" s="33"/>
      <c r="G7249" s="70"/>
      <c r="H7249" s="400"/>
      <c r="I7249" s="239"/>
    </row>
    <row r="7250" spans="6:9" x14ac:dyDescent="0.35">
      <c r="F7250" s="33"/>
      <c r="G7250" s="70"/>
      <c r="H7250" s="400"/>
      <c r="I7250" s="239"/>
    </row>
    <row r="7251" spans="6:9" x14ac:dyDescent="0.35">
      <c r="F7251" s="33"/>
      <c r="G7251" s="70"/>
      <c r="H7251" s="400"/>
      <c r="I7251" s="239"/>
    </row>
    <row r="7252" spans="6:9" x14ac:dyDescent="0.35">
      <c r="F7252" s="33"/>
      <c r="G7252" s="70"/>
      <c r="H7252" s="400"/>
      <c r="I7252" s="239"/>
    </row>
    <row r="7253" spans="6:9" x14ac:dyDescent="0.35">
      <c r="F7253" s="33"/>
      <c r="G7253" s="70"/>
      <c r="H7253" s="400"/>
      <c r="I7253" s="239"/>
    </row>
    <row r="7254" spans="6:9" x14ac:dyDescent="0.35">
      <c r="F7254" s="33"/>
      <c r="G7254" s="70"/>
      <c r="H7254" s="400"/>
      <c r="I7254" s="239"/>
    </row>
    <row r="7255" spans="6:9" x14ac:dyDescent="0.35">
      <c r="F7255" s="33"/>
      <c r="G7255" s="70"/>
      <c r="H7255" s="400"/>
      <c r="I7255" s="239"/>
    </row>
    <row r="7256" spans="6:9" x14ac:dyDescent="0.35">
      <c r="F7256" s="33"/>
      <c r="G7256" s="70"/>
      <c r="H7256" s="400"/>
      <c r="I7256" s="239"/>
    </row>
    <row r="7257" spans="6:9" x14ac:dyDescent="0.35">
      <c r="F7257" s="33"/>
      <c r="G7257" s="70"/>
      <c r="H7257" s="400"/>
      <c r="I7257" s="239"/>
    </row>
    <row r="7258" spans="6:9" x14ac:dyDescent="0.35">
      <c r="F7258" s="33"/>
      <c r="G7258" s="70"/>
      <c r="H7258" s="400"/>
      <c r="I7258" s="239"/>
    </row>
    <row r="7259" spans="6:9" x14ac:dyDescent="0.35">
      <c r="F7259" s="33"/>
      <c r="G7259" s="70"/>
      <c r="H7259" s="400"/>
      <c r="I7259" s="239"/>
    </row>
    <row r="7260" spans="6:9" x14ac:dyDescent="0.35">
      <c r="F7260" s="33"/>
      <c r="G7260" s="70"/>
      <c r="H7260" s="400"/>
      <c r="I7260" s="239"/>
    </row>
    <row r="7261" spans="6:9" x14ac:dyDescent="0.35">
      <c r="F7261" s="33"/>
      <c r="G7261" s="70"/>
      <c r="H7261" s="400"/>
      <c r="I7261" s="239"/>
    </row>
    <row r="7262" spans="6:9" x14ac:dyDescent="0.35">
      <c r="F7262" s="33"/>
      <c r="G7262" s="70"/>
      <c r="H7262" s="400"/>
      <c r="I7262" s="239"/>
    </row>
    <row r="7263" spans="6:9" x14ac:dyDescent="0.35">
      <c r="F7263" s="33"/>
      <c r="G7263" s="70"/>
      <c r="H7263" s="400"/>
      <c r="I7263" s="239"/>
    </row>
    <row r="7264" spans="6:9" x14ac:dyDescent="0.35">
      <c r="F7264" s="33"/>
      <c r="G7264" s="70"/>
      <c r="H7264" s="400"/>
      <c r="I7264" s="239"/>
    </row>
    <row r="7265" spans="6:9" x14ac:dyDescent="0.35">
      <c r="F7265" s="33"/>
      <c r="G7265" s="70"/>
      <c r="H7265" s="400"/>
      <c r="I7265" s="239"/>
    </row>
    <row r="7266" spans="6:9" x14ac:dyDescent="0.35">
      <c r="F7266" s="33"/>
      <c r="G7266" s="70"/>
      <c r="H7266" s="400"/>
      <c r="I7266" s="239"/>
    </row>
    <row r="7267" spans="6:9" x14ac:dyDescent="0.35">
      <c r="F7267" s="33"/>
      <c r="G7267" s="70"/>
      <c r="H7267" s="400"/>
      <c r="I7267" s="239"/>
    </row>
    <row r="7268" spans="6:9" x14ac:dyDescent="0.35">
      <c r="F7268" s="33"/>
      <c r="G7268" s="70"/>
      <c r="H7268" s="400"/>
      <c r="I7268" s="239"/>
    </row>
    <row r="7269" spans="6:9" x14ac:dyDescent="0.35">
      <c r="F7269" s="33"/>
      <c r="G7269" s="70"/>
      <c r="H7269" s="400"/>
      <c r="I7269" s="239"/>
    </row>
    <row r="7270" spans="6:9" x14ac:dyDescent="0.35">
      <c r="F7270" s="33"/>
      <c r="G7270" s="70"/>
      <c r="H7270" s="400"/>
      <c r="I7270" s="239"/>
    </row>
    <row r="7271" spans="6:9" x14ac:dyDescent="0.35">
      <c r="F7271" s="33"/>
      <c r="G7271" s="70"/>
      <c r="H7271" s="400"/>
      <c r="I7271" s="239"/>
    </row>
    <row r="7272" spans="6:9" x14ac:dyDescent="0.35">
      <c r="F7272" s="33"/>
      <c r="G7272" s="70"/>
      <c r="H7272" s="400"/>
      <c r="I7272" s="239"/>
    </row>
    <row r="7273" spans="6:9" x14ac:dyDescent="0.35">
      <c r="F7273" s="33"/>
      <c r="G7273" s="70"/>
      <c r="H7273" s="400"/>
      <c r="I7273" s="239"/>
    </row>
    <row r="7274" spans="6:9" x14ac:dyDescent="0.35">
      <c r="F7274" s="33"/>
      <c r="G7274" s="70"/>
      <c r="H7274" s="400"/>
      <c r="I7274" s="239"/>
    </row>
    <row r="7275" spans="6:9" x14ac:dyDescent="0.35">
      <c r="F7275" s="33"/>
      <c r="G7275" s="70"/>
      <c r="H7275" s="400"/>
      <c r="I7275" s="239"/>
    </row>
    <row r="7276" spans="6:9" x14ac:dyDescent="0.35">
      <c r="F7276" s="33"/>
      <c r="G7276" s="70"/>
      <c r="H7276" s="400"/>
      <c r="I7276" s="239"/>
    </row>
    <row r="7277" spans="6:9" x14ac:dyDescent="0.35">
      <c r="F7277" s="33"/>
      <c r="G7277" s="70"/>
      <c r="H7277" s="400"/>
      <c r="I7277" s="239"/>
    </row>
    <row r="7278" spans="6:9" x14ac:dyDescent="0.35">
      <c r="F7278" s="33"/>
      <c r="G7278" s="70"/>
      <c r="H7278" s="400"/>
      <c r="I7278" s="239"/>
    </row>
    <row r="7279" spans="6:9" x14ac:dyDescent="0.35">
      <c r="F7279" s="33"/>
      <c r="G7279" s="70"/>
      <c r="H7279" s="400"/>
      <c r="I7279" s="239"/>
    </row>
    <row r="7280" spans="6:9" x14ac:dyDescent="0.35">
      <c r="F7280" s="33"/>
      <c r="G7280" s="70"/>
      <c r="H7280" s="400"/>
      <c r="I7280" s="239"/>
    </row>
    <row r="7281" spans="6:9" x14ac:dyDescent="0.35">
      <c r="F7281" s="33"/>
      <c r="G7281" s="70"/>
      <c r="H7281" s="400"/>
      <c r="I7281" s="239"/>
    </row>
    <row r="7282" spans="6:9" x14ac:dyDescent="0.35">
      <c r="F7282" s="33"/>
      <c r="G7282" s="70"/>
      <c r="H7282" s="400"/>
      <c r="I7282" s="239"/>
    </row>
    <row r="7283" spans="6:9" x14ac:dyDescent="0.35">
      <c r="F7283" s="33"/>
      <c r="G7283" s="70"/>
      <c r="H7283" s="400"/>
      <c r="I7283" s="239"/>
    </row>
    <row r="7284" spans="6:9" x14ac:dyDescent="0.35">
      <c r="F7284" s="33"/>
      <c r="G7284" s="70"/>
      <c r="H7284" s="400"/>
      <c r="I7284" s="239"/>
    </row>
    <row r="7285" spans="6:9" x14ac:dyDescent="0.35">
      <c r="F7285" s="33"/>
      <c r="G7285" s="70"/>
      <c r="H7285" s="400"/>
      <c r="I7285" s="239"/>
    </row>
    <row r="7286" spans="6:9" x14ac:dyDescent="0.35">
      <c r="F7286" s="33"/>
      <c r="G7286" s="70"/>
      <c r="H7286" s="400"/>
      <c r="I7286" s="239"/>
    </row>
    <row r="7287" spans="6:9" x14ac:dyDescent="0.35">
      <c r="F7287" s="33"/>
      <c r="G7287" s="70"/>
      <c r="H7287" s="400"/>
      <c r="I7287" s="239"/>
    </row>
    <row r="7288" spans="6:9" x14ac:dyDescent="0.35">
      <c r="F7288" s="33"/>
      <c r="G7288" s="70"/>
      <c r="H7288" s="400"/>
      <c r="I7288" s="239"/>
    </row>
    <row r="7289" spans="6:9" x14ac:dyDescent="0.35">
      <c r="F7289" s="33"/>
      <c r="G7289" s="70"/>
      <c r="H7289" s="400"/>
      <c r="I7289" s="239"/>
    </row>
    <row r="7290" spans="6:9" x14ac:dyDescent="0.35">
      <c r="F7290" s="33"/>
      <c r="G7290" s="70"/>
      <c r="H7290" s="400"/>
      <c r="I7290" s="239"/>
    </row>
    <row r="7291" spans="6:9" x14ac:dyDescent="0.35">
      <c r="F7291" s="33"/>
      <c r="G7291" s="70"/>
      <c r="H7291" s="400"/>
      <c r="I7291" s="239"/>
    </row>
    <row r="7292" spans="6:9" x14ac:dyDescent="0.35">
      <c r="F7292" s="33"/>
      <c r="G7292" s="70"/>
      <c r="H7292" s="400"/>
      <c r="I7292" s="239"/>
    </row>
    <row r="7293" spans="6:9" x14ac:dyDescent="0.35">
      <c r="F7293" s="33"/>
      <c r="G7293" s="70"/>
      <c r="H7293" s="400"/>
      <c r="I7293" s="239"/>
    </row>
    <row r="7294" spans="6:9" x14ac:dyDescent="0.35">
      <c r="F7294" s="33"/>
      <c r="G7294" s="70"/>
      <c r="H7294" s="400"/>
      <c r="I7294" s="239"/>
    </row>
    <row r="7295" spans="6:9" x14ac:dyDescent="0.35">
      <c r="F7295" s="33"/>
      <c r="G7295" s="70"/>
      <c r="H7295" s="400"/>
      <c r="I7295" s="239"/>
    </row>
    <row r="7296" spans="6:9" x14ac:dyDescent="0.35">
      <c r="F7296" s="33"/>
      <c r="G7296" s="70"/>
      <c r="H7296" s="400"/>
      <c r="I7296" s="239"/>
    </row>
    <row r="7297" spans="6:9" x14ac:dyDescent="0.35">
      <c r="F7297" s="33"/>
      <c r="G7297" s="70"/>
      <c r="H7297" s="400"/>
      <c r="I7297" s="239"/>
    </row>
    <row r="7298" spans="6:9" x14ac:dyDescent="0.35">
      <c r="F7298" s="33"/>
      <c r="G7298" s="70"/>
      <c r="H7298" s="400"/>
      <c r="I7298" s="239"/>
    </row>
    <row r="7299" spans="6:9" x14ac:dyDescent="0.35">
      <c r="F7299" s="33"/>
      <c r="G7299" s="70"/>
      <c r="H7299" s="400"/>
      <c r="I7299" s="239"/>
    </row>
    <row r="7300" spans="6:9" x14ac:dyDescent="0.35">
      <c r="F7300" s="33"/>
      <c r="G7300" s="70"/>
      <c r="H7300" s="400"/>
      <c r="I7300" s="239"/>
    </row>
    <row r="7301" spans="6:9" x14ac:dyDescent="0.35">
      <c r="F7301" s="33"/>
      <c r="G7301" s="70"/>
      <c r="H7301" s="400"/>
      <c r="I7301" s="239"/>
    </row>
    <row r="7302" spans="6:9" x14ac:dyDescent="0.35">
      <c r="F7302" s="33"/>
      <c r="G7302" s="70"/>
      <c r="H7302" s="400"/>
      <c r="I7302" s="239"/>
    </row>
    <row r="7303" spans="6:9" x14ac:dyDescent="0.35">
      <c r="F7303" s="33"/>
      <c r="G7303" s="70"/>
      <c r="H7303" s="400"/>
      <c r="I7303" s="239"/>
    </row>
    <row r="7304" spans="6:9" x14ac:dyDescent="0.35">
      <c r="F7304" s="33"/>
      <c r="G7304" s="70"/>
      <c r="H7304" s="400"/>
      <c r="I7304" s="239"/>
    </row>
    <row r="7305" spans="6:9" x14ac:dyDescent="0.35">
      <c r="F7305" s="33"/>
      <c r="G7305" s="70"/>
      <c r="H7305" s="400"/>
      <c r="I7305" s="239"/>
    </row>
    <row r="7306" spans="6:9" x14ac:dyDescent="0.35">
      <c r="F7306" s="33"/>
      <c r="G7306" s="70"/>
      <c r="H7306" s="400"/>
      <c r="I7306" s="239"/>
    </row>
    <row r="7307" spans="6:9" x14ac:dyDescent="0.35">
      <c r="F7307" s="33"/>
      <c r="G7307" s="70"/>
      <c r="H7307" s="400"/>
      <c r="I7307" s="239"/>
    </row>
    <row r="7308" spans="6:9" x14ac:dyDescent="0.35">
      <c r="F7308" s="33"/>
      <c r="G7308" s="70"/>
      <c r="H7308" s="400"/>
      <c r="I7308" s="239"/>
    </row>
    <row r="7309" spans="6:9" x14ac:dyDescent="0.35">
      <c r="F7309" s="33"/>
      <c r="G7309" s="70"/>
      <c r="H7309" s="400"/>
      <c r="I7309" s="239"/>
    </row>
    <row r="7310" spans="6:9" x14ac:dyDescent="0.35">
      <c r="F7310" s="33"/>
      <c r="G7310" s="70"/>
      <c r="H7310" s="400"/>
      <c r="I7310" s="239"/>
    </row>
    <row r="7311" spans="6:9" x14ac:dyDescent="0.35">
      <c r="F7311" s="33"/>
      <c r="G7311" s="70"/>
      <c r="H7311" s="400"/>
      <c r="I7311" s="239"/>
    </row>
    <row r="7312" spans="6:9" x14ac:dyDescent="0.35">
      <c r="F7312" s="33"/>
      <c r="G7312" s="70"/>
      <c r="H7312" s="400"/>
      <c r="I7312" s="239"/>
    </row>
    <row r="7313" spans="6:9" x14ac:dyDescent="0.35">
      <c r="F7313" s="33"/>
      <c r="G7313" s="70"/>
      <c r="H7313" s="400"/>
      <c r="I7313" s="239"/>
    </row>
    <row r="7314" spans="6:9" x14ac:dyDescent="0.35">
      <c r="F7314" s="33"/>
      <c r="G7314" s="70"/>
      <c r="H7314" s="400"/>
      <c r="I7314" s="239"/>
    </row>
    <row r="7315" spans="6:9" x14ac:dyDescent="0.35">
      <c r="F7315" s="33"/>
      <c r="G7315" s="70"/>
      <c r="H7315" s="400"/>
      <c r="I7315" s="239"/>
    </row>
    <row r="7316" spans="6:9" x14ac:dyDescent="0.35">
      <c r="F7316" s="33"/>
      <c r="G7316" s="70"/>
      <c r="H7316" s="400"/>
      <c r="I7316" s="239"/>
    </row>
    <row r="7317" spans="6:9" x14ac:dyDescent="0.35">
      <c r="F7317" s="33"/>
      <c r="G7317" s="70"/>
      <c r="H7317" s="400"/>
      <c r="I7317" s="239"/>
    </row>
    <row r="7318" spans="6:9" x14ac:dyDescent="0.35">
      <c r="F7318" s="33"/>
      <c r="G7318" s="70"/>
      <c r="H7318" s="400"/>
      <c r="I7318" s="239"/>
    </row>
    <row r="7319" spans="6:9" x14ac:dyDescent="0.35">
      <c r="F7319" s="33"/>
      <c r="G7319" s="70"/>
      <c r="H7319" s="400"/>
      <c r="I7319" s="239"/>
    </row>
    <row r="7320" spans="6:9" x14ac:dyDescent="0.35">
      <c r="F7320" s="33"/>
      <c r="G7320" s="70"/>
      <c r="H7320" s="400"/>
      <c r="I7320" s="239"/>
    </row>
    <row r="7321" spans="6:9" x14ac:dyDescent="0.35">
      <c r="F7321" s="33"/>
      <c r="G7321" s="70"/>
      <c r="H7321" s="400"/>
      <c r="I7321" s="239"/>
    </row>
    <row r="7322" spans="6:9" x14ac:dyDescent="0.35">
      <c r="F7322" s="33"/>
      <c r="G7322" s="70"/>
      <c r="H7322" s="400"/>
      <c r="I7322" s="239"/>
    </row>
    <row r="7323" spans="6:9" x14ac:dyDescent="0.35">
      <c r="F7323" s="33"/>
      <c r="G7323" s="70"/>
      <c r="H7323" s="400"/>
      <c r="I7323" s="239"/>
    </row>
    <row r="7324" spans="6:9" x14ac:dyDescent="0.35">
      <c r="F7324" s="33"/>
      <c r="G7324" s="70"/>
      <c r="H7324" s="400"/>
      <c r="I7324" s="239"/>
    </row>
    <row r="7325" spans="6:9" x14ac:dyDescent="0.35">
      <c r="F7325" s="33"/>
      <c r="G7325" s="70"/>
      <c r="H7325" s="400"/>
      <c r="I7325" s="239"/>
    </row>
    <row r="7326" spans="6:9" x14ac:dyDescent="0.35">
      <c r="F7326" s="33"/>
      <c r="G7326" s="70"/>
      <c r="H7326" s="400"/>
      <c r="I7326" s="239"/>
    </row>
    <row r="7327" spans="6:9" x14ac:dyDescent="0.35">
      <c r="F7327" s="33"/>
      <c r="G7327" s="70"/>
      <c r="H7327" s="400"/>
      <c r="I7327" s="239"/>
    </row>
    <row r="7328" spans="6:9" x14ac:dyDescent="0.35">
      <c r="F7328" s="33"/>
      <c r="G7328" s="70"/>
      <c r="H7328" s="400"/>
      <c r="I7328" s="239"/>
    </row>
    <row r="7329" spans="6:9" x14ac:dyDescent="0.35">
      <c r="F7329" s="33"/>
      <c r="G7329" s="70"/>
      <c r="H7329" s="400"/>
      <c r="I7329" s="239"/>
    </row>
    <row r="7330" spans="6:9" x14ac:dyDescent="0.35">
      <c r="F7330" s="33"/>
      <c r="G7330" s="70"/>
      <c r="H7330" s="400"/>
      <c r="I7330" s="239"/>
    </row>
    <row r="7331" spans="6:9" x14ac:dyDescent="0.35">
      <c r="F7331" s="33"/>
      <c r="G7331" s="70"/>
      <c r="H7331" s="400"/>
      <c r="I7331" s="239"/>
    </row>
    <row r="7332" spans="6:9" x14ac:dyDescent="0.35">
      <c r="F7332" s="33"/>
      <c r="G7332" s="70"/>
      <c r="H7332" s="400"/>
      <c r="I7332" s="239"/>
    </row>
    <row r="7333" spans="6:9" x14ac:dyDescent="0.35">
      <c r="F7333" s="33"/>
      <c r="G7333" s="70"/>
      <c r="H7333" s="400"/>
      <c r="I7333" s="239"/>
    </row>
    <row r="7334" spans="6:9" x14ac:dyDescent="0.35">
      <c r="F7334" s="33"/>
      <c r="G7334" s="70"/>
      <c r="H7334" s="400"/>
      <c r="I7334" s="239"/>
    </row>
    <row r="7335" spans="6:9" x14ac:dyDescent="0.35">
      <c r="F7335" s="33"/>
      <c r="G7335" s="70"/>
      <c r="H7335" s="400"/>
      <c r="I7335" s="239"/>
    </row>
    <row r="7336" spans="6:9" x14ac:dyDescent="0.35">
      <c r="F7336" s="33"/>
      <c r="G7336" s="70"/>
      <c r="H7336" s="400"/>
      <c r="I7336" s="239"/>
    </row>
    <row r="7337" spans="6:9" x14ac:dyDescent="0.35">
      <c r="F7337" s="33"/>
      <c r="G7337" s="70"/>
      <c r="H7337" s="400"/>
      <c r="I7337" s="239"/>
    </row>
    <row r="7338" spans="6:9" x14ac:dyDescent="0.35">
      <c r="F7338" s="33"/>
      <c r="G7338" s="70"/>
      <c r="H7338" s="400"/>
      <c r="I7338" s="239"/>
    </row>
    <row r="7339" spans="6:9" x14ac:dyDescent="0.35">
      <c r="F7339" s="33"/>
      <c r="G7339" s="70"/>
      <c r="H7339" s="400"/>
      <c r="I7339" s="239"/>
    </row>
    <row r="7340" spans="6:9" x14ac:dyDescent="0.35">
      <c r="F7340" s="33"/>
      <c r="G7340" s="70"/>
      <c r="H7340" s="400"/>
      <c r="I7340" s="239"/>
    </row>
    <row r="7341" spans="6:9" x14ac:dyDescent="0.35">
      <c r="F7341" s="33"/>
      <c r="G7341" s="70"/>
      <c r="H7341" s="400"/>
      <c r="I7341" s="239"/>
    </row>
    <row r="7342" spans="6:9" x14ac:dyDescent="0.35">
      <c r="F7342" s="33"/>
      <c r="G7342" s="70"/>
      <c r="H7342" s="400"/>
      <c r="I7342" s="239"/>
    </row>
    <row r="7343" spans="6:9" x14ac:dyDescent="0.35">
      <c r="F7343" s="33"/>
      <c r="G7343" s="70"/>
      <c r="H7343" s="400"/>
      <c r="I7343" s="239"/>
    </row>
    <row r="7344" spans="6:9" x14ac:dyDescent="0.35">
      <c r="F7344" s="33"/>
      <c r="G7344" s="70"/>
      <c r="H7344" s="400"/>
      <c r="I7344" s="239"/>
    </row>
    <row r="7345" spans="6:9" x14ac:dyDescent="0.35">
      <c r="F7345" s="33"/>
      <c r="G7345" s="70"/>
      <c r="H7345" s="400"/>
      <c r="I7345" s="239"/>
    </row>
    <row r="7346" spans="6:9" x14ac:dyDescent="0.35">
      <c r="F7346" s="33"/>
      <c r="G7346" s="70"/>
      <c r="H7346" s="400"/>
      <c r="I7346" s="239"/>
    </row>
    <row r="7347" spans="6:9" x14ac:dyDescent="0.35">
      <c r="F7347" s="33"/>
      <c r="G7347" s="70"/>
      <c r="H7347" s="400"/>
      <c r="I7347" s="239"/>
    </row>
    <row r="7348" spans="6:9" x14ac:dyDescent="0.35">
      <c r="F7348" s="33"/>
      <c r="G7348" s="70"/>
      <c r="H7348" s="400"/>
      <c r="I7348" s="239"/>
    </row>
    <row r="7349" spans="6:9" x14ac:dyDescent="0.35">
      <c r="F7349" s="33"/>
      <c r="G7349" s="70"/>
      <c r="H7349" s="400"/>
      <c r="I7349" s="239"/>
    </row>
    <row r="7350" spans="6:9" x14ac:dyDescent="0.35">
      <c r="F7350" s="33"/>
      <c r="G7350" s="70"/>
      <c r="H7350" s="400"/>
      <c r="I7350" s="239"/>
    </row>
    <row r="7351" spans="6:9" x14ac:dyDescent="0.35">
      <c r="F7351" s="33"/>
      <c r="G7351" s="70"/>
      <c r="H7351" s="400"/>
      <c r="I7351" s="239"/>
    </row>
    <row r="7352" spans="6:9" x14ac:dyDescent="0.35">
      <c r="F7352" s="33"/>
      <c r="G7352" s="70"/>
      <c r="H7352" s="400"/>
      <c r="I7352" s="239"/>
    </row>
    <row r="7353" spans="6:9" x14ac:dyDescent="0.35">
      <c r="F7353" s="33"/>
      <c r="G7353" s="70"/>
      <c r="H7353" s="400"/>
      <c r="I7353" s="239"/>
    </row>
    <row r="7354" spans="6:9" x14ac:dyDescent="0.35">
      <c r="F7354" s="33"/>
      <c r="G7354" s="70"/>
      <c r="H7354" s="400"/>
      <c r="I7354" s="239"/>
    </row>
    <row r="7355" spans="6:9" x14ac:dyDescent="0.35">
      <c r="F7355" s="33"/>
      <c r="G7355" s="70"/>
      <c r="H7355" s="400"/>
      <c r="I7355" s="239"/>
    </row>
    <row r="7356" spans="6:9" x14ac:dyDescent="0.35">
      <c r="F7356" s="33"/>
      <c r="G7356" s="70"/>
      <c r="H7356" s="400"/>
      <c r="I7356" s="239"/>
    </row>
    <row r="7357" spans="6:9" x14ac:dyDescent="0.35">
      <c r="F7357" s="33"/>
      <c r="G7357" s="70"/>
      <c r="H7357" s="400"/>
      <c r="I7357" s="239"/>
    </row>
    <row r="7358" spans="6:9" x14ac:dyDescent="0.35">
      <c r="F7358" s="33"/>
      <c r="G7358" s="70"/>
      <c r="H7358" s="400"/>
      <c r="I7358" s="239"/>
    </row>
    <row r="7359" spans="6:9" x14ac:dyDescent="0.35">
      <c r="F7359" s="33"/>
      <c r="G7359" s="70"/>
      <c r="H7359" s="400"/>
      <c r="I7359" s="239"/>
    </row>
    <row r="7360" spans="6:9" x14ac:dyDescent="0.35">
      <c r="F7360" s="33"/>
      <c r="G7360" s="70"/>
      <c r="H7360" s="400"/>
      <c r="I7360" s="239"/>
    </row>
    <row r="7361" spans="6:9" x14ac:dyDescent="0.35">
      <c r="F7361" s="33"/>
      <c r="G7361" s="70"/>
      <c r="H7361" s="400"/>
      <c r="I7361" s="239"/>
    </row>
    <row r="7362" spans="6:9" x14ac:dyDescent="0.35">
      <c r="F7362" s="33"/>
      <c r="G7362" s="70"/>
      <c r="H7362" s="400"/>
      <c r="I7362" s="239"/>
    </row>
    <row r="7363" spans="6:9" x14ac:dyDescent="0.35">
      <c r="F7363" s="33"/>
      <c r="G7363" s="70"/>
      <c r="H7363" s="400"/>
      <c r="I7363" s="239"/>
    </row>
    <row r="7364" spans="6:9" x14ac:dyDescent="0.35">
      <c r="F7364" s="33"/>
      <c r="G7364" s="70"/>
      <c r="H7364" s="400"/>
      <c r="I7364" s="239"/>
    </row>
    <row r="7365" spans="6:9" x14ac:dyDescent="0.35">
      <c r="F7365" s="33"/>
      <c r="G7365" s="70"/>
      <c r="H7365" s="400"/>
      <c r="I7365" s="239"/>
    </row>
    <row r="7366" spans="6:9" x14ac:dyDescent="0.35">
      <c r="F7366" s="33"/>
      <c r="G7366" s="70"/>
      <c r="H7366" s="400"/>
      <c r="I7366" s="239"/>
    </row>
    <row r="7367" spans="6:9" x14ac:dyDescent="0.35">
      <c r="F7367" s="33"/>
      <c r="G7367" s="70"/>
      <c r="H7367" s="400"/>
      <c r="I7367" s="239"/>
    </row>
    <row r="7368" spans="6:9" x14ac:dyDescent="0.35">
      <c r="F7368" s="33"/>
      <c r="G7368" s="70"/>
      <c r="H7368" s="400"/>
      <c r="I7368" s="239"/>
    </row>
    <row r="7369" spans="6:9" x14ac:dyDescent="0.35">
      <c r="F7369" s="33"/>
      <c r="G7369" s="70"/>
      <c r="H7369" s="400"/>
      <c r="I7369" s="239"/>
    </row>
    <row r="7370" spans="6:9" x14ac:dyDescent="0.35">
      <c r="F7370" s="33"/>
      <c r="G7370" s="70"/>
      <c r="H7370" s="400"/>
      <c r="I7370" s="239"/>
    </row>
    <row r="7371" spans="6:9" x14ac:dyDescent="0.35">
      <c r="F7371" s="33"/>
      <c r="G7371" s="70"/>
      <c r="H7371" s="400"/>
      <c r="I7371" s="239"/>
    </row>
    <row r="7372" spans="6:9" x14ac:dyDescent="0.35">
      <c r="F7372" s="33"/>
      <c r="G7372" s="70"/>
      <c r="H7372" s="400"/>
      <c r="I7372" s="239"/>
    </row>
    <row r="7373" spans="6:9" x14ac:dyDescent="0.35">
      <c r="F7373" s="33"/>
      <c r="G7373" s="70"/>
      <c r="H7373" s="400"/>
      <c r="I7373" s="239"/>
    </row>
    <row r="7374" spans="6:9" x14ac:dyDescent="0.35">
      <c r="F7374" s="33"/>
      <c r="G7374" s="70"/>
      <c r="H7374" s="400"/>
      <c r="I7374" s="239"/>
    </row>
    <row r="7375" spans="6:9" x14ac:dyDescent="0.35">
      <c r="F7375" s="33"/>
      <c r="G7375" s="70"/>
      <c r="H7375" s="400"/>
      <c r="I7375" s="239"/>
    </row>
    <row r="7376" spans="6:9" x14ac:dyDescent="0.35">
      <c r="F7376" s="33"/>
      <c r="G7376" s="70"/>
      <c r="H7376" s="400"/>
      <c r="I7376" s="239"/>
    </row>
    <row r="7377" spans="6:9" x14ac:dyDescent="0.35">
      <c r="F7377" s="33"/>
      <c r="G7377" s="70"/>
      <c r="H7377" s="400"/>
      <c r="I7377" s="239"/>
    </row>
    <row r="7378" spans="6:9" x14ac:dyDescent="0.35">
      <c r="F7378" s="33"/>
      <c r="G7378" s="70"/>
      <c r="H7378" s="400"/>
      <c r="I7378" s="239"/>
    </row>
    <row r="7379" spans="6:9" x14ac:dyDescent="0.35">
      <c r="F7379" s="33"/>
      <c r="G7379" s="70"/>
      <c r="H7379" s="400"/>
      <c r="I7379" s="239"/>
    </row>
    <row r="7380" spans="6:9" x14ac:dyDescent="0.35">
      <c r="F7380" s="33"/>
      <c r="G7380" s="70"/>
      <c r="H7380" s="400"/>
      <c r="I7380" s="239"/>
    </row>
    <row r="7381" spans="6:9" x14ac:dyDescent="0.35">
      <c r="F7381" s="33"/>
      <c r="G7381" s="70"/>
      <c r="H7381" s="400"/>
      <c r="I7381" s="239"/>
    </row>
    <row r="7382" spans="6:9" x14ac:dyDescent="0.35">
      <c r="F7382" s="33"/>
      <c r="G7382" s="70"/>
      <c r="H7382" s="400"/>
      <c r="I7382" s="239"/>
    </row>
    <row r="7383" spans="6:9" x14ac:dyDescent="0.35">
      <c r="F7383" s="33"/>
      <c r="G7383" s="70"/>
      <c r="H7383" s="400"/>
      <c r="I7383" s="239"/>
    </row>
    <row r="7384" spans="6:9" x14ac:dyDescent="0.35">
      <c r="F7384" s="33"/>
      <c r="G7384" s="70"/>
      <c r="H7384" s="400"/>
      <c r="I7384" s="239"/>
    </row>
    <row r="7385" spans="6:9" x14ac:dyDescent="0.35">
      <c r="F7385" s="33"/>
      <c r="G7385" s="70"/>
      <c r="H7385" s="400"/>
      <c r="I7385" s="239"/>
    </row>
    <row r="7386" spans="6:9" x14ac:dyDescent="0.35">
      <c r="F7386" s="33"/>
      <c r="G7386" s="70"/>
      <c r="H7386" s="400"/>
      <c r="I7386" s="239"/>
    </row>
    <row r="7387" spans="6:9" x14ac:dyDescent="0.35">
      <c r="F7387" s="33"/>
      <c r="G7387" s="70"/>
      <c r="H7387" s="400"/>
      <c r="I7387" s="239"/>
    </row>
    <row r="7388" spans="6:9" x14ac:dyDescent="0.35">
      <c r="F7388" s="33"/>
      <c r="G7388" s="70"/>
      <c r="H7388" s="400"/>
      <c r="I7388" s="239"/>
    </row>
    <row r="7389" spans="6:9" x14ac:dyDescent="0.35">
      <c r="F7389" s="33"/>
      <c r="G7389" s="70"/>
      <c r="H7389" s="400"/>
      <c r="I7389" s="239"/>
    </row>
    <row r="7390" spans="6:9" x14ac:dyDescent="0.35">
      <c r="F7390" s="33"/>
      <c r="G7390" s="70"/>
      <c r="H7390" s="400"/>
      <c r="I7390" s="239"/>
    </row>
    <row r="7391" spans="6:9" x14ac:dyDescent="0.35">
      <c r="F7391" s="33"/>
      <c r="G7391" s="70"/>
      <c r="H7391" s="400"/>
      <c r="I7391" s="239"/>
    </row>
    <row r="7392" spans="6:9" x14ac:dyDescent="0.35">
      <c r="F7392" s="33"/>
      <c r="G7392" s="70"/>
      <c r="H7392" s="400"/>
      <c r="I7392" s="239"/>
    </row>
    <row r="7393" spans="6:9" x14ac:dyDescent="0.35">
      <c r="F7393" s="33"/>
      <c r="G7393" s="70"/>
      <c r="H7393" s="400"/>
      <c r="I7393" s="239"/>
    </row>
    <row r="7394" spans="6:9" x14ac:dyDescent="0.35">
      <c r="F7394" s="33"/>
      <c r="G7394" s="70"/>
      <c r="H7394" s="400"/>
      <c r="I7394" s="239"/>
    </row>
    <row r="7395" spans="6:9" x14ac:dyDescent="0.35">
      <c r="F7395" s="33"/>
      <c r="G7395" s="70"/>
      <c r="H7395" s="400"/>
      <c r="I7395" s="239"/>
    </row>
    <row r="7396" spans="6:9" x14ac:dyDescent="0.35">
      <c r="F7396" s="33"/>
      <c r="G7396" s="70"/>
      <c r="H7396" s="400"/>
      <c r="I7396" s="239"/>
    </row>
    <row r="7397" spans="6:9" x14ac:dyDescent="0.35">
      <c r="F7397" s="33"/>
      <c r="G7397" s="70"/>
      <c r="H7397" s="400"/>
      <c r="I7397" s="239"/>
    </row>
    <row r="7398" spans="6:9" x14ac:dyDescent="0.35">
      <c r="F7398" s="33"/>
      <c r="G7398" s="70"/>
      <c r="H7398" s="400"/>
      <c r="I7398" s="239"/>
    </row>
    <row r="7399" spans="6:9" x14ac:dyDescent="0.35">
      <c r="F7399" s="33"/>
      <c r="G7399" s="70"/>
      <c r="H7399" s="400"/>
      <c r="I7399" s="239"/>
    </row>
    <row r="7400" spans="6:9" x14ac:dyDescent="0.35">
      <c r="F7400" s="33"/>
      <c r="G7400" s="70"/>
      <c r="H7400" s="400"/>
      <c r="I7400" s="239"/>
    </row>
    <row r="7401" spans="6:9" x14ac:dyDescent="0.35">
      <c r="F7401" s="33"/>
      <c r="G7401" s="70"/>
      <c r="H7401" s="400"/>
      <c r="I7401" s="239"/>
    </row>
    <row r="7402" spans="6:9" x14ac:dyDescent="0.35">
      <c r="F7402" s="33"/>
      <c r="G7402" s="70"/>
      <c r="H7402" s="400"/>
      <c r="I7402" s="239"/>
    </row>
    <row r="7403" spans="6:9" x14ac:dyDescent="0.35">
      <c r="F7403" s="33"/>
      <c r="G7403" s="70"/>
      <c r="H7403" s="400"/>
      <c r="I7403" s="239"/>
    </row>
    <row r="7404" spans="6:9" x14ac:dyDescent="0.35">
      <c r="F7404" s="33"/>
      <c r="G7404" s="70"/>
      <c r="H7404" s="400"/>
      <c r="I7404" s="239"/>
    </row>
    <row r="7405" spans="6:9" x14ac:dyDescent="0.35">
      <c r="F7405" s="33"/>
      <c r="G7405" s="70"/>
      <c r="H7405" s="400"/>
      <c r="I7405" s="239"/>
    </row>
    <row r="7406" spans="6:9" x14ac:dyDescent="0.35">
      <c r="F7406" s="33"/>
      <c r="G7406" s="70"/>
      <c r="H7406" s="400"/>
      <c r="I7406" s="239"/>
    </row>
    <row r="7407" spans="6:9" x14ac:dyDescent="0.35">
      <c r="F7407" s="33"/>
      <c r="G7407" s="70"/>
      <c r="H7407" s="400"/>
      <c r="I7407" s="239"/>
    </row>
    <row r="7408" spans="6:9" x14ac:dyDescent="0.35">
      <c r="F7408" s="33"/>
      <c r="G7408" s="70"/>
      <c r="H7408" s="400"/>
      <c r="I7408" s="239"/>
    </row>
    <row r="7409" spans="6:9" x14ac:dyDescent="0.35">
      <c r="F7409" s="33"/>
      <c r="G7409" s="70"/>
      <c r="H7409" s="400"/>
      <c r="I7409" s="239"/>
    </row>
    <row r="7410" spans="6:9" x14ac:dyDescent="0.35">
      <c r="F7410" s="33"/>
      <c r="G7410" s="70"/>
      <c r="H7410" s="400"/>
      <c r="I7410" s="239"/>
    </row>
    <row r="7411" spans="6:9" x14ac:dyDescent="0.35">
      <c r="F7411" s="33"/>
      <c r="G7411" s="70"/>
      <c r="H7411" s="400"/>
      <c r="I7411" s="239"/>
    </row>
    <row r="7412" spans="6:9" x14ac:dyDescent="0.35">
      <c r="F7412" s="33"/>
      <c r="G7412" s="70"/>
      <c r="H7412" s="400"/>
      <c r="I7412" s="239"/>
    </row>
    <row r="7413" spans="6:9" x14ac:dyDescent="0.35">
      <c r="F7413" s="33"/>
      <c r="G7413" s="70"/>
      <c r="H7413" s="400"/>
      <c r="I7413" s="239"/>
    </row>
    <row r="7414" spans="6:9" x14ac:dyDescent="0.35">
      <c r="F7414" s="33"/>
      <c r="G7414" s="70"/>
      <c r="H7414" s="400"/>
      <c r="I7414" s="239"/>
    </row>
    <row r="7415" spans="6:9" x14ac:dyDescent="0.35">
      <c r="F7415" s="33"/>
      <c r="G7415" s="70"/>
      <c r="H7415" s="400"/>
      <c r="I7415" s="239"/>
    </row>
    <row r="7416" spans="6:9" x14ac:dyDescent="0.35">
      <c r="F7416" s="33"/>
      <c r="G7416" s="70"/>
      <c r="H7416" s="400"/>
      <c r="I7416" s="239"/>
    </row>
    <row r="7417" spans="6:9" x14ac:dyDescent="0.35">
      <c r="F7417" s="33"/>
      <c r="G7417" s="70"/>
      <c r="H7417" s="400"/>
      <c r="I7417" s="239"/>
    </row>
    <row r="7418" spans="6:9" x14ac:dyDescent="0.35">
      <c r="F7418" s="33"/>
      <c r="G7418" s="70"/>
      <c r="H7418" s="400"/>
      <c r="I7418" s="239"/>
    </row>
    <row r="7419" spans="6:9" x14ac:dyDescent="0.35">
      <c r="F7419" s="33"/>
      <c r="G7419" s="70"/>
      <c r="H7419" s="400"/>
      <c r="I7419" s="239"/>
    </row>
    <row r="7420" spans="6:9" x14ac:dyDescent="0.35">
      <c r="F7420" s="33"/>
      <c r="G7420" s="70"/>
      <c r="H7420" s="400"/>
      <c r="I7420" s="239"/>
    </row>
    <row r="7421" spans="6:9" x14ac:dyDescent="0.35">
      <c r="F7421" s="33"/>
      <c r="G7421" s="70"/>
      <c r="H7421" s="400"/>
      <c r="I7421" s="239"/>
    </row>
    <row r="7422" spans="6:9" x14ac:dyDescent="0.35">
      <c r="F7422" s="33"/>
      <c r="G7422" s="70"/>
      <c r="H7422" s="400"/>
      <c r="I7422" s="239"/>
    </row>
    <row r="7423" spans="6:9" x14ac:dyDescent="0.35">
      <c r="F7423" s="33"/>
      <c r="G7423" s="70"/>
      <c r="H7423" s="400"/>
      <c r="I7423" s="239"/>
    </row>
    <row r="7424" spans="6:9" x14ac:dyDescent="0.35">
      <c r="F7424" s="33"/>
      <c r="G7424" s="70"/>
      <c r="H7424" s="400"/>
      <c r="I7424" s="239"/>
    </row>
    <row r="7425" spans="6:9" x14ac:dyDescent="0.35">
      <c r="F7425" s="33"/>
      <c r="G7425" s="70"/>
      <c r="H7425" s="400"/>
      <c r="I7425" s="239"/>
    </row>
    <row r="7426" spans="6:9" x14ac:dyDescent="0.35">
      <c r="F7426" s="33"/>
      <c r="G7426" s="70"/>
      <c r="H7426" s="400"/>
      <c r="I7426" s="239"/>
    </row>
    <row r="7427" spans="6:9" x14ac:dyDescent="0.35">
      <c r="F7427" s="33"/>
      <c r="G7427" s="70"/>
      <c r="H7427" s="400"/>
      <c r="I7427" s="239"/>
    </row>
    <row r="7428" spans="6:9" x14ac:dyDescent="0.35">
      <c r="F7428" s="33"/>
      <c r="G7428" s="70"/>
      <c r="H7428" s="400"/>
      <c r="I7428" s="239"/>
    </row>
    <row r="7429" spans="6:9" x14ac:dyDescent="0.35">
      <c r="F7429" s="33"/>
      <c r="G7429" s="70"/>
      <c r="H7429" s="400"/>
      <c r="I7429" s="239"/>
    </row>
    <row r="7430" spans="6:9" x14ac:dyDescent="0.35">
      <c r="F7430" s="33"/>
      <c r="G7430" s="70"/>
      <c r="H7430" s="400"/>
      <c r="I7430" s="239"/>
    </row>
    <row r="7431" spans="6:9" x14ac:dyDescent="0.35">
      <c r="F7431" s="33"/>
      <c r="G7431" s="70"/>
      <c r="H7431" s="400"/>
      <c r="I7431" s="239"/>
    </row>
    <row r="7432" spans="6:9" x14ac:dyDescent="0.35">
      <c r="F7432" s="33"/>
      <c r="G7432" s="70"/>
      <c r="H7432" s="400"/>
      <c r="I7432" s="239"/>
    </row>
    <row r="7433" spans="6:9" x14ac:dyDescent="0.35">
      <c r="F7433" s="33"/>
      <c r="G7433" s="70"/>
      <c r="H7433" s="400"/>
      <c r="I7433" s="239"/>
    </row>
    <row r="7434" spans="6:9" x14ac:dyDescent="0.35">
      <c r="F7434" s="33"/>
      <c r="G7434" s="70"/>
      <c r="H7434" s="400"/>
      <c r="I7434" s="239"/>
    </row>
    <row r="7435" spans="6:9" x14ac:dyDescent="0.35">
      <c r="F7435" s="33"/>
      <c r="G7435" s="70"/>
      <c r="H7435" s="400"/>
      <c r="I7435" s="239"/>
    </row>
    <row r="7436" spans="6:9" x14ac:dyDescent="0.35">
      <c r="F7436" s="33"/>
      <c r="G7436" s="70"/>
      <c r="H7436" s="400"/>
      <c r="I7436" s="239"/>
    </row>
    <row r="7437" spans="6:9" x14ac:dyDescent="0.35">
      <c r="F7437" s="33"/>
      <c r="G7437" s="70"/>
      <c r="H7437" s="400"/>
      <c r="I7437" s="239"/>
    </row>
    <row r="7438" spans="6:9" x14ac:dyDescent="0.35">
      <c r="F7438" s="33"/>
      <c r="G7438" s="70"/>
      <c r="H7438" s="400"/>
      <c r="I7438" s="239"/>
    </row>
    <row r="7439" spans="6:9" x14ac:dyDescent="0.35">
      <c r="F7439" s="33"/>
      <c r="G7439" s="70"/>
      <c r="H7439" s="400"/>
      <c r="I7439" s="239"/>
    </row>
    <row r="7440" spans="6:9" x14ac:dyDescent="0.35">
      <c r="F7440" s="33"/>
      <c r="G7440" s="70"/>
      <c r="H7440" s="400"/>
      <c r="I7440" s="239"/>
    </row>
    <row r="7441" spans="6:9" x14ac:dyDescent="0.35">
      <c r="F7441" s="33"/>
      <c r="G7441" s="70"/>
      <c r="H7441" s="400"/>
      <c r="I7441" s="239"/>
    </row>
    <row r="7442" spans="6:9" x14ac:dyDescent="0.35">
      <c r="F7442" s="33"/>
      <c r="G7442" s="70"/>
      <c r="H7442" s="400"/>
      <c r="I7442" s="239"/>
    </row>
    <row r="7443" spans="6:9" x14ac:dyDescent="0.35">
      <c r="F7443" s="33"/>
      <c r="G7443" s="70"/>
      <c r="H7443" s="400"/>
      <c r="I7443" s="239"/>
    </row>
    <row r="7444" spans="6:9" x14ac:dyDescent="0.35">
      <c r="F7444" s="33"/>
      <c r="G7444" s="70"/>
      <c r="H7444" s="400"/>
      <c r="I7444" s="239"/>
    </row>
    <row r="7445" spans="6:9" x14ac:dyDescent="0.35">
      <c r="F7445" s="33"/>
      <c r="G7445" s="70"/>
      <c r="H7445" s="400"/>
      <c r="I7445" s="239"/>
    </row>
    <row r="7446" spans="6:9" x14ac:dyDescent="0.35">
      <c r="F7446" s="33"/>
      <c r="G7446" s="70"/>
      <c r="H7446" s="400"/>
      <c r="I7446" s="239"/>
    </row>
    <row r="7447" spans="6:9" x14ac:dyDescent="0.35">
      <c r="F7447" s="33"/>
      <c r="G7447" s="70"/>
      <c r="H7447" s="400"/>
      <c r="I7447" s="239"/>
    </row>
    <row r="7448" spans="6:9" x14ac:dyDescent="0.35">
      <c r="F7448" s="33"/>
      <c r="G7448" s="70"/>
      <c r="H7448" s="400"/>
      <c r="I7448" s="239"/>
    </row>
    <row r="7449" spans="6:9" x14ac:dyDescent="0.35">
      <c r="F7449" s="33"/>
      <c r="G7449" s="70"/>
      <c r="H7449" s="400"/>
      <c r="I7449" s="239"/>
    </row>
    <row r="7450" spans="6:9" x14ac:dyDescent="0.35">
      <c r="F7450" s="33"/>
      <c r="G7450" s="70"/>
      <c r="H7450" s="400"/>
      <c r="I7450" s="239"/>
    </row>
    <row r="7451" spans="6:9" x14ac:dyDescent="0.35">
      <c r="F7451" s="33"/>
      <c r="G7451" s="70"/>
      <c r="H7451" s="400"/>
      <c r="I7451" s="239"/>
    </row>
    <row r="7452" spans="6:9" x14ac:dyDescent="0.35">
      <c r="F7452" s="33"/>
      <c r="G7452" s="70"/>
      <c r="H7452" s="400"/>
      <c r="I7452" s="239"/>
    </row>
    <row r="7453" spans="6:9" x14ac:dyDescent="0.35">
      <c r="F7453" s="33"/>
      <c r="G7453" s="70"/>
      <c r="H7453" s="400"/>
      <c r="I7453" s="239"/>
    </row>
    <row r="7454" spans="6:9" x14ac:dyDescent="0.35">
      <c r="F7454" s="33"/>
      <c r="G7454" s="70"/>
      <c r="H7454" s="400"/>
      <c r="I7454" s="239"/>
    </row>
    <row r="7455" spans="6:9" x14ac:dyDescent="0.35">
      <c r="F7455" s="33"/>
      <c r="G7455" s="70"/>
      <c r="H7455" s="400"/>
      <c r="I7455" s="239"/>
    </row>
    <row r="7456" spans="6:9" x14ac:dyDescent="0.35">
      <c r="F7456" s="33"/>
      <c r="G7456" s="70"/>
      <c r="H7456" s="400"/>
      <c r="I7456" s="239"/>
    </row>
    <row r="7457" spans="6:9" x14ac:dyDescent="0.35">
      <c r="F7457" s="33"/>
      <c r="G7457" s="70"/>
      <c r="H7457" s="400"/>
      <c r="I7457" s="239"/>
    </row>
    <row r="7458" spans="6:9" x14ac:dyDescent="0.35">
      <c r="F7458" s="33"/>
      <c r="G7458" s="70"/>
      <c r="H7458" s="400"/>
      <c r="I7458" s="239"/>
    </row>
    <row r="7459" spans="6:9" x14ac:dyDescent="0.35">
      <c r="F7459" s="33"/>
      <c r="G7459" s="70"/>
      <c r="H7459" s="400"/>
      <c r="I7459" s="239"/>
    </row>
    <row r="7460" spans="6:9" x14ac:dyDescent="0.35">
      <c r="F7460" s="33"/>
      <c r="G7460" s="70"/>
      <c r="H7460" s="400"/>
      <c r="I7460" s="239"/>
    </row>
    <row r="7461" spans="6:9" x14ac:dyDescent="0.35">
      <c r="F7461" s="33"/>
      <c r="G7461" s="70"/>
      <c r="H7461" s="400"/>
      <c r="I7461" s="239"/>
    </row>
    <row r="7462" spans="6:9" x14ac:dyDescent="0.35">
      <c r="F7462" s="33"/>
      <c r="G7462" s="70"/>
      <c r="H7462" s="400"/>
      <c r="I7462" s="239"/>
    </row>
    <row r="7463" spans="6:9" x14ac:dyDescent="0.35">
      <c r="F7463" s="33"/>
      <c r="G7463" s="70"/>
      <c r="H7463" s="400"/>
      <c r="I7463" s="239"/>
    </row>
    <row r="7464" spans="6:9" x14ac:dyDescent="0.35">
      <c r="F7464" s="33"/>
      <c r="G7464" s="70"/>
      <c r="H7464" s="400"/>
      <c r="I7464" s="239"/>
    </row>
    <row r="7465" spans="6:9" x14ac:dyDescent="0.35">
      <c r="F7465" s="33"/>
      <c r="G7465" s="70"/>
      <c r="H7465" s="400"/>
      <c r="I7465" s="239"/>
    </row>
    <row r="7466" spans="6:9" x14ac:dyDescent="0.35">
      <c r="F7466" s="33"/>
      <c r="G7466" s="70"/>
      <c r="H7466" s="400"/>
      <c r="I7466" s="239"/>
    </row>
    <row r="7467" spans="6:9" x14ac:dyDescent="0.35">
      <c r="F7467" s="33"/>
      <c r="G7467" s="70"/>
      <c r="H7467" s="400"/>
      <c r="I7467" s="239"/>
    </row>
    <row r="7468" spans="6:9" x14ac:dyDescent="0.35">
      <c r="F7468" s="33"/>
      <c r="G7468" s="70"/>
      <c r="H7468" s="400"/>
      <c r="I7468" s="239"/>
    </row>
    <row r="7469" spans="6:9" x14ac:dyDescent="0.35">
      <c r="F7469" s="33"/>
      <c r="G7469" s="70"/>
      <c r="H7469" s="400"/>
      <c r="I7469" s="239"/>
    </row>
    <row r="7470" spans="6:9" x14ac:dyDescent="0.35">
      <c r="F7470" s="33"/>
      <c r="G7470" s="70"/>
      <c r="H7470" s="400"/>
      <c r="I7470" s="239"/>
    </row>
    <row r="7471" spans="6:9" x14ac:dyDescent="0.35">
      <c r="F7471" s="33"/>
      <c r="G7471" s="70"/>
      <c r="H7471" s="400"/>
      <c r="I7471" s="239"/>
    </row>
    <row r="7472" spans="6:9" x14ac:dyDescent="0.35">
      <c r="F7472" s="33"/>
      <c r="G7472" s="70"/>
      <c r="H7472" s="400"/>
      <c r="I7472" s="239"/>
    </row>
    <row r="7473" spans="6:9" x14ac:dyDescent="0.35">
      <c r="F7473" s="33"/>
      <c r="G7473" s="70"/>
      <c r="H7473" s="400"/>
      <c r="I7473" s="239"/>
    </row>
    <row r="7474" spans="6:9" x14ac:dyDescent="0.35">
      <c r="F7474" s="33"/>
      <c r="G7474" s="70"/>
      <c r="H7474" s="400"/>
      <c r="I7474" s="239"/>
    </row>
    <row r="7475" spans="6:9" x14ac:dyDescent="0.35">
      <c r="F7475" s="33"/>
      <c r="G7475" s="70"/>
      <c r="H7475" s="400"/>
      <c r="I7475" s="239"/>
    </row>
    <row r="7476" spans="6:9" x14ac:dyDescent="0.35">
      <c r="F7476" s="33"/>
      <c r="G7476" s="70"/>
      <c r="H7476" s="400"/>
      <c r="I7476" s="239"/>
    </row>
    <row r="7477" spans="6:9" x14ac:dyDescent="0.35">
      <c r="F7477" s="33"/>
      <c r="G7477" s="70"/>
      <c r="H7477" s="400"/>
      <c r="I7477" s="239"/>
    </row>
    <row r="7478" spans="6:9" x14ac:dyDescent="0.35">
      <c r="F7478" s="33"/>
      <c r="G7478" s="70"/>
      <c r="H7478" s="400"/>
      <c r="I7478" s="239"/>
    </row>
    <row r="7479" spans="6:9" x14ac:dyDescent="0.35">
      <c r="F7479" s="33"/>
      <c r="G7479" s="70"/>
      <c r="H7479" s="400"/>
      <c r="I7479" s="239"/>
    </row>
    <row r="7480" spans="6:9" x14ac:dyDescent="0.35">
      <c r="F7480" s="33"/>
      <c r="G7480" s="70"/>
      <c r="H7480" s="400"/>
      <c r="I7480" s="239"/>
    </row>
    <row r="7481" spans="6:9" x14ac:dyDescent="0.35">
      <c r="F7481" s="33"/>
      <c r="G7481" s="70"/>
      <c r="H7481" s="400"/>
      <c r="I7481" s="239"/>
    </row>
    <row r="7482" spans="6:9" x14ac:dyDescent="0.35">
      <c r="F7482" s="33"/>
      <c r="G7482" s="70"/>
      <c r="H7482" s="400"/>
      <c r="I7482" s="239"/>
    </row>
    <row r="7483" spans="6:9" x14ac:dyDescent="0.35">
      <c r="F7483" s="33"/>
      <c r="G7483" s="70"/>
      <c r="H7483" s="400"/>
      <c r="I7483" s="239"/>
    </row>
    <row r="7484" spans="6:9" x14ac:dyDescent="0.35">
      <c r="F7484" s="33"/>
      <c r="G7484" s="70"/>
      <c r="H7484" s="400"/>
      <c r="I7484" s="239"/>
    </row>
    <row r="7485" spans="6:9" x14ac:dyDescent="0.35">
      <c r="F7485" s="33"/>
      <c r="G7485" s="70"/>
      <c r="H7485" s="400"/>
      <c r="I7485" s="239"/>
    </row>
    <row r="7486" spans="6:9" x14ac:dyDescent="0.35">
      <c r="F7486" s="33"/>
      <c r="G7486" s="70"/>
      <c r="H7486" s="400"/>
      <c r="I7486" s="239"/>
    </row>
    <row r="7487" spans="6:9" x14ac:dyDescent="0.35">
      <c r="F7487" s="33"/>
      <c r="G7487" s="70"/>
      <c r="H7487" s="400"/>
      <c r="I7487" s="239"/>
    </row>
    <row r="7488" spans="6:9" x14ac:dyDescent="0.35">
      <c r="F7488" s="33"/>
      <c r="G7488" s="70"/>
      <c r="H7488" s="400"/>
      <c r="I7488" s="239"/>
    </row>
    <row r="7489" spans="6:9" x14ac:dyDescent="0.35">
      <c r="F7489" s="33"/>
      <c r="G7489" s="70"/>
      <c r="H7489" s="400"/>
      <c r="I7489" s="239"/>
    </row>
    <row r="7490" spans="6:9" x14ac:dyDescent="0.35">
      <c r="F7490" s="33"/>
      <c r="G7490" s="70"/>
      <c r="H7490" s="400"/>
      <c r="I7490" s="239"/>
    </row>
    <row r="7491" spans="6:9" x14ac:dyDescent="0.35">
      <c r="F7491" s="33"/>
      <c r="G7491" s="70"/>
      <c r="H7491" s="400"/>
      <c r="I7491" s="239"/>
    </row>
    <row r="7492" spans="6:9" x14ac:dyDescent="0.35">
      <c r="F7492" s="33"/>
      <c r="G7492" s="70"/>
      <c r="H7492" s="400"/>
      <c r="I7492" s="239"/>
    </row>
    <row r="7493" spans="6:9" x14ac:dyDescent="0.35">
      <c r="F7493" s="33"/>
      <c r="G7493" s="70"/>
      <c r="H7493" s="400"/>
      <c r="I7493" s="239"/>
    </row>
    <row r="7494" spans="6:9" x14ac:dyDescent="0.35">
      <c r="F7494" s="33"/>
      <c r="G7494" s="70"/>
      <c r="H7494" s="400"/>
      <c r="I7494" s="239"/>
    </row>
    <row r="7495" spans="6:9" x14ac:dyDescent="0.35">
      <c r="F7495" s="33"/>
      <c r="G7495" s="70"/>
      <c r="H7495" s="400"/>
      <c r="I7495" s="239"/>
    </row>
    <row r="7496" spans="6:9" x14ac:dyDescent="0.35">
      <c r="F7496" s="33"/>
      <c r="G7496" s="70"/>
      <c r="H7496" s="400"/>
      <c r="I7496" s="239"/>
    </row>
    <row r="7497" spans="6:9" x14ac:dyDescent="0.35">
      <c r="F7497" s="33"/>
      <c r="G7497" s="70"/>
      <c r="H7497" s="400"/>
      <c r="I7497" s="239"/>
    </row>
    <row r="7498" spans="6:9" x14ac:dyDescent="0.35">
      <c r="F7498" s="33"/>
      <c r="G7498" s="70"/>
      <c r="H7498" s="400"/>
      <c r="I7498" s="239"/>
    </row>
    <row r="7499" spans="6:9" x14ac:dyDescent="0.35">
      <c r="F7499" s="33"/>
      <c r="G7499" s="70"/>
      <c r="H7499" s="400"/>
      <c r="I7499" s="239"/>
    </row>
    <row r="7500" spans="6:9" x14ac:dyDescent="0.35">
      <c r="F7500" s="33"/>
      <c r="G7500" s="70"/>
      <c r="H7500" s="400"/>
      <c r="I7500" s="239"/>
    </row>
    <row r="7501" spans="6:9" x14ac:dyDescent="0.35">
      <c r="F7501" s="33"/>
      <c r="G7501" s="70"/>
      <c r="H7501" s="400"/>
      <c r="I7501" s="239"/>
    </row>
    <row r="7502" spans="6:9" x14ac:dyDescent="0.35">
      <c r="F7502" s="33"/>
      <c r="G7502" s="70"/>
      <c r="H7502" s="400"/>
      <c r="I7502" s="239"/>
    </row>
    <row r="7503" spans="6:9" x14ac:dyDescent="0.35">
      <c r="F7503" s="33"/>
      <c r="G7503" s="70"/>
      <c r="H7503" s="400"/>
      <c r="I7503" s="239"/>
    </row>
    <row r="7504" spans="6:9" x14ac:dyDescent="0.35">
      <c r="F7504" s="33"/>
      <c r="G7504" s="70"/>
      <c r="H7504" s="400"/>
      <c r="I7504" s="239"/>
    </row>
    <row r="7505" spans="6:9" x14ac:dyDescent="0.35">
      <c r="F7505" s="33"/>
      <c r="G7505" s="70"/>
      <c r="H7505" s="400"/>
      <c r="I7505" s="239"/>
    </row>
    <row r="7506" spans="6:9" x14ac:dyDescent="0.35">
      <c r="F7506" s="33"/>
      <c r="G7506" s="70"/>
      <c r="H7506" s="400"/>
      <c r="I7506" s="239"/>
    </row>
    <row r="7507" spans="6:9" x14ac:dyDescent="0.35">
      <c r="F7507" s="33"/>
      <c r="G7507" s="70"/>
      <c r="H7507" s="400"/>
      <c r="I7507" s="239"/>
    </row>
    <row r="7508" spans="6:9" x14ac:dyDescent="0.35">
      <c r="F7508" s="33"/>
      <c r="G7508" s="70"/>
      <c r="H7508" s="400"/>
      <c r="I7508" s="239"/>
    </row>
    <row r="7509" spans="6:9" x14ac:dyDescent="0.35">
      <c r="F7509" s="33"/>
      <c r="G7509" s="70"/>
      <c r="H7509" s="400"/>
      <c r="I7509" s="239"/>
    </row>
    <row r="7510" spans="6:9" x14ac:dyDescent="0.35">
      <c r="F7510" s="33"/>
      <c r="G7510" s="70"/>
      <c r="H7510" s="400"/>
      <c r="I7510" s="239"/>
    </row>
    <row r="7511" spans="6:9" x14ac:dyDescent="0.35">
      <c r="F7511" s="33"/>
      <c r="G7511" s="70"/>
      <c r="H7511" s="400"/>
      <c r="I7511" s="239"/>
    </row>
    <row r="7512" spans="6:9" x14ac:dyDescent="0.35">
      <c r="F7512" s="33"/>
      <c r="G7512" s="70"/>
      <c r="H7512" s="400"/>
      <c r="I7512" s="239"/>
    </row>
    <row r="7513" spans="6:9" x14ac:dyDescent="0.35">
      <c r="F7513" s="33"/>
      <c r="G7513" s="70"/>
      <c r="H7513" s="400"/>
      <c r="I7513" s="239"/>
    </row>
    <row r="7514" spans="6:9" x14ac:dyDescent="0.35">
      <c r="F7514" s="33"/>
      <c r="G7514" s="70"/>
      <c r="H7514" s="400"/>
      <c r="I7514" s="239"/>
    </row>
    <row r="7515" spans="6:9" x14ac:dyDescent="0.35">
      <c r="F7515" s="33"/>
      <c r="G7515" s="70"/>
      <c r="H7515" s="400"/>
      <c r="I7515" s="239"/>
    </row>
    <row r="7516" spans="6:9" x14ac:dyDescent="0.35">
      <c r="F7516" s="33"/>
      <c r="G7516" s="70"/>
      <c r="H7516" s="400"/>
      <c r="I7516" s="239"/>
    </row>
    <row r="7517" spans="6:9" x14ac:dyDescent="0.35">
      <c r="F7517" s="33"/>
      <c r="G7517" s="70"/>
      <c r="H7517" s="400"/>
      <c r="I7517" s="239"/>
    </row>
    <row r="7518" spans="6:9" x14ac:dyDescent="0.35">
      <c r="F7518" s="33"/>
      <c r="G7518" s="70"/>
      <c r="H7518" s="400"/>
      <c r="I7518" s="239"/>
    </row>
    <row r="7519" spans="6:9" x14ac:dyDescent="0.35">
      <c r="F7519" s="33"/>
      <c r="G7519" s="70"/>
      <c r="H7519" s="400"/>
      <c r="I7519" s="239"/>
    </row>
    <row r="7520" spans="6:9" x14ac:dyDescent="0.35">
      <c r="F7520" s="33"/>
      <c r="G7520" s="70"/>
      <c r="H7520" s="400"/>
      <c r="I7520" s="239"/>
    </row>
    <row r="7521" spans="6:9" x14ac:dyDescent="0.35">
      <c r="F7521" s="33"/>
      <c r="G7521" s="70"/>
      <c r="H7521" s="400"/>
      <c r="I7521" s="239"/>
    </row>
    <row r="7522" spans="6:9" x14ac:dyDescent="0.35">
      <c r="F7522" s="33"/>
      <c r="G7522" s="70"/>
      <c r="H7522" s="400"/>
      <c r="I7522" s="239"/>
    </row>
    <row r="7523" spans="6:9" x14ac:dyDescent="0.35">
      <c r="F7523" s="33"/>
      <c r="G7523" s="70"/>
      <c r="H7523" s="400"/>
      <c r="I7523" s="239"/>
    </row>
    <row r="7524" spans="6:9" x14ac:dyDescent="0.35">
      <c r="F7524" s="33"/>
      <c r="G7524" s="70"/>
      <c r="H7524" s="400"/>
      <c r="I7524" s="239"/>
    </row>
    <row r="7525" spans="6:9" x14ac:dyDescent="0.35">
      <c r="F7525" s="33"/>
      <c r="G7525" s="70"/>
      <c r="H7525" s="400"/>
      <c r="I7525" s="239"/>
    </row>
    <row r="7526" spans="6:9" x14ac:dyDescent="0.35">
      <c r="F7526" s="33"/>
      <c r="G7526" s="70"/>
      <c r="H7526" s="400"/>
      <c r="I7526" s="239"/>
    </row>
    <row r="7527" spans="6:9" x14ac:dyDescent="0.35">
      <c r="F7527" s="33"/>
      <c r="G7527" s="70"/>
      <c r="H7527" s="400"/>
      <c r="I7527" s="239"/>
    </row>
    <row r="7528" spans="6:9" x14ac:dyDescent="0.35">
      <c r="F7528" s="33"/>
      <c r="G7528" s="70"/>
      <c r="H7528" s="400"/>
      <c r="I7528" s="239"/>
    </row>
    <row r="7529" spans="6:9" x14ac:dyDescent="0.35">
      <c r="F7529" s="33"/>
      <c r="G7529" s="70"/>
      <c r="H7529" s="400"/>
      <c r="I7529" s="239"/>
    </row>
    <row r="7530" spans="6:9" x14ac:dyDescent="0.35">
      <c r="F7530" s="33"/>
      <c r="G7530" s="70"/>
      <c r="H7530" s="400"/>
      <c r="I7530" s="239"/>
    </row>
    <row r="7531" spans="6:9" x14ac:dyDescent="0.35">
      <c r="F7531" s="33"/>
      <c r="G7531" s="70"/>
      <c r="H7531" s="400"/>
      <c r="I7531" s="239"/>
    </row>
    <row r="7532" spans="6:9" x14ac:dyDescent="0.35">
      <c r="F7532" s="33"/>
      <c r="G7532" s="70"/>
      <c r="H7532" s="400"/>
      <c r="I7532" s="239"/>
    </row>
    <row r="7533" spans="6:9" x14ac:dyDescent="0.35">
      <c r="F7533" s="33"/>
      <c r="G7533" s="70"/>
      <c r="H7533" s="400"/>
      <c r="I7533" s="239"/>
    </row>
    <row r="7534" spans="6:9" x14ac:dyDescent="0.35">
      <c r="F7534" s="33"/>
      <c r="G7534" s="70"/>
      <c r="H7534" s="400"/>
      <c r="I7534" s="239"/>
    </row>
    <row r="7535" spans="6:9" x14ac:dyDescent="0.35">
      <c r="F7535" s="33"/>
      <c r="G7535" s="70"/>
      <c r="H7535" s="400"/>
      <c r="I7535" s="239"/>
    </row>
    <row r="7536" spans="6:9" x14ac:dyDescent="0.35">
      <c r="F7536" s="33"/>
      <c r="G7536" s="70"/>
      <c r="H7536" s="400"/>
      <c r="I7536" s="239"/>
    </row>
    <row r="7537" spans="6:9" x14ac:dyDescent="0.35">
      <c r="F7537" s="33"/>
      <c r="G7537" s="70"/>
      <c r="H7537" s="400"/>
      <c r="I7537" s="239"/>
    </row>
    <row r="7538" spans="6:9" x14ac:dyDescent="0.35">
      <c r="F7538" s="33"/>
      <c r="G7538" s="70"/>
      <c r="H7538" s="400"/>
      <c r="I7538" s="239"/>
    </row>
    <row r="7539" spans="6:9" x14ac:dyDescent="0.35">
      <c r="F7539" s="33"/>
      <c r="G7539" s="70"/>
      <c r="H7539" s="400"/>
      <c r="I7539" s="239"/>
    </row>
    <row r="7540" spans="6:9" x14ac:dyDescent="0.35">
      <c r="F7540" s="33"/>
      <c r="G7540" s="70"/>
      <c r="H7540" s="400"/>
      <c r="I7540" s="239"/>
    </row>
    <row r="7541" spans="6:9" x14ac:dyDescent="0.35">
      <c r="F7541" s="33"/>
      <c r="G7541" s="70"/>
      <c r="H7541" s="400"/>
      <c r="I7541" s="239"/>
    </row>
    <row r="7542" spans="6:9" x14ac:dyDescent="0.35">
      <c r="F7542" s="33"/>
      <c r="G7542" s="70"/>
      <c r="H7542" s="400"/>
      <c r="I7542" s="239"/>
    </row>
    <row r="7543" spans="6:9" x14ac:dyDescent="0.35">
      <c r="F7543" s="33"/>
      <c r="G7543" s="70"/>
      <c r="H7543" s="400"/>
      <c r="I7543" s="239"/>
    </row>
    <row r="7544" spans="6:9" x14ac:dyDescent="0.35">
      <c r="F7544" s="33"/>
      <c r="G7544" s="70"/>
      <c r="H7544" s="400"/>
      <c r="I7544" s="239"/>
    </row>
    <row r="7545" spans="6:9" x14ac:dyDescent="0.35">
      <c r="F7545" s="33"/>
      <c r="G7545" s="70"/>
      <c r="H7545" s="400"/>
      <c r="I7545" s="239"/>
    </row>
    <row r="7546" spans="6:9" x14ac:dyDescent="0.35">
      <c r="F7546" s="33"/>
      <c r="G7546" s="70"/>
      <c r="H7546" s="400"/>
      <c r="I7546" s="239"/>
    </row>
    <row r="7547" spans="6:9" x14ac:dyDescent="0.35">
      <c r="F7547" s="33"/>
      <c r="G7547" s="70"/>
      <c r="H7547" s="400"/>
      <c r="I7547" s="239"/>
    </row>
    <row r="7548" spans="6:9" x14ac:dyDescent="0.35">
      <c r="F7548" s="33"/>
      <c r="G7548" s="70"/>
      <c r="H7548" s="400"/>
      <c r="I7548" s="239"/>
    </row>
    <row r="7549" spans="6:9" x14ac:dyDescent="0.35">
      <c r="F7549" s="33"/>
      <c r="G7549" s="70"/>
      <c r="H7549" s="400"/>
      <c r="I7549" s="239"/>
    </row>
    <row r="7550" spans="6:9" x14ac:dyDescent="0.35">
      <c r="F7550" s="33"/>
      <c r="G7550" s="70"/>
      <c r="H7550" s="400"/>
      <c r="I7550" s="239"/>
    </row>
    <row r="7551" spans="6:9" x14ac:dyDescent="0.35">
      <c r="F7551" s="33"/>
      <c r="G7551" s="70"/>
      <c r="H7551" s="400"/>
      <c r="I7551" s="239"/>
    </row>
    <row r="7552" spans="6:9" x14ac:dyDescent="0.35">
      <c r="F7552" s="33"/>
      <c r="G7552" s="70"/>
      <c r="H7552" s="400"/>
      <c r="I7552" s="239"/>
    </row>
    <row r="7553" spans="6:9" x14ac:dyDescent="0.35">
      <c r="F7553" s="33"/>
      <c r="G7553" s="70"/>
      <c r="H7553" s="400"/>
      <c r="I7553" s="239"/>
    </row>
    <row r="7554" spans="6:9" x14ac:dyDescent="0.35">
      <c r="F7554" s="33"/>
      <c r="G7554" s="70"/>
      <c r="H7554" s="400"/>
      <c r="I7554" s="239"/>
    </row>
    <row r="7555" spans="6:9" x14ac:dyDescent="0.35">
      <c r="F7555" s="33"/>
      <c r="G7555" s="70"/>
      <c r="H7555" s="400"/>
      <c r="I7555" s="239"/>
    </row>
    <row r="7556" spans="6:9" x14ac:dyDescent="0.35">
      <c r="F7556" s="33"/>
      <c r="G7556" s="70"/>
      <c r="H7556" s="400"/>
      <c r="I7556" s="239"/>
    </row>
    <row r="7557" spans="6:9" x14ac:dyDescent="0.35">
      <c r="F7557" s="33"/>
      <c r="G7557" s="70"/>
      <c r="H7557" s="400"/>
      <c r="I7557" s="239"/>
    </row>
    <row r="7558" spans="6:9" x14ac:dyDescent="0.35">
      <c r="F7558" s="33"/>
      <c r="G7558" s="70"/>
      <c r="H7558" s="400"/>
      <c r="I7558" s="239"/>
    </row>
    <row r="7559" spans="6:9" x14ac:dyDescent="0.35">
      <c r="F7559" s="33"/>
      <c r="G7559" s="70"/>
      <c r="H7559" s="400"/>
      <c r="I7559" s="239"/>
    </row>
    <row r="7560" spans="6:9" x14ac:dyDescent="0.35">
      <c r="F7560" s="33"/>
      <c r="G7560" s="70"/>
      <c r="H7560" s="400"/>
      <c r="I7560" s="239"/>
    </row>
    <row r="7561" spans="6:9" x14ac:dyDescent="0.35">
      <c r="F7561" s="33"/>
      <c r="G7561" s="70"/>
      <c r="H7561" s="400"/>
      <c r="I7561" s="239"/>
    </row>
    <row r="7562" spans="6:9" x14ac:dyDescent="0.35">
      <c r="F7562" s="33"/>
      <c r="G7562" s="70"/>
      <c r="H7562" s="400"/>
      <c r="I7562" s="239"/>
    </row>
    <row r="7563" spans="6:9" x14ac:dyDescent="0.35">
      <c r="F7563" s="33"/>
      <c r="G7563" s="70"/>
      <c r="H7563" s="400"/>
      <c r="I7563" s="239"/>
    </row>
    <row r="7564" spans="6:9" x14ac:dyDescent="0.35">
      <c r="F7564" s="33"/>
      <c r="G7564" s="70"/>
      <c r="H7564" s="400"/>
      <c r="I7564" s="239"/>
    </row>
    <row r="7565" spans="6:9" x14ac:dyDescent="0.35">
      <c r="F7565" s="33"/>
      <c r="G7565" s="70"/>
      <c r="H7565" s="400"/>
      <c r="I7565" s="239"/>
    </row>
    <row r="7566" spans="6:9" x14ac:dyDescent="0.35">
      <c r="F7566" s="33"/>
      <c r="G7566" s="70"/>
      <c r="H7566" s="400"/>
      <c r="I7566" s="239"/>
    </row>
    <row r="7567" spans="6:9" x14ac:dyDescent="0.35">
      <c r="F7567" s="33"/>
      <c r="G7567" s="70"/>
      <c r="H7567" s="400"/>
      <c r="I7567" s="239"/>
    </row>
    <row r="7568" spans="6:9" x14ac:dyDescent="0.35">
      <c r="F7568" s="33"/>
      <c r="G7568" s="70"/>
      <c r="H7568" s="400"/>
      <c r="I7568" s="239"/>
    </row>
    <row r="7569" spans="6:9" x14ac:dyDescent="0.35">
      <c r="F7569" s="33"/>
      <c r="G7569" s="70"/>
      <c r="H7569" s="400"/>
      <c r="I7569" s="239"/>
    </row>
    <row r="7570" spans="6:9" x14ac:dyDescent="0.35">
      <c r="F7570" s="33"/>
      <c r="G7570" s="70"/>
      <c r="H7570" s="400"/>
      <c r="I7570" s="239"/>
    </row>
    <row r="7571" spans="6:9" x14ac:dyDescent="0.35">
      <c r="F7571" s="33"/>
      <c r="G7571" s="70"/>
      <c r="H7571" s="400"/>
      <c r="I7571" s="239"/>
    </row>
    <row r="7572" spans="6:9" x14ac:dyDescent="0.35">
      <c r="F7572" s="33"/>
      <c r="G7572" s="70"/>
      <c r="H7572" s="400"/>
      <c r="I7572" s="239"/>
    </row>
    <row r="7573" spans="6:9" x14ac:dyDescent="0.35">
      <c r="F7573" s="33"/>
      <c r="G7573" s="70"/>
      <c r="H7573" s="400"/>
      <c r="I7573" s="239"/>
    </row>
    <row r="7574" spans="6:9" x14ac:dyDescent="0.35">
      <c r="F7574" s="33"/>
      <c r="G7574" s="70"/>
      <c r="H7574" s="400"/>
      <c r="I7574" s="239"/>
    </row>
    <row r="7575" spans="6:9" x14ac:dyDescent="0.35">
      <c r="F7575" s="33"/>
      <c r="G7575" s="70"/>
      <c r="H7575" s="400"/>
      <c r="I7575" s="239"/>
    </row>
    <row r="7576" spans="6:9" x14ac:dyDescent="0.35">
      <c r="F7576" s="33"/>
      <c r="G7576" s="70"/>
      <c r="H7576" s="400"/>
      <c r="I7576" s="239"/>
    </row>
    <row r="7577" spans="6:9" x14ac:dyDescent="0.35">
      <c r="F7577" s="33"/>
      <c r="G7577" s="70"/>
      <c r="H7577" s="400"/>
      <c r="I7577" s="239"/>
    </row>
    <row r="7578" spans="6:9" x14ac:dyDescent="0.35">
      <c r="F7578" s="33"/>
      <c r="G7578" s="70"/>
      <c r="H7578" s="400"/>
      <c r="I7578" s="239"/>
    </row>
    <row r="7579" spans="6:9" x14ac:dyDescent="0.35">
      <c r="F7579" s="33"/>
      <c r="G7579" s="70"/>
      <c r="H7579" s="400"/>
      <c r="I7579" s="239"/>
    </row>
    <row r="7580" spans="6:9" x14ac:dyDescent="0.35">
      <c r="F7580" s="33"/>
      <c r="G7580" s="70"/>
      <c r="H7580" s="400"/>
      <c r="I7580" s="239"/>
    </row>
    <row r="7581" spans="6:9" x14ac:dyDescent="0.35">
      <c r="F7581" s="33"/>
      <c r="G7581" s="70"/>
      <c r="H7581" s="400"/>
      <c r="I7581" s="239"/>
    </row>
    <row r="7582" spans="6:9" x14ac:dyDescent="0.35">
      <c r="F7582" s="33"/>
      <c r="G7582" s="70"/>
      <c r="H7582" s="400"/>
      <c r="I7582" s="239"/>
    </row>
    <row r="7583" spans="6:9" x14ac:dyDescent="0.35">
      <c r="F7583" s="33"/>
      <c r="G7583" s="70"/>
      <c r="H7583" s="400"/>
      <c r="I7583" s="239"/>
    </row>
    <row r="7584" spans="6:9" x14ac:dyDescent="0.35">
      <c r="F7584" s="33"/>
      <c r="G7584" s="70"/>
      <c r="H7584" s="400"/>
      <c r="I7584" s="239"/>
    </row>
    <row r="7585" spans="6:9" x14ac:dyDescent="0.35">
      <c r="F7585" s="33"/>
      <c r="G7585" s="70"/>
      <c r="H7585" s="400"/>
      <c r="I7585" s="239"/>
    </row>
    <row r="7586" spans="6:9" x14ac:dyDescent="0.35">
      <c r="F7586" s="33"/>
      <c r="G7586" s="70"/>
      <c r="H7586" s="400"/>
      <c r="I7586" s="239"/>
    </row>
    <row r="7587" spans="6:9" x14ac:dyDescent="0.35">
      <c r="F7587" s="33"/>
      <c r="G7587" s="70"/>
      <c r="H7587" s="400"/>
      <c r="I7587" s="239"/>
    </row>
    <row r="7588" spans="6:9" x14ac:dyDescent="0.35">
      <c r="F7588" s="33"/>
      <c r="G7588" s="70"/>
      <c r="H7588" s="400"/>
      <c r="I7588" s="239"/>
    </row>
    <row r="7589" spans="6:9" x14ac:dyDescent="0.35">
      <c r="F7589" s="33"/>
      <c r="G7589" s="70"/>
      <c r="H7589" s="400"/>
      <c r="I7589" s="239"/>
    </row>
    <row r="7590" spans="6:9" x14ac:dyDescent="0.35">
      <c r="F7590" s="33"/>
      <c r="G7590" s="70"/>
      <c r="H7590" s="400"/>
      <c r="I7590" s="239"/>
    </row>
    <row r="7591" spans="6:9" x14ac:dyDescent="0.35">
      <c r="F7591" s="33"/>
      <c r="G7591" s="70"/>
      <c r="H7591" s="400"/>
      <c r="I7591" s="239"/>
    </row>
    <row r="7592" spans="6:9" x14ac:dyDescent="0.35">
      <c r="F7592" s="33"/>
      <c r="G7592" s="70"/>
      <c r="H7592" s="400"/>
      <c r="I7592" s="239"/>
    </row>
    <row r="7593" spans="6:9" x14ac:dyDescent="0.35">
      <c r="F7593" s="33"/>
      <c r="G7593" s="70"/>
      <c r="H7593" s="400"/>
      <c r="I7593" s="239"/>
    </row>
    <row r="7594" spans="6:9" x14ac:dyDescent="0.35">
      <c r="F7594" s="33"/>
      <c r="G7594" s="70"/>
      <c r="H7594" s="400"/>
      <c r="I7594" s="239"/>
    </row>
    <row r="7595" spans="6:9" x14ac:dyDescent="0.35">
      <c r="F7595" s="33"/>
      <c r="G7595" s="70"/>
      <c r="H7595" s="400"/>
      <c r="I7595" s="239"/>
    </row>
    <row r="7596" spans="6:9" x14ac:dyDescent="0.35">
      <c r="F7596" s="33"/>
      <c r="G7596" s="70"/>
      <c r="H7596" s="400"/>
      <c r="I7596" s="239"/>
    </row>
    <row r="7597" spans="6:9" x14ac:dyDescent="0.35">
      <c r="F7597" s="33"/>
      <c r="G7597" s="70"/>
      <c r="H7597" s="400"/>
      <c r="I7597" s="239"/>
    </row>
    <row r="7598" spans="6:9" x14ac:dyDescent="0.35">
      <c r="F7598" s="33"/>
      <c r="G7598" s="70"/>
      <c r="H7598" s="400"/>
      <c r="I7598" s="239"/>
    </row>
    <row r="7599" spans="6:9" x14ac:dyDescent="0.35">
      <c r="F7599" s="33"/>
      <c r="G7599" s="70"/>
      <c r="H7599" s="400"/>
      <c r="I7599" s="239"/>
    </row>
    <row r="7600" spans="6:9" x14ac:dyDescent="0.35">
      <c r="F7600" s="33"/>
      <c r="G7600" s="70"/>
      <c r="H7600" s="400"/>
      <c r="I7600" s="239"/>
    </row>
    <row r="7601" spans="6:9" x14ac:dyDescent="0.35">
      <c r="F7601" s="33"/>
      <c r="G7601" s="70"/>
      <c r="H7601" s="400"/>
      <c r="I7601" s="239"/>
    </row>
    <row r="7602" spans="6:9" x14ac:dyDescent="0.35">
      <c r="F7602" s="33"/>
      <c r="G7602" s="70"/>
      <c r="H7602" s="400"/>
      <c r="I7602" s="239"/>
    </row>
    <row r="7603" spans="6:9" x14ac:dyDescent="0.35">
      <c r="F7603" s="33"/>
      <c r="G7603" s="70"/>
      <c r="H7603" s="400"/>
      <c r="I7603" s="239"/>
    </row>
    <row r="7604" spans="6:9" x14ac:dyDescent="0.35">
      <c r="F7604" s="33"/>
      <c r="G7604" s="70"/>
      <c r="H7604" s="400"/>
      <c r="I7604" s="239"/>
    </row>
    <row r="7605" spans="6:9" x14ac:dyDescent="0.35">
      <c r="F7605" s="33"/>
      <c r="G7605" s="70"/>
      <c r="H7605" s="400"/>
      <c r="I7605" s="239"/>
    </row>
    <row r="7606" spans="6:9" x14ac:dyDescent="0.35">
      <c r="F7606" s="33"/>
      <c r="G7606" s="70"/>
      <c r="H7606" s="400"/>
      <c r="I7606" s="239"/>
    </row>
    <row r="7607" spans="6:9" x14ac:dyDescent="0.35">
      <c r="F7607" s="33"/>
      <c r="G7607" s="70"/>
      <c r="H7607" s="400"/>
      <c r="I7607" s="239"/>
    </row>
    <row r="7608" spans="6:9" x14ac:dyDescent="0.35">
      <c r="F7608" s="33"/>
      <c r="G7608" s="70"/>
      <c r="H7608" s="400"/>
      <c r="I7608" s="239"/>
    </row>
    <row r="7609" spans="6:9" x14ac:dyDescent="0.35">
      <c r="F7609" s="33"/>
      <c r="G7609" s="70"/>
      <c r="H7609" s="400"/>
      <c r="I7609" s="239"/>
    </row>
    <row r="7610" spans="6:9" x14ac:dyDescent="0.35">
      <c r="F7610" s="33"/>
      <c r="G7610" s="70"/>
      <c r="H7610" s="400"/>
      <c r="I7610" s="239"/>
    </row>
    <row r="7611" spans="6:9" x14ac:dyDescent="0.35">
      <c r="F7611" s="33"/>
      <c r="G7611" s="70"/>
      <c r="H7611" s="400"/>
      <c r="I7611" s="239"/>
    </row>
    <row r="7612" spans="6:9" x14ac:dyDescent="0.35">
      <c r="F7612" s="33"/>
      <c r="G7612" s="70"/>
      <c r="H7612" s="400"/>
      <c r="I7612" s="239"/>
    </row>
    <row r="7613" spans="6:9" x14ac:dyDescent="0.35">
      <c r="F7613" s="33"/>
      <c r="G7613" s="70"/>
      <c r="H7613" s="400"/>
      <c r="I7613" s="239"/>
    </row>
    <row r="7614" spans="6:9" x14ac:dyDescent="0.35">
      <c r="F7614" s="33"/>
      <c r="G7614" s="70"/>
      <c r="H7614" s="400"/>
      <c r="I7614" s="239"/>
    </row>
    <row r="7615" spans="6:9" x14ac:dyDescent="0.35">
      <c r="F7615" s="33"/>
      <c r="G7615" s="70"/>
      <c r="H7615" s="400"/>
      <c r="I7615" s="239"/>
    </row>
    <row r="7616" spans="6:9" x14ac:dyDescent="0.35">
      <c r="F7616" s="33"/>
      <c r="G7616" s="70"/>
      <c r="H7616" s="400"/>
      <c r="I7616" s="239"/>
    </row>
    <row r="7617" spans="6:9" x14ac:dyDescent="0.35">
      <c r="F7617" s="33"/>
      <c r="G7617" s="70"/>
      <c r="H7617" s="400"/>
      <c r="I7617" s="239"/>
    </row>
    <row r="7618" spans="6:9" x14ac:dyDescent="0.35">
      <c r="F7618" s="33"/>
      <c r="G7618" s="70"/>
      <c r="H7618" s="400"/>
      <c r="I7618" s="239"/>
    </row>
    <row r="7619" spans="6:9" x14ac:dyDescent="0.35">
      <c r="F7619" s="33"/>
      <c r="G7619" s="70"/>
      <c r="H7619" s="400"/>
      <c r="I7619" s="239"/>
    </row>
    <row r="7620" spans="6:9" x14ac:dyDescent="0.35">
      <c r="F7620" s="33"/>
      <c r="G7620" s="70"/>
      <c r="H7620" s="400"/>
      <c r="I7620" s="239"/>
    </row>
    <row r="7621" spans="6:9" x14ac:dyDescent="0.35">
      <c r="F7621" s="33"/>
      <c r="G7621" s="70"/>
      <c r="H7621" s="400"/>
      <c r="I7621" s="239"/>
    </row>
    <row r="7622" spans="6:9" x14ac:dyDescent="0.35">
      <c r="F7622" s="33"/>
      <c r="G7622" s="70"/>
      <c r="H7622" s="400"/>
      <c r="I7622" s="239"/>
    </row>
    <row r="7623" spans="6:9" x14ac:dyDescent="0.35">
      <c r="F7623" s="33"/>
      <c r="G7623" s="70"/>
      <c r="H7623" s="400"/>
      <c r="I7623" s="239"/>
    </row>
    <row r="7624" spans="6:9" x14ac:dyDescent="0.35">
      <c r="F7624" s="33"/>
      <c r="G7624" s="70"/>
      <c r="H7624" s="400"/>
      <c r="I7624" s="239"/>
    </row>
    <row r="7625" spans="6:9" x14ac:dyDescent="0.35">
      <c r="F7625" s="33"/>
      <c r="G7625" s="70"/>
      <c r="H7625" s="400"/>
      <c r="I7625" s="239"/>
    </row>
    <row r="7626" spans="6:9" x14ac:dyDescent="0.35">
      <c r="F7626" s="33"/>
      <c r="G7626" s="70"/>
      <c r="H7626" s="400"/>
      <c r="I7626" s="239"/>
    </row>
    <row r="7627" spans="6:9" x14ac:dyDescent="0.35">
      <c r="F7627" s="33"/>
      <c r="G7627" s="70"/>
      <c r="H7627" s="400"/>
      <c r="I7627" s="239"/>
    </row>
    <row r="7628" spans="6:9" x14ac:dyDescent="0.35">
      <c r="F7628" s="33"/>
      <c r="G7628" s="70"/>
      <c r="H7628" s="400"/>
      <c r="I7628" s="239"/>
    </row>
    <row r="7629" spans="6:9" x14ac:dyDescent="0.35">
      <c r="F7629" s="33"/>
      <c r="G7629" s="70"/>
      <c r="H7629" s="400"/>
      <c r="I7629" s="239"/>
    </row>
    <row r="7630" spans="6:9" x14ac:dyDescent="0.35">
      <c r="F7630" s="33"/>
      <c r="G7630" s="70"/>
      <c r="H7630" s="400"/>
      <c r="I7630" s="239"/>
    </row>
    <row r="7631" spans="6:9" x14ac:dyDescent="0.35">
      <c r="F7631" s="33"/>
      <c r="G7631" s="70"/>
      <c r="H7631" s="400"/>
      <c r="I7631" s="239"/>
    </row>
    <row r="7632" spans="6:9" x14ac:dyDescent="0.35">
      <c r="F7632" s="33"/>
      <c r="G7632" s="70"/>
      <c r="H7632" s="400"/>
      <c r="I7632" s="239"/>
    </row>
    <row r="7633" spans="6:9" x14ac:dyDescent="0.35">
      <c r="F7633" s="33"/>
      <c r="G7633" s="70"/>
      <c r="H7633" s="400"/>
      <c r="I7633" s="239"/>
    </row>
    <row r="7634" spans="6:9" x14ac:dyDescent="0.35">
      <c r="F7634" s="33"/>
      <c r="G7634" s="70"/>
      <c r="H7634" s="400"/>
      <c r="I7634" s="239"/>
    </row>
    <row r="7635" spans="6:9" x14ac:dyDescent="0.35">
      <c r="F7635" s="33"/>
      <c r="G7635" s="70"/>
      <c r="H7635" s="400"/>
      <c r="I7635" s="239"/>
    </row>
    <row r="7636" spans="6:9" x14ac:dyDescent="0.35">
      <c r="F7636" s="33"/>
      <c r="G7636" s="70"/>
      <c r="H7636" s="400"/>
      <c r="I7636" s="239"/>
    </row>
    <row r="7637" spans="6:9" x14ac:dyDescent="0.35">
      <c r="F7637" s="33"/>
      <c r="G7637" s="70"/>
      <c r="H7637" s="400"/>
      <c r="I7637" s="239"/>
    </row>
    <row r="7638" spans="6:9" x14ac:dyDescent="0.35">
      <c r="F7638" s="33"/>
      <c r="G7638" s="70"/>
      <c r="H7638" s="400"/>
      <c r="I7638" s="239"/>
    </row>
    <row r="7639" spans="6:9" x14ac:dyDescent="0.35">
      <c r="F7639" s="33"/>
      <c r="G7639" s="70"/>
      <c r="H7639" s="400"/>
      <c r="I7639" s="239"/>
    </row>
    <row r="7640" spans="6:9" x14ac:dyDescent="0.35">
      <c r="F7640" s="33"/>
      <c r="G7640" s="70"/>
      <c r="H7640" s="400"/>
      <c r="I7640" s="239"/>
    </row>
    <row r="7641" spans="6:9" x14ac:dyDescent="0.35">
      <c r="F7641" s="33"/>
      <c r="G7641" s="70"/>
      <c r="H7641" s="400"/>
      <c r="I7641" s="239"/>
    </row>
    <row r="7642" spans="6:9" x14ac:dyDescent="0.35">
      <c r="F7642" s="33"/>
      <c r="G7642" s="70"/>
      <c r="H7642" s="400"/>
      <c r="I7642" s="239"/>
    </row>
    <row r="7643" spans="6:9" x14ac:dyDescent="0.35">
      <c r="F7643" s="33"/>
      <c r="G7643" s="70"/>
      <c r="H7643" s="400"/>
      <c r="I7643" s="239"/>
    </row>
    <row r="7644" spans="6:9" x14ac:dyDescent="0.35">
      <c r="F7644" s="33"/>
      <c r="G7644" s="70"/>
      <c r="H7644" s="400"/>
      <c r="I7644" s="239"/>
    </row>
    <row r="7645" spans="6:9" x14ac:dyDescent="0.35">
      <c r="F7645" s="33"/>
      <c r="G7645" s="70"/>
      <c r="H7645" s="400"/>
      <c r="I7645" s="239"/>
    </row>
    <row r="7646" spans="6:9" x14ac:dyDescent="0.35">
      <c r="F7646" s="33"/>
      <c r="G7646" s="70"/>
      <c r="H7646" s="400"/>
      <c r="I7646" s="239"/>
    </row>
    <row r="7647" spans="6:9" x14ac:dyDescent="0.35">
      <c r="F7647" s="33"/>
      <c r="G7647" s="70"/>
      <c r="H7647" s="400"/>
      <c r="I7647" s="239"/>
    </row>
    <row r="7648" spans="6:9" x14ac:dyDescent="0.35">
      <c r="F7648" s="33"/>
      <c r="G7648" s="70"/>
      <c r="H7648" s="400"/>
      <c r="I7648" s="239"/>
    </row>
    <row r="7649" spans="6:9" x14ac:dyDescent="0.35">
      <c r="F7649" s="33"/>
      <c r="G7649" s="70"/>
      <c r="H7649" s="400"/>
      <c r="I7649" s="239"/>
    </row>
    <row r="7650" spans="6:9" x14ac:dyDescent="0.35">
      <c r="F7650" s="33"/>
      <c r="G7650" s="70"/>
      <c r="H7650" s="400"/>
      <c r="I7650" s="239"/>
    </row>
    <row r="7651" spans="6:9" x14ac:dyDescent="0.35">
      <c r="F7651" s="33"/>
      <c r="G7651" s="70"/>
      <c r="H7651" s="400"/>
      <c r="I7651" s="239"/>
    </row>
    <row r="7652" spans="6:9" x14ac:dyDescent="0.35">
      <c r="F7652" s="33"/>
      <c r="G7652" s="70"/>
      <c r="H7652" s="400"/>
      <c r="I7652" s="239"/>
    </row>
    <row r="7653" spans="6:9" x14ac:dyDescent="0.35">
      <c r="F7653" s="33"/>
      <c r="G7653" s="70"/>
      <c r="H7653" s="400"/>
      <c r="I7653" s="239"/>
    </row>
    <row r="7654" spans="6:9" x14ac:dyDescent="0.35">
      <c r="F7654" s="33"/>
      <c r="G7654" s="70"/>
      <c r="H7654" s="400"/>
      <c r="I7654" s="239"/>
    </row>
    <row r="7655" spans="6:9" x14ac:dyDescent="0.35">
      <c r="F7655" s="33"/>
      <c r="G7655" s="70"/>
      <c r="H7655" s="400"/>
      <c r="I7655" s="239"/>
    </row>
    <row r="7656" spans="6:9" x14ac:dyDescent="0.35">
      <c r="F7656" s="33"/>
      <c r="G7656" s="70"/>
      <c r="H7656" s="400"/>
      <c r="I7656" s="239"/>
    </row>
    <row r="7657" spans="6:9" x14ac:dyDescent="0.35">
      <c r="F7657" s="33"/>
      <c r="G7657" s="70"/>
      <c r="H7657" s="400"/>
      <c r="I7657" s="239"/>
    </row>
    <row r="7658" spans="6:9" x14ac:dyDescent="0.35">
      <c r="F7658" s="33"/>
      <c r="G7658" s="70"/>
      <c r="H7658" s="400"/>
      <c r="I7658" s="239"/>
    </row>
    <row r="7659" spans="6:9" x14ac:dyDescent="0.35">
      <c r="F7659" s="33"/>
      <c r="G7659" s="70"/>
      <c r="H7659" s="400"/>
      <c r="I7659" s="239"/>
    </row>
    <row r="7660" spans="6:9" x14ac:dyDescent="0.35">
      <c r="F7660" s="33"/>
      <c r="G7660" s="70"/>
      <c r="H7660" s="400"/>
      <c r="I7660" s="239"/>
    </row>
    <row r="7661" spans="6:9" x14ac:dyDescent="0.35">
      <c r="F7661" s="33"/>
      <c r="G7661" s="70"/>
      <c r="H7661" s="400"/>
      <c r="I7661" s="239"/>
    </row>
    <row r="7662" spans="6:9" x14ac:dyDescent="0.35">
      <c r="F7662" s="33"/>
      <c r="G7662" s="70"/>
      <c r="H7662" s="400"/>
      <c r="I7662" s="239"/>
    </row>
    <row r="7663" spans="6:9" x14ac:dyDescent="0.35">
      <c r="F7663" s="33"/>
      <c r="G7663" s="70"/>
      <c r="H7663" s="400"/>
      <c r="I7663" s="239"/>
    </row>
    <row r="7664" spans="6:9" x14ac:dyDescent="0.35">
      <c r="F7664" s="33"/>
      <c r="G7664" s="70"/>
      <c r="H7664" s="400"/>
      <c r="I7664" s="239"/>
    </row>
    <row r="7665" spans="6:9" x14ac:dyDescent="0.35">
      <c r="F7665" s="33"/>
      <c r="G7665" s="70"/>
      <c r="H7665" s="400"/>
      <c r="I7665" s="239"/>
    </row>
    <row r="7666" spans="6:9" x14ac:dyDescent="0.35">
      <c r="F7666" s="33"/>
      <c r="G7666" s="70"/>
      <c r="H7666" s="400"/>
      <c r="I7666" s="239"/>
    </row>
    <row r="7667" spans="6:9" x14ac:dyDescent="0.35">
      <c r="F7667" s="33"/>
      <c r="G7667" s="70"/>
      <c r="H7667" s="400"/>
      <c r="I7667" s="239"/>
    </row>
    <row r="7668" spans="6:9" x14ac:dyDescent="0.35">
      <c r="F7668" s="33"/>
      <c r="G7668" s="70"/>
      <c r="H7668" s="400"/>
      <c r="I7668" s="239"/>
    </row>
    <row r="7669" spans="6:9" x14ac:dyDescent="0.35">
      <c r="F7669" s="33"/>
      <c r="G7669" s="70"/>
      <c r="H7669" s="400"/>
      <c r="I7669" s="239"/>
    </row>
    <row r="7670" spans="6:9" x14ac:dyDescent="0.35">
      <c r="F7670" s="33"/>
      <c r="G7670" s="70"/>
      <c r="H7670" s="400"/>
      <c r="I7670" s="239"/>
    </row>
    <row r="7671" spans="6:9" x14ac:dyDescent="0.35">
      <c r="F7671" s="33"/>
      <c r="G7671" s="70"/>
      <c r="H7671" s="400"/>
      <c r="I7671" s="239"/>
    </row>
    <row r="7672" spans="6:9" x14ac:dyDescent="0.35">
      <c r="F7672" s="33"/>
      <c r="G7672" s="70"/>
      <c r="H7672" s="400"/>
      <c r="I7672" s="239"/>
    </row>
    <row r="7673" spans="6:9" x14ac:dyDescent="0.35">
      <c r="F7673" s="33"/>
      <c r="G7673" s="70"/>
      <c r="H7673" s="400"/>
      <c r="I7673" s="239"/>
    </row>
    <row r="7674" spans="6:9" x14ac:dyDescent="0.35">
      <c r="F7674" s="33"/>
      <c r="G7674" s="70"/>
      <c r="H7674" s="400"/>
      <c r="I7674" s="239"/>
    </row>
    <row r="7675" spans="6:9" x14ac:dyDescent="0.35">
      <c r="F7675" s="33"/>
      <c r="G7675" s="70"/>
      <c r="H7675" s="400"/>
      <c r="I7675" s="239"/>
    </row>
    <row r="7676" spans="6:9" x14ac:dyDescent="0.35">
      <c r="F7676" s="33"/>
      <c r="G7676" s="70"/>
      <c r="H7676" s="400"/>
      <c r="I7676" s="239"/>
    </row>
    <row r="7677" spans="6:9" x14ac:dyDescent="0.35">
      <c r="F7677" s="33"/>
      <c r="G7677" s="70"/>
      <c r="H7677" s="400"/>
      <c r="I7677" s="239"/>
    </row>
    <row r="7678" spans="6:9" x14ac:dyDescent="0.35">
      <c r="F7678" s="33"/>
      <c r="G7678" s="70"/>
      <c r="H7678" s="400"/>
      <c r="I7678" s="239"/>
    </row>
    <row r="7679" spans="6:9" x14ac:dyDescent="0.35">
      <c r="F7679" s="33"/>
      <c r="G7679" s="70"/>
      <c r="H7679" s="400"/>
      <c r="I7679" s="239"/>
    </row>
    <row r="7680" spans="6:9" x14ac:dyDescent="0.35">
      <c r="F7680" s="33"/>
      <c r="G7680" s="70"/>
      <c r="H7680" s="400"/>
      <c r="I7680" s="239"/>
    </row>
    <row r="7681" spans="6:9" x14ac:dyDescent="0.35">
      <c r="F7681" s="33"/>
      <c r="G7681" s="70"/>
      <c r="H7681" s="400"/>
      <c r="I7681" s="239"/>
    </row>
    <row r="7682" spans="6:9" x14ac:dyDescent="0.35">
      <c r="F7682" s="33"/>
      <c r="G7682" s="70"/>
      <c r="H7682" s="400"/>
      <c r="I7682" s="239"/>
    </row>
    <row r="7683" spans="6:9" x14ac:dyDescent="0.35">
      <c r="F7683" s="33"/>
      <c r="G7683" s="70"/>
      <c r="H7683" s="400"/>
      <c r="I7683" s="239"/>
    </row>
    <row r="7684" spans="6:9" x14ac:dyDescent="0.35">
      <c r="F7684" s="33"/>
      <c r="G7684" s="70"/>
      <c r="H7684" s="400"/>
      <c r="I7684" s="239"/>
    </row>
    <row r="7685" spans="6:9" x14ac:dyDescent="0.35">
      <c r="F7685" s="33"/>
      <c r="G7685" s="70"/>
      <c r="H7685" s="400"/>
      <c r="I7685" s="239"/>
    </row>
    <row r="7686" spans="6:9" x14ac:dyDescent="0.35">
      <c r="F7686" s="33"/>
      <c r="G7686" s="70"/>
      <c r="H7686" s="400"/>
      <c r="I7686" s="239"/>
    </row>
    <row r="7687" spans="6:9" x14ac:dyDescent="0.35">
      <c r="F7687" s="33"/>
      <c r="G7687" s="70"/>
      <c r="H7687" s="400"/>
      <c r="I7687" s="239"/>
    </row>
    <row r="7688" spans="6:9" x14ac:dyDescent="0.35">
      <c r="F7688" s="33"/>
      <c r="G7688" s="70"/>
      <c r="H7688" s="400"/>
      <c r="I7688" s="239"/>
    </row>
    <row r="7689" spans="6:9" x14ac:dyDescent="0.35">
      <c r="F7689" s="33"/>
      <c r="G7689" s="70"/>
      <c r="H7689" s="400"/>
      <c r="I7689" s="239"/>
    </row>
    <row r="7690" spans="6:9" x14ac:dyDescent="0.35">
      <c r="F7690" s="33"/>
      <c r="G7690" s="70"/>
      <c r="H7690" s="400"/>
      <c r="I7690" s="239"/>
    </row>
    <row r="7691" spans="6:9" x14ac:dyDescent="0.35">
      <c r="F7691" s="33"/>
      <c r="G7691" s="70"/>
      <c r="H7691" s="400"/>
      <c r="I7691" s="239"/>
    </row>
    <row r="7692" spans="6:9" x14ac:dyDescent="0.35">
      <c r="F7692" s="33"/>
      <c r="G7692" s="70"/>
      <c r="H7692" s="400"/>
      <c r="I7692" s="239"/>
    </row>
    <row r="7693" spans="6:9" x14ac:dyDescent="0.35">
      <c r="F7693" s="33"/>
      <c r="G7693" s="70"/>
      <c r="H7693" s="400"/>
      <c r="I7693" s="239"/>
    </row>
    <row r="7694" spans="6:9" x14ac:dyDescent="0.35">
      <c r="F7694" s="33"/>
      <c r="G7694" s="70"/>
      <c r="H7694" s="400"/>
      <c r="I7694" s="239"/>
    </row>
    <row r="7695" spans="6:9" x14ac:dyDescent="0.35">
      <c r="F7695" s="33"/>
      <c r="G7695" s="70"/>
      <c r="H7695" s="400"/>
      <c r="I7695" s="239"/>
    </row>
    <row r="7696" spans="6:9" x14ac:dyDescent="0.35">
      <c r="F7696" s="33"/>
      <c r="G7696" s="70"/>
      <c r="H7696" s="400"/>
      <c r="I7696" s="239"/>
    </row>
    <row r="7697" spans="6:9" x14ac:dyDescent="0.35">
      <c r="F7697" s="33"/>
      <c r="G7697" s="70"/>
      <c r="H7697" s="400"/>
      <c r="I7697" s="239"/>
    </row>
    <row r="7698" spans="6:9" x14ac:dyDescent="0.35">
      <c r="F7698" s="33"/>
      <c r="G7698" s="70"/>
      <c r="H7698" s="400"/>
      <c r="I7698" s="239"/>
    </row>
    <row r="7699" spans="6:9" x14ac:dyDescent="0.35">
      <c r="F7699" s="33"/>
      <c r="G7699" s="70"/>
      <c r="H7699" s="400"/>
      <c r="I7699" s="239"/>
    </row>
    <row r="7700" spans="6:9" x14ac:dyDescent="0.35">
      <c r="F7700" s="33"/>
      <c r="G7700" s="70"/>
      <c r="H7700" s="400"/>
      <c r="I7700" s="239"/>
    </row>
    <row r="7701" spans="6:9" x14ac:dyDescent="0.35">
      <c r="F7701" s="33"/>
      <c r="G7701" s="70"/>
      <c r="H7701" s="400"/>
      <c r="I7701" s="239"/>
    </row>
    <row r="7702" spans="6:9" x14ac:dyDescent="0.35">
      <c r="F7702" s="33"/>
      <c r="G7702" s="70"/>
      <c r="H7702" s="400"/>
      <c r="I7702" s="239"/>
    </row>
    <row r="7703" spans="6:9" x14ac:dyDescent="0.35">
      <c r="F7703" s="33"/>
      <c r="G7703" s="70"/>
      <c r="H7703" s="400"/>
      <c r="I7703" s="239"/>
    </row>
    <row r="7704" spans="6:9" x14ac:dyDescent="0.35">
      <c r="F7704" s="33"/>
      <c r="G7704" s="70"/>
      <c r="H7704" s="400"/>
      <c r="I7704" s="239"/>
    </row>
    <row r="7705" spans="6:9" x14ac:dyDescent="0.35">
      <c r="F7705" s="33"/>
      <c r="G7705" s="70"/>
      <c r="H7705" s="400"/>
      <c r="I7705" s="239"/>
    </row>
    <row r="7706" spans="6:9" x14ac:dyDescent="0.35">
      <c r="F7706" s="33"/>
      <c r="G7706" s="70"/>
      <c r="H7706" s="400"/>
      <c r="I7706" s="239"/>
    </row>
    <row r="7707" spans="6:9" x14ac:dyDescent="0.35">
      <c r="F7707" s="33"/>
      <c r="G7707" s="70"/>
      <c r="H7707" s="400"/>
      <c r="I7707" s="239"/>
    </row>
    <row r="7708" spans="6:9" x14ac:dyDescent="0.35">
      <c r="F7708" s="33"/>
      <c r="G7708" s="70"/>
      <c r="H7708" s="400"/>
      <c r="I7708" s="239"/>
    </row>
    <row r="7709" spans="6:9" x14ac:dyDescent="0.35">
      <c r="F7709" s="33"/>
      <c r="G7709" s="70"/>
      <c r="H7709" s="400"/>
      <c r="I7709" s="239"/>
    </row>
    <row r="7710" spans="6:9" x14ac:dyDescent="0.35">
      <c r="F7710" s="33"/>
      <c r="G7710" s="70"/>
      <c r="H7710" s="400"/>
      <c r="I7710" s="239"/>
    </row>
    <row r="7711" spans="6:9" x14ac:dyDescent="0.35">
      <c r="F7711" s="33"/>
      <c r="G7711" s="70"/>
      <c r="H7711" s="400"/>
      <c r="I7711" s="239"/>
    </row>
    <row r="7712" spans="6:9" x14ac:dyDescent="0.35">
      <c r="F7712" s="33"/>
      <c r="G7712" s="70"/>
      <c r="H7712" s="400"/>
      <c r="I7712" s="239"/>
    </row>
    <row r="7713" spans="6:9" x14ac:dyDescent="0.35">
      <c r="F7713" s="33"/>
      <c r="G7713" s="70"/>
      <c r="H7713" s="400"/>
      <c r="I7713" s="239"/>
    </row>
    <row r="7714" spans="6:9" x14ac:dyDescent="0.35">
      <c r="F7714" s="33"/>
      <c r="G7714" s="70"/>
      <c r="H7714" s="400"/>
      <c r="I7714" s="239"/>
    </row>
    <row r="7715" spans="6:9" x14ac:dyDescent="0.35">
      <c r="F7715" s="33"/>
      <c r="G7715" s="70"/>
      <c r="H7715" s="400"/>
      <c r="I7715" s="239"/>
    </row>
    <row r="7716" spans="6:9" x14ac:dyDescent="0.35">
      <c r="F7716" s="33"/>
      <c r="G7716" s="70"/>
      <c r="H7716" s="400"/>
      <c r="I7716" s="239"/>
    </row>
    <row r="7717" spans="6:9" x14ac:dyDescent="0.35">
      <c r="F7717" s="33"/>
      <c r="G7717" s="70"/>
      <c r="H7717" s="400"/>
      <c r="I7717" s="239"/>
    </row>
    <row r="7718" spans="6:9" x14ac:dyDescent="0.35">
      <c r="F7718" s="33"/>
      <c r="G7718" s="70"/>
      <c r="H7718" s="400"/>
      <c r="I7718" s="239"/>
    </row>
    <row r="7719" spans="6:9" x14ac:dyDescent="0.35">
      <c r="F7719" s="33"/>
      <c r="G7719" s="70"/>
      <c r="H7719" s="400"/>
      <c r="I7719" s="239"/>
    </row>
    <row r="7720" spans="6:9" x14ac:dyDescent="0.35">
      <c r="F7720" s="33"/>
      <c r="G7720" s="70"/>
      <c r="H7720" s="400"/>
      <c r="I7720" s="239"/>
    </row>
    <row r="7721" spans="6:9" x14ac:dyDescent="0.35">
      <c r="F7721" s="33"/>
      <c r="G7721" s="70"/>
      <c r="H7721" s="400"/>
      <c r="I7721" s="239"/>
    </row>
    <row r="7722" spans="6:9" x14ac:dyDescent="0.35">
      <c r="F7722" s="33"/>
      <c r="G7722" s="70"/>
      <c r="H7722" s="400"/>
      <c r="I7722" s="239"/>
    </row>
    <row r="7723" spans="6:9" x14ac:dyDescent="0.35">
      <c r="F7723" s="33"/>
      <c r="G7723" s="70"/>
      <c r="H7723" s="400"/>
      <c r="I7723" s="239"/>
    </row>
    <row r="7724" spans="6:9" x14ac:dyDescent="0.35">
      <c r="F7724" s="33"/>
      <c r="G7724" s="70"/>
      <c r="H7724" s="400"/>
      <c r="I7724" s="239"/>
    </row>
    <row r="7725" spans="6:9" x14ac:dyDescent="0.35">
      <c r="F7725" s="33"/>
      <c r="G7725" s="70"/>
      <c r="H7725" s="400"/>
      <c r="I7725" s="239"/>
    </row>
    <row r="7726" spans="6:9" x14ac:dyDescent="0.35">
      <c r="F7726" s="33"/>
      <c r="G7726" s="70"/>
      <c r="H7726" s="400"/>
      <c r="I7726" s="239"/>
    </row>
    <row r="7727" spans="6:9" x14ac:dyDescent="0.35">
      <c r="F7727" s="33"/>
      <c r="G7727" s="70"/>
      <c r="H7727" s="400"/>
      <c r="I7727" s="239"/>
    </row>
    <row r="7728" spans="6:9" x14ac:dyDescent="0.35">
      <c r="F7728" s="33"/>
      <c r="G7728" s="70"/>
      <c r="H7728" s="400"/>
      <c r="I7728" s="239"/>
    </row>
    <row r="7729" spans="6:9" x14ac:dyDescent="0.35">
      <c r="F7729" s="33"/>
      <c r="G7729" s="70"/>
      <c r="H7729" s="400"/>
      <c r="I7729" s="239"/>
    </row>
    <row r="7730" spans="6:9" x14ac:dyDescent="0.35">
      <c r="F7730" s="33"/>
      <c r="G7730" s="70"/>
      <c r="H7730" s="400"/>
      <c r="I7730" s="239"/>
    </row>
    <row r="7731" spans="6:9" x14ac:dyDescent="0.35">
      <c r="F7731" s="33"/>
      <c r="G7731" s="70"/>
      <c r="H7731" s="400"/>
      <c r="I7731" s="239"/>
    </row>
    <row r="7732" spans="6:9" x14ac:dyDescent="0.35">
      <c r="F7732" s="33"/>
      <c r="G7732" s="70"/>
      <c r="H7732" s="400"/>
      <c r="I7732" s="239"/>
    </row>
    <row r="7733" spans="6:9" x14ac:dyDescent="0.35">
      <c r="F7733" s="33"/>
      <c r="G7733" s="70"/>
      <c r="H7733" s="400"/>
      <c r="I7733" s="239"/>
    </row>
    <row r="7734" spans="6:9" x14ac:dyDescent="0.35">
      <c r="F7734" s="33"/>
      <c r="G7734" s="70"/>
      <c r="H7734" s="400"/>
      <c r="I7734" s="239"/>
    </row>
    <row r="7735" spans="6:9" x14ac:dyDescent="0.35">
      <c r="F7735" s="33"/>
      <c r="G7735" s="70"/>
      <c r="H7735" s="400"/>
      <c r="I7735" s="239"/>
    </row>
    <row r="7736" spans="6:9" x14ac:dyDescent="0.35">
      <c r="F7736" s="33"/>
      <c r="G7736" s="70"/>
      <c r="H7736" s="400"/>
      <c r="I7736" s="239"/>
    </row>
    <row r="7737" spans="6:9" x14ac:dyDescent="0.35">
      <c r="F7737" s="33"/>
      <c r="G7737" s="70"/>
      <c r="H7737" s="400"/>
      <c r="I7737" s="239"/>
    </row>
    <row r="7738" spans="6:9" x14ac:dyDescent="0.35">
      <c r="F7738" s="33"/>
      <c r="G7738" s="70"/>
      <c r="H7738" s="400"/>
      <c r="I7738" s="239"/>
    </row>
    <row r="7739" spans="6:9" x14ac:dyDescent="0.35">
      <c r="F7739" s="33"/>
      <c r="G7739" s="70"/>
      <c r="H7739" s="400"/>
      <c r="I7739" s="239"/>
    </row>
    <row r="7740" spans="6:9" x14ac:dyDescent="0.35">
      <c r="F7740" s="33"/>
      <c r="G7740" s="70"/>
      <c r="H7740" s="400"/>
      <c r="I7740" s="239"/>
    </row>
    <row r="7741" spans="6:9" x14ac:dyDescent="0.35">
      <c r="F7741" s="33"/>
      <c r="G7741" s="70"/>
      <c r="H7741" s="400"/>
      <c r="I7741" s="239"/>
    </row>
    <row r="7742" spans="6:9" x14ac:dyDescent="0.35">
      <c r="F7742" s="33"/>
      <c r="G7742" s="70"/>
      <c r="H7742" s="400"/>
      <c r="I7742" s="239"/>
    </row>
    <row r="7743" spans="6:9" x14ac:dyDescent="0.35">
      <c r="F7743" s="33"/>
      <c r="G7743" s="70"/>
      <c r="H7743" s="400"/>
      <c r="I7743" s="239"/>
    </row>
    <row r="7744" spans="6:9" x14ac:dyDescent="0.35">
      <c r="F7744" s="33"/>
      <c r="G7744" s="70"/>
      <c r="H7744" s="400"/>
      <c r="I7744" s="239"/>
    </row>
    <row r="7745" spans="6:9" x14ac:dyDescent="0.35">
      <c r="F7745" s="33"/>
      <c r="G7745" s="70"/>
      <c r="H7745" s="400"/>
      <c r="I7745" s="239"/>
    </row>
    <row r="7746" spans="6:9" x14ac:dyDescent="0.35">
      <c r="F7746" s="33"/>
      <c r="G7746" s="70"/>
      <c r="H7746" s="400"/>
      <c r="I7746" s="239"/>
    </row>
    <row r="7747" spans="6:9" x14ac:dyDescent="0.35">
      <c r="F7747" s="33"/>
      <c r="G7747" s="70"/>
      <c r="H7747" s="400"/>
      <c r="I7747" s="239"/>
    </row>
    <row r="7748" spans="6:9" x14ac:dyDescent="0.35">
      <c r="F7748" s="33"/>
      <c r="G7748" s="70"/>
      <c r="H7748" s="400"/>
      <c r="I7748" s="239"/>
    </row>
    <row r="7749" spans="6:9" x14ac:dyDescent="0.35">
      <c r="F7749" s="33"/>
      <c r="G7749" s="70"/>
      <c r="H7749" s="400"/>
      <c r="I7749" s="239"/>
    </row>
    <row r="7750" spans="6:9" x14ac:dyDescent="0.35">
      <c r="F7750" s="33"/>
      <c r="G7750" s="70"/>
      <c r="H7750" s="400"/>
      <c r="I7750" s="239"/>
    </row>
    <row r="7751" spans="6:9" x14ac:dyDescent="0.35">
      <c r="F7751" s="33"/>
      <c r="G7751" s="70"/>
      <c r="H7751" s="400"/>
      <c r="I7751" s="239"/>
    </row>
    <row r="7752" spans="6:9" x14ac:dyDescent="0.35">
      <c r="F7752" s="33"/>
      <c r="G7752" s="70"/>
      <c r="H7752" s="400"/>
      <c r="I7752" s="239"/>
    </row>
    <row r="7753" spans="6:9" x14ac:dyDescent="0.35">
      <c r="F7753" s="33"/>
      <c r="G7753" s="70"/>
      <c r="H7753" s="400"/>
      <c r="I7753" s="239"/>
    </row>
    <row r="7754" spans="6:9" x14ac:dyDescent="0.35">
      <c r="F7754" s="33"/>
      <c r="G7754" s="70"/>
      <c r="H7754" s="400"/>
      <c r="I7754" s="239"/>
    </row>
    <row r="7755" spans="6:9" x14ac:dyDescent="0.35">
      <c r="F7755" s="33"/>
      <c r="G7755" s="70"/>
      <c r="H7755" s="400"/>
      <c r="I7755" s="239"/>
    </row>
    <row r="7756" spans="6:9" x14ac:dyDescent="0.35">
      <c r="F7756" s="33"/>
      <c r="G7756" s="70"/>
      <c r="H7756" s="400"/>
      <c r="I7756" s="239"/>
    </row>
    <row r="7757" spans="6:9" x14ac:dyDescent="0.35">
      <c r="F7757" s="33"/>
      <c r="G7757" s="70"/>
      <c r="H7757" s="400"/>
      <c r="I7757" s="239"/>
    </row>
    <row r="7758" spans="6:9" x14ac:dyDescent="0.35">
      <c r="F7758" s="33"/>
      <c r="G7758" s="70"/>
      <c r="H7758" s="400"/>
      <c r="I7758" s="239"/>
    </row>
    <row r="7759" spans="6:9" x14ac:dyDescent="0.35">
      <c r="F7759" s="33"/>
      <c r="G7759" s="70"/>
      <c r="H7759" s="400"/>
      <c r="I7759" s="239"/>
    </row>
    <row r="7760" spans="6:9" x14ac:dyDescent="0.35">
      <c r="F7760" s="33"/>
      <c r="G7760" s="70"/>
      <c r="H7760" s="400"/>
      <c r="I7760" s="239"/>
    </row>
    <row r="7761" spans="6:9" x14ac:dyDescent="0.35">
      <c r="F7761" s="33"/>
      <c r="G7761" s="70"/>
      <c r="H7761" s="400"/>
      <c r="I7761" s="239"/>
    </row>
    <row r="7762" spans="6:9" x14ac:dyDescent="0.35">
      <c r="F7762" s="33"/>
      <c r="G7762" s="70"/>
      <c r="H7762" s="400"/>
      <c r="I7762" s="239"/>
    </row>
    <row r="7763" spans="6:9" x14ac:dyDescent="0.35">
      <c r="F7763" s="33"/>
      <c r="G7763" s="70"/>
      <c r="H7763" s="400"/>
      <c r="I7763" s="239"/>
    </row>
    <row r="7764" spans="6:9" x14ac:dyDescent="0.35">
      <c r="F7764" s="33"/>
      <c r="G7764" s="70"/>
      <c r="H7764" s="400"/>
      <c r="I7764" s="239"/>
    </row>
    <row r="7765" spans="6:9" x14ac:dyDescent="0.35">
      <c r="F7765" s="33"/>
      <c r="G7765" s="70"/>
      <c r="H7765" s="400"/>
      <c r="I7765" s="239"/>
    </row>
    <row r="7766" spans="6:9" x14ac:dyDescent="0.35">
      <c r="F7766" s="33"/>
      <c r="G7766" s="70"/>
      <c r="H7766" s="400"/>
      <c r="I7766" s="239"/>
    </row>
    <row r="7767" spans="6:9" x14ac:dyDescent="0.35">
      <c r="F7767" s="33"/>
      <c r="G7767" s="70"/>
      <c r="H7767" s="400"/>
      <c r="I7767" s="239"/>
    </row>
    <row r="7768" spans="6:9" x14ac:dyDescent="0.35">
      <c r="F7768" s="33"/>
      <c r="G7768" s="70"/>
      <c r="H7768" s="400"/>
      <c r="I7768" s="239"/>
    </row>
    <row r="7769" spans="6:9" x14ac:dyDescent="0.35">
      <c r="F7769" s="33"/>
      <c r="G7769" s="70"/>
      <c r="H7769" s="400"/>
      <c r="I7769" s="239"/>
    </row>
    <row r="7770" spans="6:9" x14ac:dyDescent="0.35">
      <c r="F7770" s="33"/>
      <c r="G7770" s="70"/>
      <c r="H7770" s="400"/>
      <c r="I7770" s="239"/>
    </row>
    <row r="7771" spans="6:9" x14ac:dyDescent="0.35">
      <c r="F7771" s="33"/>
      <c r="G7771" s="70"/>
      <c r="H7771" s="400"/>
      <c r="I7771" s="239"/>
    </row>
    <row r="7772" spans="6:9" x14ac:dyDescent="0.35">
      <c r="F7772" s="33"/>
      <c r="G7772" s="70"/>
      <c r="H7772" s="400"/>
      <c r="I7772" s="239"/>
    </row>
    <row r="7773" spans="6:9" x14ac:dyDescent="0.35">
      <c r="F7773" s="33"/>
      <c r="G7773" s="70"/>
      <c r="H7773" s="400"/>
      <c r="I7773" s="239"/>
    </row>
    <row r="7774" spans="6:9" x14ac:dyDescent="0.35">
      <c r="F7774" s="33"/>
      <c r="G7774" s="70"/>
      <c r="H7774" s="400"/>
      <c r="I7774" s="239"/>
    </row>
    <row r="7775" spans="6:9" x14ac:dyDescent="0.35">
      <c r="F7775" s="33"/>
      <c r="G7775" s="70"/>
      <c r="H7775" s="400"/>
      <c r="I7775" s="239"/>
    </row>
    <row r="7776" spans="6:9" x14ac:dyDescent="0.35">
      <c r="F7776" s="33"/>
      <c r="G7776" s="70"/>
      <c r="H7776" s="400"/>
      <c r="I7776" s="239"/>
    </row>
    <row r="7777" spans="6:9" x14ac:dyDescent="0.35">
      <c r="F7777" s="33"/>
      <c r="G7777" s="70"/>
      <c r="H7777" s="400"/>
      <c r="I7777" s="239"/>
    </row>
    <row r="7778" spans="6:9" x14ac:dyDescent="0.35">
      <c r="F7778" s="33"/>
      <c r="G7778" s="70"/>
      <c r="H7778" s="400"/>
      <c r="I7778" s="239"/>
    </row>
    <row r="7779" spans="6:9" x14ac:dyDescent="0.35">
      <c r="F7779" s="33"/>
      <c r="G7779" s="70"/>
      <c r="H7779" s="400"/>
      <c r="I7779" s="239"/>
    </row>
    <row r="7780" spans="6:9" x14ac:dyDescent="0.35">
      <c r="F7780" s="33"/>
      <c r="G7780" s="70"/>
      <c r="H7780" s="400"/>
      <c r="I7780" s="239"/>
    </row>
    <row r="7781" spans="6:9" x14ac:dyDescent="0.35">
      <c r="F7781" s="33"/>
      <c r="G7781" s="70"/>
      <c r="H7781" s="400"/>
      <c r="I7781" s="239"/>
    </row>
    <row r="7782" spans="6:9" x14ac:dyDescent="0.35">
      <c r="F7782" s="33"/>
      <c r="G7782" s="70"/>
      <c r="H7782" s="400"/>
      <c r="I7782" s="239"/>
    </row>
    <row r="7783" spans="6:9" x14ac:dyDescent="0.35">
      <c r="F7783" s="33"/>
      <c r="G7783" s="70"/>
      <c r="H7783" s="400"/>
      <c r="I7783" s="239"/>
    </row>
    <row r="7784" spans="6:9" x14ac:dyDescent="0.35">
      <c r="F7784" s="33"/>
      <c r="G7784" s="70"/>
      <c r="H7784" s="400"/>
      <c r="I7784" s="239"/>
    </row>
    <row r="7785" spans="6:9" x14ac:dyDescent="0.35">
      <c r="F7785" s="33"/>
      <c r="G7785" s="70"/>
      <c r="H7785" s="400"/>
      <c r="I7785" s="239"/>
    </row>
    <row r="7786" spans="6:9" x14ac:dyDescent="0.35">
      <c r="F7786" s="33"/>
      <c r="G7786" s="70"/>
      <c r="H7786" s="400"/>
      <c r="I7786" s="239"/>
    </row>
    <row r="7787" spans="6:9" x14ac:dyDescent="0.35">
      <c r="F7787" s="33"/>
      <c r="G7787" s="70"/>
      <c r="H7787" s="400"/>
      <c r="I7787" s="239"/>
    </row>
    <row r="7788" spans="6:9" x14ac:dyDescent="0.35">
      <c r="F7788" s="33"/>
      <c r="G7788" s="70"/>
      <c r="H7788" s="400"/>
      <c r="I7788" s="239"/>
    </row>
    <row r="7789" spans="6:9" x14ac:dyDescent="0.35">
      <c r="F7789" s="33"/>
      <c r="G7789" s="70"/>
      <c r="H7789" s="400"/>
      <c r="I7789" s="239"/>
    </row>
    <row r="7790" spans="6:9" x14ac:dyDescent="0.35">
      <c r="F7790" s="33"/>
      <c r="G7790" s="70"/>
      <c r="H7790" s="400"/>
      <c r="I7790" s="239"/>
    </row>
    <row r="7791" spans="6:9" x14ac:dyDescent="0.35">
      <c r="F7791" s="33"/>
      <c r="G7791" s="70"/>
      <c r="H7791" s="400"/>
      <c r="I7791" s="239"/>
    </row>
    <row r="7792" spans="6:9" x14ac:dyDescent="0.35">
      <c r="F7792" s="33"/>
      <c r="G7792" s="70"/>
      <c r="H7792" s="400"/>
      <c r="I7792" s="239"/>
    </row>
    <row r="7793" spans="6:9" x14ac:dyDescent="0.35">
      <c r="F7793" s="33"/>
      <c r="G7793" s="70"/>
      <c r="H7793" s="400"/>
      <c r="I7793" s="239"/>
    </row>
    <row r="7794" spans="6:9" x14ac:dyDescent="0.35">
      <c r="F7794" s="33"/>
      <c r="G7794" s="70"/>
      <c r="H7794" s="400"/>
      <c r="I7794" s="239"/>
    </row>
    <row r="7795" spans="6:9" x14ac:dyDescent="0.35">
      <c r="F7795" s="33"/>
      <c r="G7795" s="70"/>
      <c r="H7795" s="400"/>
      <c r="I7795" s="239"/>
    </row>
    <row r="7796" spans="6:9" x14ac:dyDescent="0.35">
      <c r="F7796" s="33"/>
      <c r="G7796" s="70"/>
      <c r="H7796" s="400"/>
      <c r="I7796" s="239"/>
    </row>
    <row r="7797" spans="6:9" x14ac:dyDescent="0.35">
      <c r="F7797" s="33"/>
      <c r="G7797" s="70"/>
      <c r="H7797" s="400"/>
      <c r="I7797" s="239"/>
    </row>
    <row r="7798" spans="6:9" x14ac:dyDescent="0.35">
      <c r="F7798" s="33"/>
      <c r="G7798" s="70"/>
      <c r="H7798" s="400"/>
      <c r="I7798" s="239"/>
    </row>
    <row r="7799" spans="6:9" x14ac:dyDescent="0.35">
      <c r="F7799" s="33"/>
      <c r="G7799" s="70"/>
      <c r="H7799" s="400"/>
      <c r="I7799" s="239"/>
    </row>
    <row r="7800" spans="6:9" x14ac:dyDescent="0.35">
      <c r="F7800" s="33"/>
      <c r="G7800" s="70"/>
      <c r="H7800" s="400"/>
      <c r="I7800" s="239"/>
    </row>
    <row r="7801" spans="6:9" x14ac:dyDescent="0.35">
      <c r="F7801" s="33"/>
      <c r="G7801" s="70"/>
      <c r="H7801" s="400"/>
      <c r="I7801" s="239"/>
    </row>
    <row r="7802" spans="6:9" x14ac:dyDescent="0.35">
      <c r="F7802" s="33"/>
      <c r="G7802" s="70"/>
      <c r="H7802" s="400"/>
      <c r="I7802" s="239"/>
    </row>
    <row r="7803" spans="6:9" x14ac:dyDescent="0.35">
      <c r="F7803" s="33"/>
      <c r="G7803" s="70"/>
      <c r="H7803" s="400"/>
      <c r="I7803" s="239"/>
    </row>
    <row r="7804" spans="6:9" x14ac:dyDescent="0.35">
      <c r="F7804" s="33"/>
      <c r="G7804" s="70"/>
      <c r="H7804" s="400"/>
      <c r="I7804" s="239"/>
    </row>
    <row r="7805" spans="6:9" x14ac:dyDescent="0.35">
      <c r="F7805" s="33"/>
      <c r="G7805" s="70"/>
      <c r="H7805" s="400"/>
      <c r="I7805" s="239"/>
    </row>
    <row r="7806" spans="6:9" x14ac:dyDescent="0.35">
      <c r="F7806" s="33"/>
      <c r="G7806" s="70"/>
      <c r="H7806" s="400"/>
      <c r="I7806" s="239"/>
    </row>
    <row r="7807" spans="6:9" x14ac:dyDescent="0.35">
      <c r="F7807" s="33"/>
      <c r="G7807" s="70"/>
      <c r="H7807" s="400"/>
      <c r="I7807" s="239"/>
    </row>
    <row r="7808" spans="6:9" x14ac:dyDescent="0.35">
      <c r="F7808" s="33"/>
      <c r="G7808" s="70"/>
      <c r="H7808" s="400"/>
      <c r="I7808" s="239"/>
    </row>
    <row r="7809" spans="6:9" x14ac:dyDescent="0.35">
      <c r="F7809" s="33"/>
      <c r="G7809" s="70"/>
      <c r="H7809" s="400"/>
      <c r="I7809" s="239"/>
    </row>
    <row r="7810" spans="6:9" x14ac:dyDescent="0.35">
      <c r="F7810" s="33"/>
      <c r="G7810" s="70"/>
      <c r="H7810" s="400"/>
      <c r="I7810" s="239"/>
    </row>
    <row r="7811" spans="6:9" x14ac:dyDescent="0.35">
      <c r="F7811" s="33"/>
      <c r="G7811" s="70"/>
      <c r="H7811" s="400"/>
      <c r="I7811" s="239"/>
    </row>
    <row r="7812" spans="6:9" x14ac:dyDescent="0.35">
      <c r="F7812" s="33"/>
      <c r="G7812" s="70"/>
      <c r="H7812" s="400"/>
      <c r="I7812" s="239"/>
    </row>
    <row r="7813" spans="6:9" x14ac:dyDescent="0.35">
      <c r="F7813" s="33"/>
      <c r="G7813" s="70"/>
      <c r="H7813" s="400"/>
      <c r="I7813" s="239"/>
    </row>
    <row r="7814" spans="6:9" x14ac:dyDescent="0.35">
      <c r="F7814" s="33"/>
      <c r="G7814" s="70"/>
      <c r="H7814" s="400"/>
      <c r="I7814" s="239"/>
    </row>
    <row r="7815" spans="6:9" x14ac:dyDescent="0.35">
      <c r="F7815" s="33"/>
      <c r="G7815" s="70"/>
      <c r="H7815" s="400"/>
      <c r="I7815" s="239"/>
    </row>
    <row r="7816" spans="6:9" x14ac:dyDescent="0.35">
      <c r="F7816" s="33"/>
      <c r="G7816" s="70"/>
      <c r="H7816" s="400"/>
      <c r="I7816" s="239"/>
    </row>
    <row r="7817" spans="6:9" x14ac:dyDescent="0.35">
      <c r="F7817" s="33"/>
      <c r="G7817" s="70"/>
      <c r="H7817" s="400"/>
      <c r="I7817" s="239"/>
    </row>
    <row r="7818" spans="6:9" x14ac:dyDescent="0.35">
      <c r="F7818" s="33"/>
      <c r="G7818" s="70"/>
      <c r="H7818" s="400"/>
      <c r="I7818" s="239"/>
    </row>
    <row r="7819" spans="6:9" x14ac:dyDescent="0.35">
      <c r="F7819" s="33"/>
      <c r="G7819" s="70"/>
      <c r="H7819" s="400"/>
      <c r="I7819" s="239"/>
    </row>
    <row r="7820" spans="6:9" x14ac:dyDescent="0.35">
      <c r="F7820" s="33"/>
      <c r="G7820" s="70"/>
      <c r="H7820" s="400"/>
      <c r="I7820" s="239"/>
    </row>
    <row r="7821" spans="6:9" x14ac:dyDescent="0.35">
      <c r="F7821" s="33"/>
      <c r="G7821" s="70"/>
      <c r="H7821" s="400"/>
      <c r="I7821" s="239"/>
    </row>
    <row r="7822" spans="6:9" x14ac:dyDescent="0.35">
      <c r="F7822" s="33"/>
      <c r="G7822" s="70"/>
      <c r="H7822" s="400"/>
      <c r="I7822" s="239"/>
    </row>
    <row r="7823" spans="6:9" x14ac:dyDescent="0.35">
      <c r="F7823" s="33"/>
      <c r="G7823" s="70"/>
      <c r="H7823" s="400"/>
      <c r="I7823" s="239"/>
    </row>
    <row r="7824" spans="6:9" x14ac:dyDescent="0.35">
      <c r="F7824" s="33"/>
      <c r="G7824" s="70"/>
      <c r="H7824" s="400"/>
      <c r="I7824" s="239"/>
    </row>
    <row r="7825" spans="6:9" x14ac:dyDescent="0.35">
      <c r="F7825" s="33"/>
      <c r="G7825" s="70"/>
      <c r="H7825" s="400"/>
      <c r="I7825" s="239"/>
    </row>
    <row r="7826" spans="6:9" x14ac:dyDescent="0.35">
      <c r="F7826" s="33"/>
      <c r="G7826" s="70"/>
      <c r="H7826" s="400"/>
      <c r="I7826" s="239"/>
    </row>
    <row r="7827" spans="6:9" x14ac:dyDescent="0.35">
      <c r="F7827" s="33"/>
      <c r="G7827" s="70"/>
      <c r="H7827" s="400"/>
      <c r="I7827" s="239"/>
    </row>
    <row r="7828" spans="6:9" x14ac:dyDescent="0.35">
      <c r="F7828" s="33"/>
      <c r="G7828" s="70"/>
      <c r="H7828" s="400"/>
      <c r="I7828" s="239"/>
    </row>
    <row r="7829" spans="6:9" x14ac:dyDescent="0.35">
      <c r="F7829" s="33"/>
      <c r="G7829" s="70"/>
      <c r="H7829" s="400"/>
      <c r="I7829" s="239"/>
    </row>
    <row r="7830" spans="6:9" x14ac:dyDescent="0.35">
      <c r="F7830" s="33"/>
      <c r="G7830" s="70"/>
      <c r="H7830" s="400"/>
      <c r="I7830" s="239"/>
    </row>
    <row r="7831" spans="6:9" x14ac:dyDescent="0.35">
      <c r="F7831" s="33"/>
      <c r="G7831" s="70"/>
      <c r="H7831" s="400"/>
      <c r="I7831" s="239"/>
    </row>
    <row r="7832" spans="6:9" x14ac:dyDescent="0.35">
      <c r="F7832" s="33"/>
      <c r="G7832" s="70"/>
      <c r="H7832" s="400"/>
      <c r="I7832" s="239"/>
    </row>
    <row r="7833" spans="6:9" x14ac:dyDescent="0.35">
      <c r="F7833" s="33"/>
      <c r="G7833" s="70"/>
      <c r="H7833" s="400"/>
      <c r="I7833" s="239"/>
    </row>
    <row r="7834" spans="6:9" x14ac:dyDescent="0.35">
      <c r="F7834" s="33"/>
      <c r="G7834" s="70"/>
      <c r="H7834" s="400"/>
      <c r="I7834" s="239"/>
    </row>
    <row r="7835" spans="6:9" x14ac:dyDescent="0.35">
      <c r="F7835" s="33"/>
      <c r="G7835" s="70"/>
      <c r="H7835" s="400"/>
      <c r="I7835" s="239"/>
    </row>
    <row r="7836" spans="6:9" x14ac:dyDescent="0.35">
      <c r="F7836" s="33"/>
      <c r="G7836" s="70"/>
      <c r="H7836" s="400"/>
      <c r="I7836" s="239"/>
    </row>
    <row r="7837" spans="6:9" x14ac:dyDescent="0.35">
      <c r="F7837" s="33"/>
      <c r="G7837" s="70"/>
      <c r="H7837" s="400"/>
      <c r="I7837" s="239"/>
    </row>
    <row r="7838" spans="6:9" x14ac:dyDescent="0.35">
      <c r="F7838" s="33"/>
      <c r="G7838" s="70"/>
      <c r="H7838" s="400"/>
      <c r="I7838" s="239"/>
    </row>
    <row r="7839" spans="6:9" x14ac:dyDescent="0.35">
      <c r="F7839" s="33"/>
      <c r="G7839" s="70"/>
      <c r="H7839" s="400"/>
      <c r="I7839" s="239"/>
    </row>
    <row r="7840" spans="6:9" x14ac:dyDescent="0.35">
      <c r="F7840" s="33"/>
      <c r="G7840" s="70"/>
      <c r="H7840" s="400"/>
      <c r="I7840" s="239"/>
    </row>
    <row r="7841" spans="6:9" x14ac:dyDescent="0.35">
      <c r="F7841" s="33"/>
      <c r="G7841" s="70"/>
      <c r="H7841" s="400"/>
      <c r="I7841" s="239"/>
    </row>
    <row r="7842" spans="6:9" x14ac:dyDescent="0.35">
      <c r="F7842" s="33"/>
      <c r="G7842" s="70"/>
      <c r="H7842" s="400"/>
      <c r="I7842" s="239"/>
    </row>
    <row r="7843" spans="6:9" x14ac:dyDescent="0.35">
      <c r="F7843" s="33"/>
      <c r="G7843" s="70"/>
      <c r="H7843" s="400"/>
      <c r="I7843" s="239"/>
    </row>
    <row r="7844" spans="6:9" x14ac:dyDescent="0.35">
      <c r="F7844" s="33"/>
      <c r="G7844" s="70"/>
      <c r="H7844" s="400"/>
      <c r="I7844" s="239"/>
    </row>
    <row r="7845" spans="6:9" x14ac:dyDescent="0.35">
      <c r="F7845" s="33"/>
      <c r="G7845" s="70"/>
      <c r="H7845" s="400"/>
      <c r="I7845" s="239"/>
    </row>
    <row r="7846" spans="6:9" x14ac:dyDescent="0.35">
      <c r="F7846" s="33"/>
      <c r="G7846" s="70"/>
      <c r="H7846" s="400"/>
      <c r="I7846" s="239"/>
    </row>
    <row r="7847" spans="6:9" x14ac:dyDescent="0.35">
      <c r="F7847" s="33"/>
      <c r="G7847" s="70"/>
      <c r="H7847" s="400"/>
      <c r="I7847" s="239"/>
    </row>
    <row r="7848" spans="6:9" x14ac:dyDescent="0.35">
      <c r="F7848" s="33"/>
      <c r="G7848" s="70"/>
      <c r="H7848" s="400"/>
      <c r="I7848" s="239"/>
    </row>
    <row r="7849" spans="6:9" x14ac:dyDescent="0.35">
      <c r="F7849" s="33"/>
      <c r="G7849" s="70"/>
      <c r="H7849" s="400"/>
      <c r="I7849" s="239"/>
    </row>
    <row r="7850" spans="6:9" x14ac:dyDescent="0.35">
      <c r="F7850" s="33"/>
      <c r="G7850" s="70"/>
      <c r="H7850" s="400"/>
      <c r="I7850" s="239"/>
    </row>
    <row r="7851" spans="6:9" x14ac:dyDescent="0.35">
      <c r="F7851" s="33"/>
      <c r="G7851" s="70"/>
      <c r="H7851" s="400"/>
      <c r="I7851" s="239"/>
    </row>
    <row r="7852" spans="6:9" x14ac:dyDescent="0.35">
      <c r="F7852" s="33"/>
      <c r="G7852" s="70"/>
      <c r="H7852" s="400"/>
      <c r="I7852" s="239"/>
    </row>
    <row r="7853" spans="6:9" x14ac:dyDescent="0.35">
      <c r="F7853" s="33"/>
      <c r="G7853" s="70"/>
      <c r="H7853" s="400"/>
      <c r="I7853" s="239"/>
    </row>
    <row r="7854" spans="6:9" x14ac:dyDescent="0.35">
      <c r="F7854" s="33"/>
      <c r="G7854" s="70"/>
      <c r="H7854" s="400"/>
      <c r="I7854" s="239"/>
    </row>
    <row r="7855" spans="6:9" x14ac:dyDescent="0.35">
      <c r="F7855" s="33"/>
      <c r="G7855" s="70"/>
      <c r="H7855" s="400"/>
      <c r="I7855" s="239"/>
    </row>
    <row r="7856" spans="6:9" x14ac:dyDescent="0.35">
      <c r="F7856" s="33"/>
      <c r="G7856" s="70"/>
      <c r="H7856" s="400"/>
      <c r="I7856" s="239"/>
    </row>
    <row r="7857" spans="6:9" x14ac:dyDescent="0.35">
      <c r="F7857" s="33"/>
      <c r="G7857" s="70"/>
      <c r="H7857" s="400"/>
      <c r="I7857" s="239"/>
    </row>
    <row r="7858" spans="6:9" x14ac:dyDescent="0.35">
      <c r="F7858" s="33"/>
      <c r="G7858" s="70"/>
      <c r="H7858" s="400"/>
      <c r="I7858" s="239"/>
    </row>
    <row r="7859" spans="6:9" x14ac:dyDescent="0.35">
      <c r="F7859" s="33"/>
      <c r="G7859" s="70"/>
      <c r="H7859" s="400"/>
      <c r="I7859" s="239"/>
    </row>
    <row r="7860" spans="6:9" x14ac:dyDescent="0.35">
      <c r="F7860" s="33"/>
      <c r="G7860" s="70"/>
      <c r="H7860" s="400"/>
      <c r="I7860" s="239"/>
    </row>
    <row r="7861" spans="6:9" x14ac:dyDescent="0.35">
      <c r="F7861" s="33"/>
      <c r="G7861" s="70"/>
      <c r="H7861" s="400"/>
      <c r="I7861" s="239"/>
    </row>
    <row r="7862" spans="6:9" x14ac:dyDescent="0.35">
      <c r="F7862" s="33"/>
      <c r="G7862" s="70"/>
      <c r="H7862" s="400"/>
      <c r="I7862" s="239"/>
    </row>
    <row r="7863" spans="6:9" x14ac:dyDescent="0.35">
      <c r="F7863" s="33"/>
      <c r="G7863" s="70"/>
      <c r="H7863" s="400"/>
      <c r="I7863" s="239"/>
    </row>
    <row r="7864" spans="6:9" x14ac:dyDescent="0.35">
      <c r="F7864" s="33"/>
      <c r="G7864" s="70"/>
      <c r="H7864" s="400"/>
      <c r="I7864" s="239"/>
    </row>
    <row r="7865" spans="6:9" x14ac:dyDescent="0.35">
      <c r="F7865" s="33"/>
      <c r="G7865" s="70"/>
      <c r="H7865" s="400"/>
      <c r="I7865" s="239"/>
    </row>
    <row r="7866" spans="6:9" x14ac:dyDescent="0.35">
      <c r="F7866" s="33"/>
      <c r="G7866" s="70"/>
      <c r="H7866" s="400"/>
      <c r="I7866" s="239"/>
    </row>
    <row r="7867" spans="6:9" x14ac:dyDescent="0.35">
      <c r="F7867" s="33"/>
      <c r="G7867" s="70"/>
      <c r="H7867" s="400"/>
      <c r="I7867" s="239"/>
    </row>
    <row r="7868" spans="6:9" x14ac:dyDescent="0.35">
      <c r="F7868" s="33"/>
      <c r="G7868" s="70"/>
      <c r="H7868" s="400"/>
      <c r="I7868" s="239"/>
    </row>
    <row r="7869" spans="6:9" x14ac:dyDescent="0.35">
      <c r="F7869" s="33"/>
      <c r="G7869" s="70"/>
      <c r="H7869" s="400"/>
      <c r="I7869" s="239"/>
    </row>
    <row r="7870" spans="6:9" x14ac:dyDescent="0.35">
      <c r="F7870" s="33"/>
      <c r="G7870" s="70"/>
      <c r="H7870" s="400"/>
      <c r="I7870" s="239"/>
    </row>
    <row r="7871" spans="6:9" x14ac:dyDescent="0.35">
      <c r="F7871" s="33"/>
      <c r="G7871" s="70"/>
      <c r="H7871" s="400"/>
      <c r="I7871" s="239"/>
    </row>
    <row r="7872" spans="6:9" x14ac:dyDescent="0.35">
      <c r="F7872" s="33"/>
      <c r="G7872" s="70"/>
      <c r="H7872" s="400"/>
      <c r="I7872" s="239"/>
    </row>
    <row r="7873" spans="6:9" x14ac:dyDescent="0.35">
      <c r="F7873" s="33"/>
      <c r="G7873" s="70"/>
      <c r="H7873" s="400"/>
      <c r="I7873" s="239"/>
    </row>
    <row r="7874" spans="6:9" x14ac:dyDescent="0.35">
      <c r="F7874" s="33"/>
      <c r="G7874" s="70"/>
      <c r="H7874" s="400"/>
      <c r="I7874" s="239"/>
    </row>
    <row r="7875" spans="6:9" x14ac:dyDescent="0.35">
      <c r="F7875" s="33"/>
      <c r="G7875" s="70"/>
      <c r="H7875" s="400"/>
      <c r="I7875" s="239"/>
    </row>
    <row r="7876" spans="6:9" x14ac:dyDescent="0.35">
      <c r="F7876" s="33"/>
      <c r="G7876" s="70"/>
      <c r="H7876" s="400"/>
      <c r="I7876" s="239"/>
    </row>
    <row r="7877" spans="6:9" x14ac:dyDescent="0.35">
      <c r="F7877" s="33"/>
      <c r="G7877" s="70"/>
      <c r="H7877" s="400"/>
      <c r="I7877" s="239"/>
    </row>
    <row r="7878" spans="6:9" x14ac:dyDescent="0.35">
      <c r="F7878" s="33"/>
      <c r="G7878" s="70"/>
      <c r="H7878" s="400"/>
      <c r="I7878" s="239"/>
    </row>
    <row r="7879" spans="6:9" x14ac:dyDescent="0.35">
      <c r="F7879" s="33"/>
      <c r="G7879" s="70"/>
      <c r="H7879" s="400"/>
      <c r="I7879" s="239"/>
    </row>
    <row r="7880" spans="6:9" x14ac:dyDescent="0.35">
      <c r="F7880" s="33"/>
      <c r="G7880" s="70"/>
      <c r="H7880" s="400"/>
      <c r="I7880" s="239"/>
    </row>
    <row r="7881" spans="6:9" x14ac:dyDescent="0.35">
      <c r="F7881" s="33"/>
      <c r="G7881" s="70"/>
      <c r="H7881" s="400"/>
      <c r="I7881" s="239"/>
    </row>
    <row r="7882" spans="6:9" x14ac:dyDescent="0.35">
      <c r="F7882" s="33"/>
      <c r="G7882" s="70"/>
      <c r="H7882" s="400"/>
      <c r="I7882" s="239"/>
    </row>
    <row r="7883" spans="6:9" x14ac:dyDescent="0.35">
      <c r="F7883" s="33"/>
      <c r="G7883" s="70"/>
      <c r="H7883" s="400"/>
      <c r="I7883" s="239"/>
    </row>
    <row r="7884" spans="6:9" x14ac:dyDescent="0.35">
      <c r="F7884" s="33"/>
      <c r="G7884" s="70"/>
      <c r="H7884" s="400"/>
      <c r="I7884" s="239"/>
    </row>
    <row r="7885" spans="6:9" x14ac:dyDescent="0.35">
      <c r="F7885" s="33"/>
      <c r="G7885" s="70"/>
      <c r="H7885" s="400"/>
      <c r="I7885" s="239"/>
    </row>
    <row r="7886" spans="6:9" x14ac:dyDescent="0.35">
      <c r="F7886" s="33"/>
      <c r="G7886" s="70"/>
      <c r="H7886" s="400"/>
      <c r="I7886" s="239"/>
    </row>
    <row r="7887" spans="6:9" x14ac:dyDescent="0.35">
      <c r="F7887" s="33"/>
      <c r="G7887" s="70"/>
      <c r="H7887" s="400"/>
      <c r="I7887" s="239"/>
    </row>
    <row r="7888" spans="6:9" x14ac:dyDescent="0.35">
      <c r="F7888" s="33"/>
      <c r="G7888" s="70"/>
      <c r="H7888" s="400"/>
      <c r="I7888" s="239"/>
    </row>
    <row r="7889" spans="6:9" x14ac:dyDescent="0.35">
      <c r="F7889" s="33"/>
      <c r="G7889" s="70"/>
      <c r="H7889" s="400"/>
      <c r="I7889" s="239"/>
    </row>
    <row r="7890" spans="6:9" x14ac:dyDescent="0.35">
      <c r="F7890" s="33"/>
      <c r="G7890" s="70"/>
      <c r="H7890" s="400"/>
      <c r="I7890" s="239"/>
    </row>
    <row r="7891" spans="6:9" x14ac:dyDescent="0.35">
      <c r="F7891" s="33"/>
      <c r="G7891" s="70"/>
      <c r="H7891" s="400"/>
      <c r="I7891" s="239"/>
    </row>
    <row r="7892" spans="6:9" x14ac:dyDescent="0.35">
      <c r="F7892" s="33"/>
      <c r="G7892" s="70"/>
      <c r="H7892" s="400"/>
      <c r="I7892" s="239"/>
    </row>
    <row r="7893" spans="6:9" x14ac:dyDescent="0.35">
      <c r="F7893" s="33"/>
      <c r="G7893" s="70"/>
      <c r="H7893" s="400"/>
      <c r="I7893" s="239"/>
    </row>
    <row r="7894" spans="6:9" x14ac:dyDescent="0.35">
      <c r="F7894" s="33"/>
      <c r="G7894" s="70"/>
      <c r="H7894" s="400"/>
      <c r="I7894" s="239"/>
    </row>
    <row r="7895" spans="6:9" x14ac:dyDescent="0.35">
      <c r="F7895" s="33"/>
      <c r="G7895" s="70"/>
      <c r="H7895" s="400"/>
      <c r="I7895" s="239"/>
    </row>
    <row r="7896" spans="6:9" x14ac:dyDescent="0.35">
      <c r="F7896" s="33"/>
      <c r="G7896" s="70"/>
      <c r="H7896" s="400"/>
      <c r="I7896" s="239"/>
    </row>
    <row r="7897" spans="6:9" x14ac:dyDescent="0.35">
      <c r="F7897" s="33"/>
      <c r="G7897" s="70"/>
      <c r="H7897" s="400"/>
      <c r="I7897" s="239"/>
    </row>
    <row r="7898" spans="6:9" x14ac:dyDescent="0.35">
      <c r="F7898" s="33"/>
      <c r="G7898" s="70"/>
      <c r="H7898" s="400"/>
      <c r="I7898" s="239"/>
    </row>
    <row r="7899" spans="6:9" x14ac:dyDescent="0.35">
      <c r="F7899" s="33"/>
      <c r="G7899" s="70"/>
      <c r="H7899" s="400"/>
      <c r="I7899" s="239"/>
    </row>
    <row r="7900" spans="6:9" x14ac:dyDescent="0.35">
      <c r="F7900" s="33"/>
      <c r="G7900" s="70"/>
      <c r="H7900" s="400"/>
      <c r="I7900" s="239"/>
    </row>
    <row r="7901" spans="6:9" x14ac:dyDescent="0.35">
      <c r="F7901" s="33"/>
      <c r="G7901" s="70"/>
      <c r="H7901" s="400"/>
      <c r="I7901" s="239"/>
    </row>
    <row r="7902" spans="6:9" x14ac:dyDescent="0.35">
      <c r="F7902" s="33"/>
      <c r="G7902" s="70"/>
      <c r="H7902" s="400"/>
      <c r="I7902" s="239"/>
    </row>
    <row r="7903" spans="6:9" x14ac:dyDescent="0.35">
      <c r="F7903" s="33"/>
      <c r="G7903" s="70"/>
      <c r="H7903" s="400"/>
      <c r="I7903" s="239"/>
    </row>
    <row r="7904" spans="6:9" x14ac:dyDescent="0.35">
      <c r="F7904" s="33"/>
      <c r="G7904" s="70"/>
      <c r="H7904" s="400"/>
      <c r="I7904" s="239"/>
    </row>
    <row r="7905" spans="6:9" x14ac:dyDescent="0.35">
      <c r="F7905" s="33"/>
      <c r="G7905" s="70"/>
      <c r="H7905" s="400"/>
      <c r="I7905" s="239"/>
    </row>
    <row r="7906" spans="6:9" x14ac:dyDescent="0.35">
      <c r="F7906" s="33"/>
      <c r="G7906" s="70"/>
      <c r="H7906" s="400"/>
      <c r="I7906" s="239"/>
    </row>
    <row r="7907" spans="6:9" x14ac:dyDescent="0.35">
      <c r="F7907" s="33"/>
      <c r="G7907" s="70"/>
      <c r="H7907" s="400"/>
      <c r="I7907" s="239"/>
    </row>
    <row r="7908" spans="6:9" x14ac:dyDescent="0.35">
      <c r="F7908" s="33"/>
      <c r="G7908" s="70"/>
      <c r="H7908" s="400"/>
      <c r="I7908" s="239"/>
    </row>
    <row r="7909" spans="6:9" x14ac:dyDescent="0.35">
      <c r="F7909" s="33"/>
      <c r="G7909" s="70"/>
      <c r="H7909" s="400"/>
      <c r="I7909" s="239"/>
    </row>
    <row r="7910" spans="6:9" x14ac:dyDescent="0.35">
      <c r="F7910" s="33"/>
      <c r="G7910" s="70"/>
      <c r="H7910" s="400"/>
      <c r="I7910" s="239"/>
    </row>
    <row r="7911" spans="6:9" x14ac:dyDescent="0.35">
      <c r="F7911" s="33"/>
      <c r="G7911" s="70"/>
      <c r="H7911" s="400"/>
      <c r="I7911" s="239"/>
    </row>
    <row r="7912" spans="6:9" x14ac:dyDescent="0.35">
      <c r="F7912" s="33"/>
      <c r="G7912" s="70"/>
      <c r="H7912" s="400"/>
      <c r="I7912" s="239"/>
    </row>
    <row r="7913" spans="6:9" x14ac:dyDescent="0.35">
      <c r="F7913" s="33"/>
      <c r="G7913" s="70"/>
      <c r="H7913" s="400"/>
      <c r="I7913" s="239"/>
    </row>
    <row r="7914" spans="6:9" x14ac:dyDescent="0.35">
      <c r="F7914" s="33"/>
      <c r="G7914" s="70"/>
      <c r="H7914" s="400"/>
      <c r="I7914" s="239"/>
    </row>
    <row r="7915" spans="6:9" x14ac:dyDescent="0.35">
      <c r="F7915" s="33"/>
      <c r="G7915" s="70"/>
      <c r="H7915" s="400"/>
      <c r="I7915" s="239"/>
    </row>
    <row r="7916" spans="6:9" x14ac:dyDescent="0.35">
      <c r="F7916" s="33"/>
      <c r="G7916" s="70"/>
      <c r="H7916" s="400"/>
      <c r="I7916" s="239"/>
    </row>
    <row r="7917" spans="6:9" x14ac:dyDescent="0.35">
      <c r="F7917" s="33"/>
      <c r="G7917" s="70"/>
      <c r="H7917" s="400"/>
      <c r="I7917" s="239"/>
    </row>
    <row r="7918" spans="6:9" x14ac:dyDescent="0.35">
      <c r="F7918" s="33"/>
      <c r="G7918" s="70"/>
      <c r="H7918" s="400"/>
      <c r="I7918" s="239"/>
    </row>
    <row r="7919" spans="6:9" x14ac:dyDescent="0.35">
      <c r="F7919" s="33"/>
      <c r="G7919" s="70"/>
      <c r="H7919" s="400"/>
      <c r="I7919" s="239"/>
    </row>
    <row r="7920" spans="6:9" x14ac:dyDescent="0.35">
      <c r="F7920" s="33"/>
      <c r="G7920" s="70"/>
      <c r="H7920" s="400"/>
      <c r="I7920" s="239"/>
    </row>
    <row r="7921" spans="6:9" x14ac:dyDescent="0.35">
      <c r="F7921" s="33"/>
      <c r="G7921" s="70"/>
      <c r="H7921" s="400"/>
      <c r="I7921" s="239"/>
    </row>
    <row r="7922" spans="6:9" x14ac:dyDescent="0.35">
      <c r="F7922" s="33"/>
      <c r="G7922" s="70"/>
      <c r="H7922" s="400"/>
      <c r="I7922" s="239"/>
    </row>
    <row r="7923" spans="6:9" x14ac:dyDescent="0.35">
      <c r="F7923" s="33"/>
      <c r="G7923" s="70"/>
      <c r="H7923" s="400"/>
      <c r="I7923" s="239"/>
    </row>
    <row r="7924" spans="6:9" x14ac:dyDescent="0.35">
      <c r="F7924" s="33"/>
      <c r="G7924" s="70"/>
      <c r="H7924" s="400"/>
      <c r="I7924" s="239"/>
    </row>
    <row r="7925" spans="6:9" x14ac:dyDescent="0.35">
      <c r="F7925" s="33"/>
      <c r="G7925" s="70"/>
      <c r="H7925" s="400"/>
      <c r="I7925" s="239"/>
    </row>
    <row r="7926" spans="6:9" x14ac:dyDescent="0.35">
      <c r="F7926" s="33"/>
      <c r="G7926" s="70"/>
      <c r="H7926" s="400"/>
      <c r="I7926" s="239"/>
    </row>
    <row r="7927" spans="6:9" x14ac:dyDescent="0.35">
      <c r="F7927" s="33"/>
      <c r="G7927" s="70"/>
      <c r="H7927" s="400"/>
      <c r="I7927" s="239"/>
    </row>
    <row r="7928" spans="6:9" x14ac:dyDescent="0.35">
      <c r="F7928" s="33"/>
      <c r="G7928" s="70"/>
      <c r="H7928" s="400"/>
      <c r="I7928" s="239"/>
    </row>
    <row r="7929" spans="6:9" x14ac:dyDescent="0.35">
      <c r="F7929" s="33"/>
      <c r="G7929" s="70"/>
      <c r="H7929" s="400"/>
      <c r="I7929" s="239"/>
    </row>
    <row r="7930" spans="6:9" x14ac:dyDescent="0.35">
      <c r="F7930" s="33"/>
      <c r="G7930" s="70"/>
      <c r="H7930" s="400"/>
      <c r="I7930" s="239"/>
    </row>
    <row r="7931" spans="6:9" x14ac:dyDescent="0.35">
      <c r="F7931" s="33"/>
      <c r="G7931" s="70"/>
      <c r="H7931" s="400"/>
      <c r="I7931" s="239"/>
    </row>
    <row r="7932" spans="6:9" x14ac:dyDescent="0.35">
      <c r="F7932" s="33"/>
      <c r="G7932" s="70"/>
      <c r="H7932" s="400"/>
      <c r="I7932" s="239"/>
    </row>
    <row r="7933" spans="6:9" x14ac:dyDescent="0.35">
      <c r="F7933" s="33"/>
      <c r="G7933" s="70"/>
      <c r="H7933" s="400"/>
      <c r="I7933" s="239"/>
    </row>
    <row r="7934" spans="6:9" x14ac:dyDescent="0.35">
      <c r="F7934" s="33"/>
      <c r="G7934" s="70"/>
      <c r="H7934" s="400"/>
      <c r="I7934" s="239"/>
    </row>
    <row r="7935" spans="6:9" x14ac:dyDescent="0.35">
      <c r="F7935" s="33"/>
      <c r="G7935" s="70"/>
      <c r="H7935" s="400"/>
      <c r="I7935" s="239"/>
    </row>
    <row r="7936" spans="6:9" x14ac:dyDescent="0.35">
      <c r="F7936" s="33"/>
      <c r="G7936" s="70"/>
      <c r="H7936" s="400"/>
      <c r="I7936" s="239"/>
    </row>
    <row r="7937" spans="6:9" x14ac:dyDescent="0.35">
      <c r="F7937" s="33"/>
      <c r="G7937" s="70"/>
      <c r="H7937" s="400"/>
      <c r="I7937" s="239"/>
    </row>
    <row r="7938" spans="6:9" x14ac:dyDescent="0.35">
      <c r="F7938" s="33"/>
      <c r="G7938" s="70"/>
      <c r="H7938" s="400"/>
      <c r="I7938" s="239"/>
    </row>
    <row r="7939" spans="6:9" x14ac:dyDescent="0.35">
      <c r="F7939" s="33"/>
      <c r="G7939" s="70"/>
      <c r="H7939" s="400"/>
      <c r="I7939" s="239"/>
    </row>
    <row r="7940" spans="6:9" x14ac:dyDescent="0.35">
      <c r="F7940" s="33"/>
      <c r="G7940" s="70"/>
      <c r="H7940" s="400"/>
      <c r="I7940" s="239"/>
    </row>
    <row r="7941" spans="6:9" x14ac:dyDescent="0.35">
      <c r="F7941" s="33"/>
      <c r="G7941" s="70"/>
      <c r="H7941" s="400"/>
      <c r="I7941" s="239"/>
    </row>
    <row r="7942" spans="6:9" x14ac:dyDescent="0.35">
      <c r="F7942" s="33"/>
      <c r="G7942" s="70"/>
      <c r="H7942" s="400"/>
      <c r="I7942" s="239"/>
    </row>
    <row r="7943" spans="6:9" x14ac:dyDescent="0.35">
      <c r="F7943" s="33"/>
      <c r="G7943" s="70"/>
      <c r="H7943" s="400"/>
      <c r="I7943" s="239"/>
    </row>
    <row r="7944" spans="6:9" x14ac:dyDescent="0.35">
      <c r="F7944" s="33"/>
      <c r="G7944" s="70"/>
      <c r="H7944" s="400"/>
      <c r="I7944" s="239"/>
    </row>
    <row r="7945" spans="6:9" x14ac:dyDescent="0.35">
      <c r="F7945" s="33"/>
      <c r="G7945" s="70"/>
      <c r="H7945" s="400"/>
      <c r="I7945" s="239"/>
    </row>
    <row r="7946" spans="6:9" x14ac:dyDescent="0.35">
      <c r="F7946" s="33"/>
      <c r="G7946" s="70"/>
      <c r="H7946" s="400"/>
      <c r="I7946" s="239"/>
    </row>
    <row r="7947" spans="6:9" x14ac:dyDescent="0.35">
      <c r="F7947" s="33"/>
      <c r="G7947" s="70"/>
      <c r="H7947" s="400"/>
      <c r="I7947" s="239"/>
    </row>
    <row r="7948" spans="6:9" x14ac:dyDescent="0.35">
      <c r="F7948" s="33"/>
      <c r="G7948" s="70"/>
      <c r="H7948" s="400"/>
      <c r="I7948" s="239"/>
    </row>
    <row r="7949" spans="6:9" x14ac:dyDescent="0.35">
      <c r="F7949" s="33"/>
      <c r="G7949" s="70"/>
      <c r="H7949" s="400"/>
      <c r="I7949" s="239"/>
    </row>
    <row r="7950" spans="6:9" x14ac:dyDescent="0.35">
      <c r="F7950" s="33"/>
      <c r="G7950" s="70"/>
      <c r="H7950" s="400"/>
      <c r="I7950" s="239"/>
    </row>
    <row r="7951" spans="6:9" x14ac:dyDescent="0.35">
      <c r="F7951" s="33"/>
      <c r="G7951" s="70"/>
      <c r="H7951" s="400"/>
      <c r="I7951" s="239"/>
    </row>
    <row r="7952" spans="6:9" x14ac:dyDescent="0.35">
      <c r="F7952" s="33"/>
      <c r="G7952" s="70"/>
      <c r="H7952" s="400"/>
      <c r="I7952" s="239"/>
    </row>
    <row r="7953" spans="6:9" x14ac:dyDescent="0.35">
      <c r="F7953" s="33"/>
      <c r="G7953" s="70"/>
      <c r="H7953" s="400"/>
      <c r="I7953" s="239"/>
    </row>
    <row r="7954" spans="6:9" x14ac:dyDescent="0.35">
      <c r="F7954" s="33"/>
      <c r="G7954" s="70"/>
      <c r="H7954" s="400"/>
      <c r="I7954" s="239"/>
    </row>
    <row r="7955" spans="6:9" x14ac:dyDescent="0.35">
      <c r="F7955" s="33"/>
      <c r="G7955" s="70"/>
      <c r="H7955" s="400"/>
      <c r="I7955" s="239"/>
    </row>
    <row r="7956" spans="6:9" x14ac:dyDescent="0.35">
      <c r="F7956" s="33"/>
      <c r="G7956" s="70"/>
      <c r="H7956" s="400"/>
      <c r="I7956" s="239"/>
    </row>
    <row r="7957" spans="6:9" x14ac:dyDescent="0.35">
      <c r="F7957" s="33"/>
      <c r="G7957" s="70"/>
      <c r="H7957" s="400"/>
      <c r="I7957" s="239"/>
    </row>
    <row r="7958" spans="6:9" x14ac:dyDescent="0.35">
      <c r="F7958" s="33"/>
      <c r="G7958" s="70"/>
      <c r="H7958" s="400"/>
      <c r="I7958" s="239"/>
    </row>
    <row r="7959" spans="6:9" x14ac:dyDescent="0.35">
      <c r="F7959" s="33"/>
      <c r="G7959" s="70"/>
      <c r="H7959" s="400"/>
      <c r="I7959" s="239"/>
    </row>
    <row r="7960" spans="6:9" x14ac:dyDescent="0.35">
      <c r="F7960" s="33"/>
      <c r="G7960" s="70"/>
      <c r="H7960" s="400"/>
      <c r="I7960" s="239"/>
    </row>
    <row r="7961" spans="6:9" x14ac:dyDescent="0.35">
      <c r="F7961" s="33"/>
      <c r="G7961" s="70"/>
      <c r="H7961" s="400"/>
      <c r="I7961" s="239"/>
    </row>
    <row r="7962" spans="6:9" x14ac:dyDescent="0.35">
      <c r="F7962" s="33"/>
      <c r="G7962" s="70"/>
      <c r="H7962" s="400"/>
      <c r="I7962" s="239"/>
    </row>
    <row r="7963" spans="6:9" x14ac:dyDescent="0.35">
      <c r="F7963" s="33"/>
      <c r="G7963" s="70"/>
      <c r="H7963" s="400"/>
      <c r="I7963" s="239"/>
    </row>
    <row r="7964" spans="6:9" x14ac:dyDescent="0.35">
      <c r="F7964" s="33"/>
      <c r="G7964" s="70"/>
      <c r="H7964" s="400"/>
      <c r="I7964" s="239"/>
    </row>
    <row r="7965" spans="6:9" x14ac:dyDescent="0.35">
      <c r="F7965" s="33"/>
      <c r="G7965" s="70"/>
      <c r="H7965" s="400"/>
      <c r="I7965" s="239"/>
    </row>
    <row r="7966" spans="6:9" x14ac:dyDescent="0.35">
      <c r="F7966" s="33"/>
      <c r="G7966" s="70"/>
      <c r="H7966" s="400"/>
      <c r="I7966" s="239"/>
    </row>
    <row r="7967" spans="6:9" x14ac:dyDescent="0.35">
      <c r="F7967" s="33"/>
      <c r="G7967" s="70"/>
      <c r="H7967" s="400"/>
      <c r="I7967" s="239"/>
    </row>
    <row r="7968" spans="6:9" x14ac:dyDescent="0.35">
      <c r="F7968" s="33"/>
      <c r="G7968" s="70"/>
      <c r="H7968" s="400"/>
      <c r="I7968" s="239"/>
    </row>
    <row r="7969" spans="6:9" x14ac:dyDescent="0.35">
      <c r="F7969" s="33"/>
      <c r="G7969" s="70"/>
      <c r="H7969" s="400"/>
      <c r="I7969" s="239"/>
    </row>
    <row r="7970" spans="6:9" x14ac:dyDescent="0.35">
      <c r="F7970" s="33"/>
      <c r="G7970" s="70"/>
      <c r="H7970" s="400"/>
      <c r="I7970" s="239"/>
    </row>
    <row r="7971" spans="6:9" x14ac:dyDescent="0.35">
      <c r="F7971" s="33"/>
      <c r="G7971" s="70"/>
      <c r="H7971" s="400"/>
      <c r="I7971" s="239"/>
    </row>
    <row r="7972" spans="6:9" x14ac:dyDescent="0.35">
      <c r="F7972" s="33"/>
      <c r="G7972" s="70"/>
      <c r="H7972" s="400"/>
      <c r="I7972" s="239"/>
    </row>
    <row r="7973" spans="6:9" x14ac:dyDescent="0.35">
      <c r="F7973" s="33"/>
      <c r="G7973" s="70"/>
      <c r="H7973" s="400"/>
      <c r="I7973" s="239"/>
    </row>
    <row r="7974" spans="6:9" x14ac:dyDescent="0.35">
      <c r="F7974" s="33"/>
      <c r="G7974" s="70"/>
      <c r="H7974" s="400"/>
      <c r="I7974" s="239"/>
    </row>
    <row r="7975" spans="6:9" x14ac:dyDescent="0.35">
      <c r="F7975" s="33"/>
      <c r="G7975" s="70"/>
      <c r="H7975" s="400"/>
      <c r="I7975" s="239"/>
    </row>
    <row r="7976" spans="6:9" x14ac:dyDescent="0.35">
      <c r="F7976" s="33"/>
      <c r="G7976" s="70"/>
      <c r="H7976" s="400"/>
      <c r="I7976" s="239"/>
    </row>
    <row r="7977" spans="6:9" x14ac:dyDescent="0.35">
      <c r="F7977" s="33"/>
      <c r="G7977" s="70"/>
      <c r="H7977" s="400"/>
      <c r="I7977" s="239"/>
    </row>
    <row r="7978" spans="6:9" x14ac:dyDescent="0.35">
      <c r="F7978" s="33"/>
      <c r="G7978" s="70"/>
      <c r="H7978" s="400"/>
      <c r="I7978" s="239"/>
    </row>
    <row r="7979" spans="6:9" x14ac:dyDescent="0.35">
      <c r="F7979" s="33"/>
      <c r="G7979" s="70"/>
      <c r="H7979" s="400"/>
      <c r="I7979" s="239"/>
    </row>
    <row r="7980" spans="6:9" x14ac:dyDescent="0.35">
      <c r="F7980" s="33"/>
      <c r="G7980" s="70"/>
      <c r="H7980" s="400"/>
      <c r="I7980" s="239"/>
    </row>
    <row r="7981" spans="6:9" x14ac:dyDescent="0.35">
      <c r="F7981" s="33"/>
      <c r="G7981" s="70"/>
      <c r="H7981" s="400"/>
      <c r="I7981" s="239"/>
    </row>
    <row r="7982" spans="6:9" x14ac:dyDescent="0.35">
      <c r="F7982" s="33"/>
      <c r="G7982" s="70"/>
      <c r="H7982" s="400"/>
      <c r="I7982" s="239"/>
    </row>
    <row r="7983" spans="6:9" x14ac:dyDescent="0.35">
      <c r="F7983" s="33"/>
      <c r="G7983" s="70"/>
      <c r="H7983" s="400"/>
      <c r="I7983" s="239"/>
    </row>
    <row r="7984" spans="6:9" x14ac:dyDescent="0.35">
      <c r="F7984" s="33"/>
      <c r="G7984" s="70"/>
      <c r="H7984" s="400"/>
      <c r="I7984" s="239"/>
    </row>
    <row r="7985" spans="6:9" x14ac:dyDescent="0.35">
      <c r="F7985" s="33"/>
      <c r="G7985" s="70"/>
      <c r="H7985" s="400"/>
      <c r="I7985" s="239"/>
    </row>
    <row r="7986" spans="6:9" x14ac:dyDescent="0.35">
      <c r="F7986" s="33"/>
      <c r="G7986" s="70"/>
      <c r="H7986" s="400"/>
      <c r="I7986" s="239"/>
    </row>
    <row r="7987" spans="6:9" x14ac:dyDescent="0.35">
      <c r="F7987" s="33"/>
      <c r="G7987" s="70"/>
      <c r="H7987" s="400"/>
      <c r="I7987" s="239"/>
    </row>
    <row r="7988" spans="6:9" x14ac:dyDescent="0.35">
      <c r="F7988" s="33"/>
      <c r="G7988" s="70"/>
      <c r="H7988" s="400"/>
      <c r="I7988" s="239"/>
    </row>
    <row r="7989" spans="6:9" x14ac:dyDescent="0.35">
      <c r="F7989" s="33"/>
      <c r="G7989" s="70"/>
      <c r="H7989" s="400"/>
      <c r="I7989" s="239"/>
    </row>
    <row r="7990" spans="6:9" x14ac:dyDescent="0.35">
      <c r="F7990" s="33"/>
      <c r="G7990" s="70"/>
      <c r="H7990" s="400"/>
      <c r="I7990" s="239"/>
    </row>
    <row r="7991" spans="6:9" x14ac:dyDescent="0.35">
      <c r="F7991" s="33"/>
      <c r="G7991" s="70"/>
      <c r="H7991" s="400"/>
      <c r="I7991" s="239"/>
    </row>
    <row r="7992" spans="6:9" x14ac:dyDescent="0.35">
      <c r="F7992" s="33"/>
      <c r="G7992" s="70"/>
      <c r="H7992" s="400"/>
      <c r="I7992" s="239"/>
    </row>
    <row r="7993" spans="6:9" x14ac:dyDescent="0.35">
      <c r="F7993" s="33"/>
      <c r="G7993" s="70"/>
      <c r="H7993" s="400"/>
      <c r="I7993" s="239"/>
    </row>
    <row r="7994" spans="6:9" x14ac:dyDescent="0.35">
      <c r="F7994" s="33"/>
      <c r="G7994" s="70"/>
      <c r="H7994" s="400"/>
      <c r="I7994" s="239"/>
    </row>
    <row r="7995" spans="6:9" x14ac:dyDescent="0.35">
      <c r="F7995" s="33"/>
      <c r="G7995" s="70"/>
      <c r="H7995" s="400"/>
      <c r="I7995" s="239"/>
    </row>
    <row r="7996" spans="6:9" x14ac:dyDescent="0.35">
      <c r="F7996" s="33"/>
      <c r="G7996" s="70"/>
      <c r="H7996" s="400"/>
      <c r="I7996" s="239"/>
    </row>
    <row r="7997" spans="6:9" x14ac:dyDescent="0.35">
      <c r="F7997" s="33"/>
      <c r="G7997" s="70"/>
      <c r="H7997" s="400"/>
      <c r="I7997" s="239"/>
    </row>
    <row r="7998" spans="6:9" x14ac:dyDescent="0.35">
      <c r="F7998" s="33"/>
      <c r="G7998" s="70"/>
      <c r="H7998" s="400"/>
      <c r="I7998" s="239"/>
    </row>
    <row r="7999" spans="6:9" x14ac:dyDescent="0.35">
      <c r="F7999" s="33"/>
      <c r="G7999" s="70"/>
      <c r="H7999" s="400"/>
      <c r="I7999" s="239"/>
    </row>
    <row r="8000" spans="6:9" x14ac:dyDescent="0.35">
      <c r="F8000" s="33"/>
      <c r="G8000" s="70"/>
      <c r="H8000" s="400"/>
      <c r="I8000" s="239"/>
    </row>
    <row r="8001" spans="6:9" x14ac:dyDescent="0.35">
      <c r="F8001" s="33"/>
      <c r="G8001" s="70"/>
      <c r="H8001" s="400"/>
      <c r="I8001" s="239"/>
    </row>
    <row r="8002" spans="6:9" x14ac:dyDescent="0.35">
      <c r="F8002" s="33"/>
      <c r="G8002" s="70"/>
      <c r="H8002" s="400"/>
      <c r="I8002" s="239"/>
    </row>
    <row r="8003" spans="6:9" x14ac:dyDescent="0.35">
      <c r="F8003" s="33"/>
      <c r="G8003" s="70"/>
      <c r="H8003" s="400"/>
      <c r="I8003" s="239"/>
    </row>
    <row r="8004" spans="6:9" x14ac:dyDescent="0.35">
      <c r="F8004" s="33"/>
      <c r="G8004" s="70"/>
      <c r="H8004" s="400"/>
      <c r="I8004" s="239"/>
    </row>
    <row r="8005" spans="6:9" x14ac:dyDescent="0.35">
      <c r="F8005" s="33"/>
      <c r="G8005" s="70"/>
      <c r="H8005" s="400"/>
      <c r="I8005" s="239"/>
    </row>
    <row r="8006" spans="6:9" x14ac:dyDescent="0.35">
      <c r="F8006" s="33"/>
      <c r="G8006" s="70"/>
      <c r="H8006" s="400"/>
      <c r="I8006" s="239"/>
    </row>
    <row r="8007" spans="6:9" x14ac:dyDescent="0.35">
      <c r="F8007" s="33"/>
      <c r="G8007" s="70"/>
      <c r="H8007" s="400"/>
      <c r="I8007" s="239"/>
    </row>
    <row r="8008" spans="6:9" x14ac:dyDescent="0.35">
      <c r="F8008" s="33"/>
      <c r="G8008" s="70"/>
      <c r="H8008" s="400"/>
      <c r="I8008" s="239"/>
    </row>
    <row r="8009" spans="6:9" x14ac:dyDescent="0.35">
      <c r="F8009" s="33"/>
      <c r="G8009" s="70"/>
      <c r="H8009" s="400"/>
      <c r="I8009" s="239"/>
    </row>
    <row r="8010" spans="6:9" x14ac:dyDescent="0.35">
      <c r="F8010" s="33"/>
      <c r="G8010" s="70"/>
      <c r="H8010" s="400"/>
      <c r="I8010" s="239"/>
    </row>
    <row r="8011" spans="6:9" x14ac:dyDescent="0.35">
      <c r="F8011" s="33"/>
      <c r="G8011" s="70"/>
      <c r="H8011" s="400"/>
      <c r="I8011" s="239"/>
    </row>
    <row r="8012" spans="6:9" x14ac:dyDescent="0.35">
      <c r="F8012" s="33"/>
      <c r="G8012" s="70"/>
      <c r="H8012" s="400"/>
      <c r="I8012" s="239"/>
    </row>
    <row r="8013" spans="6:9" x14ac:dyDescent="0.35">
      <c r="F8013" s="33"/>
      <c r="G8013" s="70"/>
      <c r="H8013" s="400"/>
      <c r="I8013" s="239"/>
    </row>
    <row r="8014" spans="6:9" x14ac:dyDescent="0.35">
      <c r="F8014" s="33"/>
      <c r="G8014" s="70"/>
      <c r="H8014" s="400"/>
      <c r="I8014" s="239"/>
    </row>
    <row r="8015" spans="6:9" x14ac:dyDescent="0.35">
      <c r="F8015" s="33"/>
      <c r="G8015" s="70"/>
      <c r="H8015" s="400"/>
      <c r="I8015" s="239"/>
    </row>
    <row r="8016" spans="6:9" x14ac:dyDescent="0.35">
      <c r="F8016" s="33"/>
      <c r="G8016" s="70"/>
      <c r="H8016" s="400"/>
      <c r="I8016" s="239"/>
    </row>
    <row r="8017" spans="6:9" x14ac:dyDescent="0.35">
      <c r="F8017" s="33"/>
      <c r="G8017" s="70"/>
      <c r="H8017" s="400"/>
      <c r="I8017" s="239"/>
    </row>
    <row r="8018" spans="6:9" x14ac:dyDescent="0.35">
      <c r="F8018" s="33"/>
      <c r="G8018" s="70"/>
      <c r="H8018" s="400"/>
      <c r="I8018" s="239"/>
    </row>
    <row r="8019" spans="6:9" x14ac:dyDescent="0.35">
      <c r="F8019" s="33"/>
      <c r="G8019" s="70"/>
      <c r="H8019" s="400"/>
      <c r="I8019" s="239"/>
    </row>
    <row r="8020" spans="6:9" x14ac:dyDescent="0.35">
      <c r="F8020" s="33"/>
      <c r="G8020" s="70"/>
      <c r="H8020" s="400"/>
      <c r="I8020" s="239"/>
    </row>
    <row r="8021" spans="6:9" x14ac:dyDescent="0.35">
      <c r="F8021" s="33"/>
      <c r="G8021" s="70"/>
      <c r="H8021" s="400"/>
      <c r="I8021" s="239"/>
    </row>
    <row r="8022" spans="6:9" x14ac:dyDescent="0.35">
      <c r="F8022" s="33"/>
      <c r="G8022" s="70"/>
      <c r="H8022" s="400"/>
      <c r="I8022" s="239"/>
    </row>
    <row r="8023" spans="6:9" x14ac:dyDescent="0.35">
      <c r="F8023" s="33"/>
      <c r="G8023" s="70"/>
      <c r="H8023" s="400"/>
      <c r="I8023" s="239"/>
    </row>
    <row r="8024" spans="6:9" x14ac:dyDescent="0.35">
      <c r="F8024" s="33"/>
      <c r="G8024" s="70"/>
      <c r="H8024" s="400"/>
      <c r="I8024" s="239"/>
    </row>
    <row r="8025" spans="6:9" x14ac:dyDescent="0.35">
      <c r="F8025" s="33"/>
      <c r="G8025" s="70"/>
      <c r="H8025" s="400"/>
      <c r="I8025" s="239"/>
    </row>
    <row r="8026" spans="6:9" x14ac:dyDescent="0.35">
      <c r="F8026" s="33"/>
      <c r="G8026" s="70"/>
      <c r="H8026" s="400"/>
      <c r="I8026" s="239"/>
    </row>
    <row r="8027" spans="6:9" x14ac:dyDescent="0.35">
      <c r="F8027" s="33"/>
      <c r="G8027" s="70"/>
      <c r="H8027" s="400"/>
      <c r="I8027" s="239"/>
    </row>
    <row r="8028" spans="6:9" x14ac:dyDescent="0.35">
      <c r="F8028" s="33"/>
      <c r="G8028" s="70"/>
      <c r="H8028" s="400"/>
      <c r="I8028" s="239"/>
    </row>
    <row r="8029" spans="6:9" x14ac:dyDescent="0.35">
      <c r="F8029" s="33"/>
      <c r="G8029" s="70"/>
      <c r="H8029" s="400"/>
      <c r="I8029" s="239"/>
    </row>
    <row r="8030" spans="6:9" x14ac:dyDescent="0.35">
      <c r="F8030" s="33"/>
      <c r="G8030" s="70"/>
      <c r="H8030" s="400"/>
      <c r="I8030" s="239"/>
    </row>
    <row r="8031" spans="6:9" x14ac:dyDescent="0.35">
      <c r="F8031" s="33"/>
      <c r="G8031" s="70"/>
      <c r="H8031" s="400"/>
      <c r="I8031" s="239"/>
    </row>
    <row r="8032" spans="6:9" x14ac:dyDescent="0.35">
      <c r="F8032" s="33"/>
      <c r="G8032" s="70"/>
      <c r="H8032" s="400"/>
      <c r="I8032" s="239"/>
    </row>
    <row r="8033" spans="6:9" x14ac:dyDescent="0.35">
      <c r="F8033" s="33"/>
      <c r="G8033" s="70"/>
      <c r="H8033" s="400"/>
      <c r="I8033" s="239"/>
    </row>
    <row r="8034" spans="6:9" x14ac:dyDescent="0.35">
      <c r="F8034" s="33"/>
      <c r="G8034" s="70"/>
      <c r="H8034" s="400"/>
      <c r="I8034" s="239"/>
    </row>
    <row r="8035" spans="6:9" x14ac:dyDescent="0.35">
      <c r="F8035" s="33"/>
      <c r="G8035" s="70"/>
      <c r="H8035" s="400"/>
      <c r="I8035" s="239"/>
    </row>
    <row r="8036" spans="6:9" x14ac:dyDescent="0.35">
      <c r="F8036" s="33"/>
      <c r="G8036" s="70"/>
      <c r="H8036" s="400"/>
      <c r="I8036" s="239"/>
    </row>
    <row r="8037" spans="6:9" x14ac:dyDescent="0.35">
      <c r="F8037" s="33"/>
      <c r="G8037" s="70"/>
      <c r="H8037" s="400"/>
      <c r="I8037" s="239"/>
    </row>
    <row r="8038" spans="6:9" x14ac:dyDescent="0.35">
      <c r="F8038" s="33"/>
      <c r="G8038" s="70"/>
      <c r="H8038" s="400"/>
      <c r="I8038" s="239"/>
    </row>
    <row r="8039" spans="6:9" x14ac:dyDescent="0.35">
      <c r="F8039" s="33"/>
      <c r="G8039" s="70"/>
      <c r="H8039" s="400"/>
      <c r="I8039" s="239"/>
    </row>
    <row r="8040" spans="6:9" x14ac:dyDescent="0.35">
      <c r="F8040" s="33"/>
      <c r="G8040" s="70"/>
      <c r="H8040" s="400"/>
      <c r="I8040" s="239"/>
    </row>
    <row r="8041" spans="6:9" x14ac:dyDescent="0.35">
      <c r="F8041" s="33"/>
      <c r="G8041" s="70"/>
      <c r="H8041" s="400"/>
      <c r="I8041" s="239"/>
    </row>
    <row r="8042" spans="6:9" x14ac:dyDescent="0.35">
      <c r="F8042" s="33"/>
      <c r="G8042" s="70"/>
      <c r="H8042" s="400"/>
      <c r="I8042" s="239"/>
    </row>
    <row r="8043" spans="6:9" x14ac:dyDescent="0.35">
      <c r="F8043" s="33"/>
      <c r="G8043" s="70"/>
      <c r="H8043" s="400"/>
      <c r="I8043" s="239"/>
    </row>
    <row r="8044" spans="6:9" x14ac:dyDescent="0.35">
      <c r="F8044" s="33"/>
      <c r="G8044" s="70"/>
      <c r="H8044" s="400"/>
      <c r="I8044" s="239"/>
    </row>
    <row r="8045" spans="6:9" x14ac:dyDescent="0.35">
      <c r="F8045" s="33"/>
      <c r="G8045" s="70"/>
      <c r="H8045" s="400"/>
      <c r="I8045" s="239"/>
    </row>
    <row r="8046" spans="6:9" x14ac:dyDescent="0.35">
      <c r="F8046" s="33"/>
      <c r="G8046" s="70"/>
      <c r="H8046" s="400"/>
      <c r="I8046" s="239"/>
    </row>
    <row r="8047" spans="6:9" x14ac:dyDescent="0.35">
      <c r="F8047" s="33"/>
      <c r="G8047" s="70"/>
      <c r="H8047" s="400"/>
      <c r="I8047" s="239"/>
    </row>
    <row r="8048" spans="6:9" x14ac:dyDescent="0.35">
      <c r="F8048" s="33"/>
      <c r="G8048" s="70"/>
      <c r="H8048" s="400"/>
      <c r="I8048" s="239"/>
    </row>
    <row r="8049" spans="6:9" x14ac:dyDescent="0.35">
      <c r="F8049" s="33"/>
      <c r="G8049" s="70"/>
      <c r="H8049" s="400"/>
      <c r="I8049" s="239"/>
    </row>
    <row r="8050" spans="6:9" x14ac:dyDescent="0.35">
      <c r="F8050" s="33"/>
      <c r="G8050" s="70"/>
      <c r="H8050" s="400"/>
      <c r="I8050" s="239"/>
    </row>
    <row r="8051" spans="6:9" x14ac:dyDescent="0.35">
      <c r="F8051" s="33"/>
      <c r="G8051" s="70"/>
      <c r="H8051" s="400"/>
      <c r="I8051" s="239"/>
    </row>
    <row r="8052" spans="6:9" x14ac:dyDescent="0.35">
      <c r="F8052" s="33"/>
      <c r="G8052" s="70"/>
      <c r="H8052" s="400"/>
      <c r="I8052" s="239"/>
    </row>
    <row r="8053" spans="6:9" x14ac:dyDescent="0.35">
      <c r="F8053" s="33"/>
      <c r="G8053" s="70"/>
      <c r="H8053" s="400"/>
      <c r="I8053" s="239"/>
    </row>
    <row r="8054" spans="6:9" x14ac:dyDescent="0.35">
      <c r="F8054" s="33"/>
      <c r="G8054" s="70"/>
      <c r="H8054" s="400"/>
      <c r="I8054" s="239"/>
    </row>
    <row r="8055" spans="6:9" x14ac:dyDescent="0.35">
      <c r="F8055" s="33"/>
      <c r="G8055" s="70"/>
      <c r="H8055" s="400"/>
      <c r="I8055" s="239"/>
    </row>
    <row r="8056" spans="6:9" x14ac:dyDescent="0.35">
      <c r="F8056" s="33"/>
      <c r="G8056" s="70"/>
      <c r="H8056" s="400"/>
      <c r="I8056" s="239"/>
    </row>
    <row r="8057" spans="6:9" x14ac:dyDescent="0.35">
      <c r="F8057" s="33"/>
      <c r="G8057" s="70"/>
      <c r="H8057" s="400"/>
      <c r="I8057" s="239"/>
    </row>
    <row r="8058" spans="6:9" x14ac:dyDescent="0.35">
      <c r="F8058" s="33"/>
      <c r="G8058" s="70"/>
      <c r="H8058" s="400"/>
      <c r="I8058" s="239"/>
    </row>
    <row r="8059" spans="6:9" x14ac:dyDescent="0.35">
      <c r="F8059" s="33"/>
      <c r="G8059" s="70"/>
      <c r="H8059" s="400"/>
      <c r="I8059" s="239"/>
    </row>
    <row r="8060" spans="6:9" x14ac:dyDescent="0.35">
      <c r="F8060" s="33"/>
      <c r="G8060" s="70"/>
      <c r="H8060" s="400"/>
      <c r="I8060" s="239"/>
    </row>
    <row r="8061" spans="6:9" x14ac:dyDescent="0.35">
      <c r="F8061" s="33"/>
      <c r="G8061" s="70"/>
      <c r="H8061" s="400"/>
      <c r="I8061" s="239"/>
    </row>
    <row r="8062" spans="6:9" x14ac:dyDescent="0.35">
      <c r="F8062" s="33"/>
      <c r="G8062" s="70"/>
      <c r="H8062" s="400"/>
      <c r="I8062" s="239"/>
    </row>
    <row r="8063" spans="6:9" x14ac:dyDescent="0.35">
      <c r="F8063" s="33"/>
      <c r="G8063" s="70"/>
      <c r="H8063" s="400"/>
      <c r="I8063" s="239"/>
    </row>
    <row r="8064" spans="6:9" x14ac:dyDescent="0.35">
      <c r="F8064" s="33"/>
      <c r="G8064" s="70"/>
      <c r="H8064" s="400"/>
      <c r="I8064" s="239"/>
    </row>
    <row r="8065" spans="6:9" x14ac:dyDescent="0.35">
      <c r="F8065" s="33"/>
      <c r="G8065" s="70"/>
      <c r="H8065" s="400"/>
      <c r="I8065" s="239"/>
    </row>
    <row r="8066" spans="6:9" x14ac:dyDescent="0.35">
      <c r="F8066" s="33"/>
      <c r="G8066" s="70"/>
      <c r="H8066" s="400"/>
      <c r="I8066" s="239"/>
    </row>
    <row r="8067" spans="6:9" x14ac:dyDescent="0.35">
      <c r="F8067" s="33"/>
      <c r="G8067" s="70"/>
      <c r="H8067" s="400"/>
      <c r="I8067" s="239"/>
    </row>
    <row r="8068" spans="6:9" x14ac:dyDescent="0.35">
      <c r="F8068" s="33"/>
      <c r="G8068" s="70"/>
      <c r="H8068" s="400"/>
      <c r="I8068" s="239"/>
    </row>
    <row r="8069" spans="6:9" x14ac:dyDescent="0.35">
      <c r="F8069" s="33"/>
      <c r="G8069" s="70"/>
      <c r="H8069" s="400"/>
      <c r="I8069" s="239"/>
    </row>
    <row r="8070" spans="6:9" x14ac:dyDescent="0.35">
      <c r="F8070" s="33"/>
      <c r="G8070" s="70"/>
      <c r="H8070" s="400"/>
      <c r="I8070" s="239"/>
    </row>
    <row r="8071" spans="6:9" x14ac:dyDescent="0.35">
      <c r="F8071" s="33"/>
      <c r="G8071" s="70"/>
      <c r="H8071" s="400"/>
      <c r="I8071" s="239"/>
    </row>
    <row r="8072" spans="6:9" x14ac:dyDescent="0.35">
      <c r="F8072" s="33"/>
      <c r="G8072" s="70"/>
      <c r="H8072" s="400"/>
      <c r="I8072" s="239"/>
    </row>
    <row r="8073" spans="6:9" x14ac:dyDescent="0.35">
      <c r="F8073" s="33"/>
      <c r="G8073" s="70"/>
      <c r="H8073" s="400"/>
      <c r="I8073" s="239"/>
    </row>
    <row r="8074" spans="6:9" x14ac:dyDescent="0.35">
      <c r="F8074" s="33"/>
      <c r="G8074" s="70"/>
      <c r="H8074" s="400"/>
      <c r="I8074" s="239"/>
    </row>
    <row r="8075" spans="6:9" x14ac:dyDescent="0.35">
      <c r="F8075" s="33"/>
      <c r="G8075" s="70"/>
      <c r="H8075" s="400"/>
      <c r="I8075" s="239"/>
    </row>
    <row r="8076" spans="6:9" x14ac:dyDescent="0.35">
      <c r="F8076" s="33"/>
      <c r="G8076" s="70"/>
      <c r="H8076" s="400"/>
      <c r="I8076" s="239"/>
    </row>
    <row r="8077" spans="6:9" x14ac:dyDescent="0.35">
      <c r="F8077" s="33"/>
      <c r="G8077" s="70"/>
      <c r="H8077" s="400"/>
      <c r="I8077" s="239"/>
    </row>
    <row r="8078" spans="6:9" x14ac:dyDescent="0.35">
      <c r="F8078" s="33"/>
      <c r="G8078" s="70"/>
      <c r="H8078" s="400"/>
      <c r="I8078" s="239"/>
    </row>
    <row r="8079" spans="6:9" x14ac:dyDescent="0.35">
      <c r="F8079" s="33"/>
      <c r="G8079" s="70"/>
      <c r="H8079" s="400"/>
      <c r="I8079" s="239"/>
    </row>
    <row r="8080" spans="6:9" x14ac:dyDescent="0.35">
      <c r="F8080" s="33"/>
      <c r="G8080" s="70"/>
      <c r="H8080" s="400"/>
      <c r="I8080" s="239"/>
    </row>
    <row r="8081" spans="6:9" x14ac:dyDescent="0.35">
      <c r="F8081" s="33"/>
      <c r="G8081" s="70"/>
      <c r="H8081" s="400"/>
      <c r="I8081" s="239"/>
    </row>
    <row r="8082" spans="6:9" x14ac:dyDescent="0.35">
      <c r="F8082" s="33"/>
      <c r="G8082" s="70"/>
      <c r="H8082" s="400"/>
      <c r="I8082" s="239"/>
    </row>
    <row r="8083" spans="6:9" x14ac:dyDescent="0.35">
      <c r="F8083" s="33"/>
      <c r="G8083" s="70"/>
      <c r="H8083" s="400"/>
      <c r="I8083" s="239"/>
    </row>
    <row r="8084" spans="6:9" x14ac:dyDescent="0.35">
      <c r="F8084" s="33"/>
      <c r="G8084" s="70"/>
      <c r="H8084" s="400"/>
      <c r="I8084" s="239"/>
    </row>
    <row r="8085" spans="6:9" x14ac:dyDescent="0.35">
      <c r="F8085" s="33"/>
      <c r="G8085" s="70"/>
      <c r="H8085" s="400"/>
      <c r="I8085" s="239"/>
    </row>
    <row r="8086" spans="6:9" x14ac:dyDescent="0.35">
      <c r="F8086" s="33"/>
      <c r="G8086" s="70"/>
      <c r="H8086" s="400"/>
      <c r="I8086" s="239"/>
    </row>
    <row r="8087" spans="6:9" x14ac:dyDescent="0.35">
      <c r="F8087" s="33"/>
      <c r="G8087" s="70"/>
      <c r="H8087" s="400"/>
      <c r="I8087" s="239"/>
    </row>
    <row r="8088" spans="6:9" x14ac:dyDescent="0.35">
      <c r="F8088" s="33"/>
      <c r="G8088" s="70"/>
      <c r="H8088" s="400"/>
      <c r="I8088" s="239"/>
    </row>
    <row r="8089" spans="6:9" x14ac:dyDescent="0.35">
      <c r="F8089" s="33"/>
      <c r="G8089" s="70"/>
      <c r="H8089" s="400"/>
      <c r="I8089" s="239"/>
    </row>
    <row r="8090" spans="6:9" x14ac:dyDescent="0.35">
      <c r="F8090" s="33"/>
      <c r="G8090" s="70"/>
      <c r="H8090" s="400"/>
      <c r="I8090" s="239"/>
    </row>
    <row r="8091" spans="6:9" x14ac:dyDescent="0.35">
      <c r="F8091" s="33"/>
      <c r="G8091" s="70"/>
      <c r="H8091" s="400"/>
      <c r="I8091" s="239"/>
    </row>
    <row r="8092" spans="6:9" x14ac:dyDescent="0.35">
      <c r="F8092" s="33"/>
      <c r="G8092" s="70"/>
      <c r="H8092" s="400"/>
      <c r="I8092" s="239"/>
    </row>
    <row r="8093" spans="6:9" x14ac:dyDescent="0.35">
      <c r="F8093" s="33"/>
      <c r="G8093" s="70"/>
      <c r="H8093" s="400"/>
      <c r="I8093" s="239"/>
    </row>
    <row r="8094" spans="6:9" x14ac:dyDescent="0.35">
      <c r="F8094" s="33"/>
      <c r="G8094" s="70"/>
      <c r="H8094" s="400"/>
      <c r="I8094" s="239"/>
    </row>
    <row r="8095" spans="6:9" x14ac:dyDescent="0.35">
      <c r="F8095" s="33"/>
      <c r="G8095" s="70"/>
      <c r="H8095" s="400"/>
      <c r="I8095" s="239"/>
    </row>
    <row r="8096" spans="6:9" x14ac:dyDescent="0.35">
      <c r="F8096" s="33"/>
      <c r="G8096" s="70"/>
      <c r="H8096" s="400"/>
      <c r="I8096" s="239"/>
    </row>
    <row r="8097" spans="6:9" x14ac:dyDescent="0.35">
      <c r="F8097" s="33"/>
      <c r="G8097" s="70"/>
      <c r="H8097" s="400"/>
      <c r="I8097" s="239"/>
    </row>
    <row r="8098" spans="6:9" x14ac:dyDescent="0.35">
      <c r="F8098" s="33"/>
      <c r="G8098" s="70"/>
      <c r="H8098" s="400"/>
      <c r="I8098" s="239"/>
    </row>
    <row r="8099" spans="6:9" x14ac:dyDescent="0.35">
      <c r="F8099" s="33"/>
      <c r="G8099" s="70"/>
      <c r="H8099" s="400"/>
      <c r="I8099" s="239"/>
    </row>
    <row r="8100" spans="6:9" x14ac:dyDescent="0.35">
      <c r="F8100" s="33"/>
      <c r="G8100" s="70"/>
      <c r="H8100" s="400"/>
      <c r="I8100" s="239"/>
    </row>
    <row r="8101" spans="6:9" x14ac:dyDescent="0.35">
      <c r="F8101" s="33"/>
      <c r="G8101" s="70"/>
      <c r="H8101" s="400"/>
      <c r="I8101" s="239"/>
    </row>
    <row r="8102" spans="6:9" x14ac:dyDescent="0.35">
      <c r="F8102" s="33"/>
      <c r="G8102" s="70"/>
      <c r="H8102" s="400"/>
      <c r="I8102" s="239"/>
    </row>
    <row r="8103" spans="6:9" x14ac:dyDescent="0.35">
      <c r="F8103" s="33"/>
      <c r="G8103" s="70"/>
      <c r="H8103" s="400"/>
      <c r="I8103" s="239"/>
    </row>
    <row r="8104" spans="6:9" x14ac:dyDescent="0.35">
      <c r="F8104" s="33"/>
      <c r="G8104" s="70"/>
      <c r="H8104" s="400"/>
      <c r="I8104" s="239"/>
    </row>
    <row r="8105" spans="6:9" x14ac:dyDescent="0.35">
      <c r="F8105" s="33"/>
      <c r="G8105" s="70"/>
      <c r="H8105" s="400"/>
      <c r="I8105" s="239"/>
    </row>
    <row r="8106" spans="6:9" x14ac:dyDescent="0.35">
      <c r="F8106" s="33"/>
      <c r="G8106" s="70"/>
      <c r="H8106" s="400"/>
      <c r="I8106" s="239"/>
    </row>
    <row r="8107" spans="6:9" x14ac:dyDescent="0.35">
      <c r="F8107" s="33"/>
      <c r="G8107" s="70"/>
      <c r="H8107" s="400"/>
      <c r="I8107" s="239"/>
    </row>
    <row r="8108" spans="6:9" x14ac:dyDescent="0.35">
      <c r="F8108" s="33"/>
      <c r="G8108" s="70"/>
      <c r="H8108" s="400"/>
      <c r="I8108" s="239"/>
    </row>
    <row r="8109" spans="6:9" x14ac:dyDescent="0.35">
      <c r="F8109" s="33"/>
      <c r="G8109" s="70"/>
      <c r="H8109" s="400"/>
      <c r="I8109" s="239"/>
    </row>
    <row r="8110" spans="6:9" x14ac:dyDescent="0.35">
      <c r="F8110" s="33"/>
      <c r="G8110" s="70"/>
      <c r="H8110" s="400"/>
      <c r="I8110" s="239"/>
    </row>
    <row r="8111" spans="6:9" x14ac:dyDescent="0.35">
      <c r="F8111" s="33"/>
      <c r="G8111" s="70"/>
      <c r="H8111" s="400"/>
      <c r="I8111" s="239"/>
    </row>
    <row r="8112" spans="6:9" x14ac:dyDescent="0.35">
      <c r="F8112" s="33"/>
      <c r="G8112" s="70"/>
      <c r="H8112" s="400"/>
      <c r="I8112" s="239"/>
    </row>
    <row r="8113" spans="6:9" x14ac:dyDescent="0.35">
      <c r="F8113" s="33"/>
      <c r="G8113" s="70"/>
      <c r="H8113" s="400"/>
      <c r="I8113" s="239"/>
    </row>
    <row r="8114" spans="6:9" x14ac:dyDescent="0.35">
      <c r="F8114" s="33"/>
      <c r="G8114" s="70"/>
      <c r="H8114" s="400"/>
      <c r="I8114" s="239"/>
    </row>
    <row r="8115" spans="6:9" x14ac:dyDescent="0.35">
      <c r="F8115" s="33"/>
      <c r="G8115" s="70"/>
      <c r="H8115" s="400"/>
      <c r="I8115" s="239"/>
    </row>
    <row r="8116" spans="6:9" x14ac:dyDescent="0.35">
      <c r="F8116" s="33"/>
      <c r="G8116" s="70"/>
      <c r="H8116" s="400"/>
      <c r="I8116" s="239"/>
    </row>
    <row r="8117" spans="6:9" x14ac:dyDescent="0.35">
      <c r="F8117" s="33"/>
      <c r="G8117" s="70"/>
      <c r="H8117" s="400"/>
      <c r="I8117" s="239"/>
    </row>
    <row r="8118" spans="6:9" x14ac:dyDescent="0.35">
      <c r="F8118" s="33"/>
      <c r="G8118" s="70"/>
      <c r="H8118" s="400"/>
      <c r="I8118" s="239"/>
    </row>
    <row r="8119" spans="6:9" x14ac:dyDescent="0.35">
      <c r="F8119" s="33"/>
      <c r="G8119" s="70"/>
      <c r="H8119" s="400"/>
      <c r="I8119" s="239"/>
    </row>
    <row r="8120" spans="6:9" x14ac:dyDescent="0.35">
      <c r="F8120" s="33"/>
      <c r="G8120" s="70"/>
      <c r="H8120" s="400"/>
      <c r="I8120" s="239"/>
    </row>
    <row r="8121" spans="6:9" x14ac:dyDescent="0.35">
      <c r="F8121" s="33"/>
      <c r="G8121" s="70"/>
      <c r="H8121" s="400"/>
      <c r="I8121" s="239"/>
    </row>
    <row r="8122" spans="6:9" x14ac:dyDescent="0.35">
      <c r="F8122" s="33"/>
      <c r="G8122" s="70"/>
      <c r="H8122" s="400"/>
      <c r="I8122" s="239"/>
    </row>
    <row r="8123" spans="6:9" x14ac:dyDescent="0.35">
      <c r="F8123" s="33"/>
      <c r="G8123" s="70"/>
      <c r="H8123" s="400"/>
      <c r="I8123" s="239"/>
    </row>
    <row r="8124" spans="6:9" x14ac:dyDescent="0.35">
      <c r="F8124" s="33"/>
      <c r="G8124" s="70"/>
      <c r="H8124" s="400"/>
      <c r="I8124" s="239"/>
    </row>
    <row r="8125" spans="6:9" x14ac:dyDescent="0.35">
      <c r="F8125" s="33"/>
      <c r="G8125" s="70"/>
      <c r="H8125" s="400"/>
      <c r="I8125" s="239"/>
    </row>
    <row r="8126" spans="6:9" x14ac:dyDescent="0.35">
      <c r="F8126" s="33"/>
      <c r="G8126" s="70"/>
      <c r="H8126" s="400"/>
      <c r="I8126" s="239"/>
    </row>
    <row r="8127" spans="6:9" x14ac:dyDescent="0.35">
      <c r="F8127" s="33"/>
      <c r="G8127" s="70"/>
      <c r="H8127" s="400"/>
      <c r="I8127" s="239"/>
    </row>
    <row r="8128" spans="6:9" x14ac:dyDescent="0.35">
      <c r="F8128" s="33"/>
      <c r="G8128" s="70"/>
      <c r="H8128" s="400"/>
      <c r="I8128" s="239"/>
    </row>
    <row r="8129" spans="6:9" x14ac:dyDescent="0.35">
      <c r="F8129" s="33"/>
      <c r="G8129" s="70"/>
      <c r="H8129" s="400"/>
      <c r="I8129" s="239"/>
    </row>
    <row r="8130" spans="6:9" x14ac:dyDescent="0.35">
      <c r="F8130" s="33"/>
      <c r="G8130" s="70"/>
      <c r="H8130" s="400"/>
      <c r="I8130" s="239"/>
    </row>
    <row r="8131" spans="6:9" x14ac:dyDescent="0.35">
      <c r="F8131" s="33"/>
      <c r="G8131" s="70"/>
      <c r="H8131" s="400"/>
      <c r="I8131" s="239"/>
    </row>
    <row r="8132" spans="6:9" x14ac:dyDescent="0.35">
      <c r="F8132" s="33"/>
      <c r="G8132" s="70"/>
      <c r="H8132" s="400"/>
      <c r="I8132" s="239"/>
    </row>
    <row r="8133" spans="6:9" x14ac:dyDescent="0.35">
      <c r="F8133" s="33"/>
      <c r="G8133" s="70"/>
      <c r="H8133" s="400"/>
      <c r="I8133" s="239"/>
    </row>
    <row r="8134" spans="6:9" x14ac:dyDescent="0.35">
      <c r="F8134" s="33"/>
      <c r="G8134" s="70"/>
      <c r="H8134" s="400"/>
      <c r="I8134" s="239"/>
    </row>
    <row r="8135" spans="6:9" x14ac:dyDescent="0.35">
      <c r="F8135" s="33"/>
      <c r="G8135" s="70"/>
      <c r="H8135" s="400"/>
      <c r="I8135" s="239"/>
    </row>
    <row r="8136" spans="6:9" x14ac:dyDescent="0.35">
      <c r="F8136" s="33"/>
      <c r="G8136" s="70"/>
      <c r="H8136" s="400"/>
      <c r="I8136" s="239"/>
    </row>
    <row r="8137" spans="6:9" x14ac:dyDescent="0.35">
      <c r="F8137" s="33"/>
      <c r="G8137" s="70"/>
      <c r="H8137" s="400"/>
      <c r="I8137" s="239"/>
    </row>
    <row r="8138" spans="6:9" x14ac:dyDescent="0.35">
      <c r="F8138" s="33"/>
      <c r="G8138" s="70"/>
      <c r="H8138" s="400"/>
      <c r="I8138" s="239"/>
    </row>
    <row r="8139" spans="6:9" x14ac:dyDescent="0.35">
      <c r="F8139" s="33"/>
      <c r="G8139" s="70"/>
      <c r="H8139" s="400"/>
      <c r="I8139" s="239"/>
    </row>
    <row r="8140" spans="6:9" x14ac:dyDescent="0.35">
      <c r="F8140" s="33"/>
      <c r="G8140" s="70"/>
      <c r="H8140" s="400"/>
      <c r="I8140" s="239"/>
    </row>
    <row r="8141" spans="6:9" x14ac:dyDescent="0.35">
      <c r="F8141" s="33"/>
      <c r="G8141" s="70"/>
      <c r="H8141" s="400"/>
      <c r="I8141" s="239"/>
    </row>
    <row r="8142" spans="6:9" x14ac:dyDescent="0.35">
      <c r="F8142" s="33"/>
      <c r="G8142" s="70"/>
      <c r="H8142" s="400"/>
      <c r="I8142" s="239"/>
    </row>
    <row r="8143" spans="6:9" x14ac:dyDescent="0.35">
      <c r="F8143" s="33"/>
      <c r="G8143" s="70"/>
      <c r="H8143" s="400"/>
      <c r="I8143" s="239"/>
    </row>
    <row r="8144" spans="6:9" x14ac:dyDescent="0.35">
      <c r="F8144" s="33"/>
      <c r="G8144" s="70"/>
      <c r="H8144" s="400"/>
      <c r="I8144" s="239"/>
    </row>
    <row r="8145" spans="6:9" x14ac:dyDescent="0.35">
      <c r="F8145" s="33"/>
      <c r="G8145" s="70"/>
      <c r="H8145" s="400"/>
      <c r="I8145" s="239"/>
    </row>
    <row r="8146" spans="6:9" x14ac:dyDescent="0.35">
      <c r="F8146" s="33"/>
      <c r="G8146" s="70"/>
      <c r="H8146" s="400"/>
      <c r="I8146" s="239"/>
    </row>
    <row r="8147" spans="6:9" x14ac:dyDescent="0.35">
      <c r="F8147" s="33"/>
      <c r="G8147" s="70"/>
      <c r="H8147" s="400"/>
      <c r="I8147" s="239"/>
    </row>
    <row r="8148" spans="6:9" x14ac:dyDescent="0.35">
      <c r="F8148" s="33"/>
      <c r="G8148" s="70"/>
      <c r="H8148" s="400"/>
      <c r="I8148" s="239"/>
    </row>
    <row r="8149" spans="6:9" x14ac:dyDescent="0.35">
      <c r="F8149" s="33"/>
      <c r="G8149" s="70"/>
      <c r="H8149" s="400"/>
      <c r="I8149" s="239"/>
    </row>
    <row r="8150" spans="6:9" x14ac:dyDescent="0.35">
      <c r="F8150" s="33"/>
      <c r="G8150" s="70"/>
      <c r="H8150" s="400"/>
      <c r="I8150" s="239"/>
    </row>
    <row r="8151" spans="6:9" x14ac:dyDescent="0.35">
      <c r="F8151" s="33"/>
      <c r="G8151" s="70"/>
      <c r="H8151" s="400"/>
      <c r="I8151" s="239"/>
    </row>
    <row r="8152" spans="6:9" x14ac:dyDescent="0.35">
      <c r="F8152" s="33"/>
      <c r="G8152" s="70"/>
      <c r="H8152" s="400"/>
      <c r="I8152" s="239"/>
    </row>
    <row r="8153" spans="6:9" x14ac:dyDescent="0.35">
      <c r="F8153" s="33"/>
      <c r="G8153" s="70"/>
      <c r="H8153" s="400"/>
      <c r="I8153" s="239"/>
    </row>
    <row r="8154" spans="6:9" x14ac:dyDescent="0.35">
      <c r="F8154" s="33"/>
      <c r="G8154" s="70"/>
      <c r="H8154" s="400"/>
      <c r="I8154" s="239"/>
    </row>
    <row r="8155" spans="6:9" x14ac:dyDescent="0.35">
      <c r="F8155" s="33"/>
      <c r="G8155" s="70"/>
      <c r="H8155" s="400"/>
      <c r="I8155" s="239"/>
    </row>
    <row r="8156" spans="6:9" x14ac:dyDescent="0.35">
      <c r="F8156" s="33"/>
      <c r="G8156" s="70"/>
      <c r="H8156" s="400"/>
      <c r="I8156" s="239"/>
    </row>
    <row r="8157" spans="6:9" x14ac:dyDescent="0.35">
      <c r="F8157" s="33"/>
      <c r="G8157" s="70"/>
      <c r="H8157" s="400"/>
      <c r="I8157" s="239"/>
    </row>
    <row r="8158" spans="6:9" x14ac:dyDescent="0.35">
      <c r="F8158" s="33"/>
      <c r="G8158" s="70"/>
      <c r="H8158" s="400"/>
      <c r="I8158" s="239"/>
    </row>
    <row r="8159" spans="6:9" x14ac:dyDescent="0.35">
      <c r="F8159" s="33"/>
      <c r="G8159" s="70"/>
      <c r="H8159" s="400"/>
      <c r="I8159" s="239"/>
    </row>
    <row r="8160" spans="6:9" x14ac:dyDescent="0.35">
      <c r="F8160" s="33"/>
      <c r="G8160" s="70"/>
      <c r="H8160" s="400"/>
      <c r="I8160" s="239"/>
    </row>
    <row r="8161" spans="6:9" x14ac:dyDescent="0.35">
      <c r="F8161" s="33"/>
      <c r="G8161" s="70"/>
      <c r="H8161" s="400"/>
      <c r="I8161" s="239"/>
    </row>
    <row r="8162" spans="6:9" x14ac:dyDescent="0.35">
      <c r="F8162" s="33"/>
      <c r="G8162" s="70"/>
      <c r="H8162" s="400"/>
      <c r="I8162" s="239"/>
    </row>
    <row r="8163" spans="6:9" x14ac:dyDescent="0.35">
      <c r="F8163" s="33"/>
      <c r="G8163" s="70"/>
      <c r="H8163" s="400"/>
      <c r="I8163" s="239"/>
    </row>
    <row r="8164" spans="6:9" x14ac:dyDescent="0.35">
      <c r="F8164" s="33"/>
      <c r="G8164" s="70"/>
      <c r="H8164" s="400"/>
      <c r="I8164" s="239"/>
    </row>
    <row r="8165" spans="6:9" x14ac:dyDescent="0.35">
      <c r="F8165" s="33"/>
      <c r="G8165" s="70"/>
      <c r="H8165" s="400"/>
      <c r="I8165" s="239"/>
    </row>
    <row r="8166" spans="6:9" x14ac:dyDescent="0.35">
      <c r="F8166" s="33"/>
      <c r="G8166" s="70"/>
      <c r="H8166" s="400"/>
      <c r="I8166" s="239"/>
    </row>
    <row r="8167" spans="6:9" x14ac:dyDescent="0.35">
      <c r="F8167" s="33"/>
      <c r="G8167" s="70"/>
      <c r="H8167" s="400"/>
      <c r="I8167" s="239"/>
    </row>
    <row r="8168" spans="6:9" x14ac:dyDescent="0.35">
      <c r="F8168" s="33"/>
      <c r="G8168" s="70"/>
      <c r="H8168" s="400"/>
      <c r="I8168" s="239"/>
    </row>
    <row r="8169" spans="6:9" x14ac:dyDescent="0.35">
      <c r="F8169" s="33"/>
      <c r="G8169" s="70"/>
      <c r="H8169" s="400"/>
      <c r="I8169" s="239"/>
    </row>
    <row r="8170" spans="6:9" x14ac:dyDescent="0.35">
      <c r="F8170" s="33"/>
      <c r="G8170" s="70"/>
      <c r="H8170" s="400"/>
      <c r="I8170" s="239"/>
    </row>
    <row r="8171" spans="6:9" x14ac:dyDescent="0.35">
      <c r="F8171" s="33"/>
      <c r="G8171" s="70"/>
      <c r="H8171" s="400"/>
      <c r="I8171" s="239"/>
    </row>
    <row r="8172" spans="6:9" x14ac:dyDescent="0.35">
      <c r="F8172" s="33"/>
      <c r="G8172" s="70"/>
      <c r="H8172" s="400"/>
      <c r="I8172" s="239"/>
    </row>
    <row r="8173" spans="6:9" x14ac:dyDescent="0.35">
      <c r="F8173" s="33"/>
      <c r="G8173" s="70"/>
      <c r="H8173" s="400"/>
      <c r="I8173" s="239"/>
    </row>
    <row r="8174" spans="6:9" x14ac:dyDescent="0.35">
      <c r="F8174" s="33"/>
      <c r="G8174" s="70"/>
      <c r="H8174" s="400"/>
      <c r="I8174" s="239"/>
    </row>
    <row r="8175" spans="6:9" x14ac:dyDescent="0.35">
      <c r="F8175" s="33"/>
      <c r="G8175" s="70"/>
      <c r="H8175" s="400"/>
      <c r="I8175" s="239"/>
    </row>
    <row r="8176" spans="6:9" x14ac:dyDescent="0.35">
      <c r="F8176" s="33"/>
      <c r="G8176" s="70"/>
      <c r="H8176" s="400"/>
      <c r="I8176" s="239"/>
    </row>
    <row r="8177" spans="6:9" x14ac:dyDescent="0.35">
      <c r="F8177" s="33"/>
      <c r="G8177" s="70"/>
      <c r="H8177" s="400"/>
      <c r="I8177" s="239"/>
    </row>
    <row r="8178" spans="6:9" x14ac:dyDescent="0.35">
      <c r="F8178" s="33"/>
      <c r="G8178" s="70"/>
      <c r="H8178" s="400"/>
      <c r="I8178" s="239"/>
    </row>
    <row r="8179" spans="6:9" x14ac:dyDescent="0.35">
      <c r="F8179" s="33"/>
      <c r="G8179" s="70"/>
      <c r="H8179" s="400"/>
      <c r="I8179" s="239"/>
    </row>
    <row r="8180" spans="6:9" x14ac:dyDescent="0.35">
      <c r="F8180" s="33"/>
      <c r="G8180" s="70"/>
      <c r="H8180" s="400"/>
      <c r="I8180" s="239"/>
    </row>
    <row r="8181" spans="6:9" x14ac:dyDescent="0.35">
      <c r="F8181" s="33"/>
      <c r="G8181" s="70"/>
      <c r="H8181" s="400"/>
      <c r="I8181" s="239"/>
    </row>
    <row r="8182" spans="6:9" x14ac:dyDescent="0.35">
      <c r="F8182" s="33"/>
      <c r="G8182" s="70"/>
      <c r="H8182" s="400"/>
      <c r="I8182" s="239"/>
    </row>
    <row r="8183" spans="6:9" x14ac:dyDescent="0.35">
      <c r="F8183" s="33"/>
      <c r="G8183" s="70"/>
      <c r="H8183" s="400"/>
      <c r="I8183" s="239"/>
    </row>
    <row r="8184" spans="6:9" x14ac:dyDescent="0.35">
      <c r="F8184" s="33"/>
      <c r="G8184" s="70"/>
      <c r="H8184" s="400"/>
      <c r="I8184" s="239"/>
    </row>
    <row r="8185" spans="6:9" x14ac:dyDescent="0.35">
      <c r="F8185" s="33"/>
      <c r="G8185" s="70"/>
      <c r="H8185" s="400"/>
      <c r="I8185" s="239"/>
    </row>
    <row r="8186" spans="6:9" x14ac:dyDescent="0.35">
      <c r="F8186" s="33"/>
      <c r="G8186" s="70"/>
      <c r="H8186" s="400"/>
      <c r="I8186" s="239"/>
    </row>
    <row r="8187" spans="6:9" x14ac:dyDescent="0.35">
      <c r="F8187" s="33"/>
      <c r="G8187" s="70"/>
      <c r="H8187" s="400"/>
      <c r="I8187" s="239"/>
    </row>
    <row r="8188" spans="6:9" x14ac:dyDescent="0.35">
      <c r="F8188" s="33"/>
      <c r="G8188" s="70"/>
      <c r="H8188" s="400"/>
      <c r="I8188" s="239"/>
    </row>
    <row r="8189" spans="6:9" x14ac:dyDescent="0.35">
      <c r="F8189" s="33"/>
      <c r="G8189" s="70"/>
      <c r="H8189" s="400"/>
      <c r="I8189" s="239"/>
    </row>
    <row r="8190" spans="6:9" x14ac:dyDescent="0.35">
      <c r="F8190" s="33"/>
      <c r="G8190" s="70"/>
      <c r="H8190" s="400"/>
      <c r="I8190" s="239"/>
    </row>
    <row r="8191" spans="6:9" x14ac:dyDescent="0.35">
      <c r="F8191" s="33"/>
      <c r="G8191" s="70"/>
      <c r="H8191" s="400"/>
      <c r="I8191" s="239"/>
    </row>
    <row r="8192" spans="6:9" x14ac:dyDescent="0.35">
      <c r="F8192" s="33"/>
      <c r="G8192" s="70"/>
      <c r="H8192" s="400"/>
      <c r="I8192" s="239"/>
    </row>
    <row r="8193" spans="6:9" x14ac:dyDescent="0.35">
      <c r="F8193" s="33"/>
      <c r="G8193" s="70"/>
      <c r="H8193" s="400"/>
      <c r="I8193" s="239"/>
    </row>
    <row r="8194" spans="6:9" x14ac:dyDescent="0.35">
      <c r="F8194" s="33"/>
      <c r="G8194" s="70"/>
      <c r="H8194" s="400"/>
      <c r="I8194" s="239"/>
    </row>
    <row r="8195" spans="6:9" x14ac:dyDescent="0.35">
      <c r="F8195" s="33"/>
      <c r="G8195" s="70"/>
      <c r="H8195" s="400"/>
      <c r="I8195" s="239"/>
    </row>
    <row r="8196" spans="6:9" x14ac:dyDescent="0.35">
      <c r="F8196" s="33"/>
      <c r="G8196" s="70"/>
      <c r="H8196" s="400"/>
      <c r="I8196" s="239"/>
    </row>
    <row r="8197" spans="6:9" x14ac:dyDescent="0.35">
      <c r="F8197" s="33"/>
      <c r="G8197" s="70"/>
      <c r="H8197" s="400"/>
      <c r="I8197" s="239"/>
    </row>
    <row r="8198" spans="6:9" x14ac:dyDescent="0.35">
      <c r="F8198" s="33"/>
      <c r="G8198" s="70"/>
      <c r="H8198" s="400"/>
      <c r="I8198" s="239"/>
    </row>
    <row r="8199" spans="6:9" x14ac:dyDescent="0.35">
      <c r="F8199" s="33"/>
      <c r="G8199" s="70"/>
      <c r="H8199" s="400"/>
      <c r="I8199" s="239"/>
    </row>
    <row r="8200" spans="6:9" x14ac:dyDescent="0.35">
      <c r="F8200" s="33"/>
      <c r="G8200" s="70"/>
      <c r="H8200" s="400"/>
      <c r="I8200" s="239"/>
    </row>
    <row r="8201" spans="6:9" x14ac:dyDescent="0.35">
      <c r="F8201" s="33"/>
      <c r="G8201" s="70"/>
      <c r="H8201" s="400"/>
      <c r="I8201" s="239"/>
    </row>
    <row r="8202" spans="6:9" x14ac:dyDescent="0.35">
      <c r="F8202" s="33"/>
      <c r="G8202" s="70"/>
      <c r="H8202" s="400"/>
      <c r="I8202" s="239"/>
    </row>
    <row r="8203" spans="6:9" x14ac:dyDescent="0.35">
      <c r="F8203" s="33"/>
      <c r="G8203" s="70"/>
      <c r="H8203" s="400"/>
      <c r="I8203" s="239"/>
    </row>
    <row r="8204" spans="6:9" x14ac:dyDescent="0.35">
      <c r="F8204" s="33"/>
      <c r="G8204" s="70"/>
      <c r="H8204" s="400"/>
      <c r="I8204" s="239"/>
    </row>
    <row r="8205" spans="6:9" x14ac:dyDescent="0.35">
      <c r="F8205" s="33"/>
      <c r="G8205" s="70"/>
      <c r="H8205" s="400"/>
      <c r="I8205" s="239"/>
    </row>
    <row r="8206" spans="6:9" x14ac:dyDescent="0.35">
      <c r="F8206" s="33"/>
      <c r="G8206" s="70"/>
      <c r="H8206" s="400"/>
      <c r="I8206" s="239"/>
    </row>
    <row r="8207" spans="6:9" x14ac:dyDescent="0.35">
      <c r="F8207" s="33"/>
      <c r="G8207" s="70"/>
      <c r="H8207" s="400"/>
      <c r="I8207" s="239"/>
    </row>
    <row r="8208" spans="6:9" x14ac:dyDescent="0.35">
      <c r="F8208" s="33"/>
      <c r="G8208" s="70"/>
      <c r="H8208" s="400"/>
      <c r="I8208" s="239"/>
    </row>
    <row r="8209" spans="6:9" x14ac:dyDescent="0.35">
      <c r="F8209" s="33"/>
      <c r="G8209" s="70"/>
      <c r="H8209" s="400"/>
      <c r="I8209" s="239"/>
    </row>
    <row r="8210" spans="6:9" x14ac:dyDescent="0.35">
      <c r="F8210" s="33"/>
      <c r="G8210" s="70"/>
      <c r="H8210" s="400"/>
      <c r="I8210" s="239"/>
    </row>
    <row r="8211" spans="6:9" x14ac:dyDescent="0.35">
      <c r="F8211" s="33"/>
      <c r="G8211" s="70"/>
      <c r="H8211" s="400"/>
      <c r="I8211" s="239"/>
    </row>
    <row r="8212" spans="6:9" x14ac:dyDescent="0.35">
      <c r="F8212" s="33"/>
      <c r="G8212" s="70"/>
      <c r="H8212" s="400"/>
      <c r="I8212" s="239"/>
    </row>
    <row r="8213" spans="6:9" x14ac:dyDescent="0.35">
      <c r="F8213" s="33"/>
      <c r="G8213" s="70"/>
      <c r="H8213" s="400"/>
      <c r="I8213" s="239"/>
    </row>
    <row r="8214" spans="6:9" x14ac:dyDescent="0.35">
      <c r="F8214" s="33"/>
      <c r="G8214" s="70"/>
      <c r="H8214" s="400"/>
      <c r="I8214" s="239"/>
    </row>
    <row r="8215" spans="6:9" x14ac:dyDescent="0.35">
      <c r="F8215" s="33"/>
      <c r="G8215" s="70"/>
      <c r="H8215" s="400"/>
      <c r="I8215" s="239"/>
    </row>
    <row r="8216" spans="6:9" x14ac:dyDescent="0.35">
      <c r="F8216" s="33"/>
      <c r="G8216" s="70"/>
      <c r="H8216" s="400"/>
      <c r="I8216" s="239"/>
    </row>
    <row r="8217" spans="6:9" x14ac:dyDescent="0.35">
      <c r="F8217" s="33"/>
      <c r="G8217" s="70"/>
      <c r="H8217" s="400"/>
      <c r="I8217" s="239"/>
    </row>
    <row r="8218" spans="6:9" x14ac:dyDescent="0.35">
      <c r="F8218" s="33"/>
      <c r="G8218" s="70"/>
      <c r="H8218" s="400"/>
      <c r="I8218" s="239"/>
    </row>
    <row r="8219" spans="6:9" x14ac:dyDescent="0.35">
      <c r="F8219" s="33"/>
      <c r="G8219" s="70"/>
      <c r="H8219" s="400"/>
      <c r="I8219" s="239"/>
    </row>
    <row r="8220" spans="6:9" x14ac:dyDescent="0.35">
      <c r="F8220" s="33"/>
      <c r="G8220" s="70"/>
      <c r="H8220" s="400"/>
      <c r="I8220" s="239"/>
    </row>
    <row r="8221" spans="6:9" x14ac:dyDescent="0.35">
      <c r="F8221" s="33"/>
      <c r="G8221" s="70"/>
      <c r="H8221" s="400"/>
      <c r="I8221" s="239"/>
    </row>
    <row r="8222" spans="6:9" x14ac:dyDescent="0.35">
      <c r="F8222" s="33"/>
      <c r="G8222" s="70"/>
      <c r="H8222" s="400"/>
      <c r="I8222" s="239"/>
    </row>
    <row r="8223" spans="6:9" x14ac:dyDescent="0.35">
      <c r="F8223" s="33"/>
      <c r="G8223" s="70"/>
      <c r="H8223" s="400"/>
      <c r="I8223" s="239"/>
    </row>
    <row r="8224" spans="6:9" x14ac:dyDescent="0.35">
      <c r="F8224" s="33"/>
      <c r="G8224" s="70"/>
      <c r="H8224" s="400"/>
      <c r="I8224" s="239"/>
    </row>
    <row r="8225" spans="6:9" x14ac:dyDescent="0.35">
      <c r="F8225" s="33"/>
      <c r="G8225" s="70"/>
      <c r="H8225" s="400"/>
      <c r="I8225" s="239"/>
    </row>
    <row r="8226" spans="6:9" x14ac:dyDescent="0.35">
      <c r="F8226" s="33"/>
      <c r="G8226" s="70"/>
      <c r="H8226" s="400"/>
      <c r="I8226" s="239"/>
    </row>
    <row r="8227" spans="6:9" x14ac:dyDescent="0.35">
      <c r="F8227" s="33"/>
      <c r="G8227" s="70"/>
      <c r="H8227" s="400"/>
      <c r="I8227" s="239"/>
    </row>
    <row r="8228" spans="6:9" x14ac:dyDescent="0.35">
      <c r="F8228" s="33"/>
      <c r="G8228" s="70"/>
      <c r="H8228" s="400"/>
      <c r="I8228" s="239"/>
    </row>
    <row r="8229" spans="6:9" x14ac:dyDescent="0.35">
      <c r="F8229" s="33"/>
      <c r="G8229" s="70"/>
      <c r="H8229" s="400"/>
      <c r="I8229" s="239"/>
    </row>
    <row r="8230" spans="6:9" x14ac:dyDescent="0.35">
      <c r="F8230" s="33"/>
      <c r="G8230" s="70"/>
      <c r="H8230" s="400"/>
      <c r="I8230" s="239"/>
    </row>
    <row r="8231" spans="6:9" x14ac:dyDescent="0.35">
      <c r="F8231" s="33"/>
      <c r="G8231" s="70"/>
      <c r="H8231" s="400"/>
      <c r="I8231" s="239"/>
    </row>
    <row r="8232" spans="6:9" x14ac:dyDescent="0.35">
      <c r="F8232" s="33"/>
      <c r="G8232" s="70"/>
      <c r="H8232" s="400"/>
      <c r="I8232" s="239"/>
    </row>
    <row r="8233" spans="6:9" x14ac:dyDescent="0.35">
      <c r="F8233" s="33"/>
      <c r="G8233" s="70"/>
      <c r="H8233" s="400"/>
      <c r="I8233" s="239"/>
    </row>
    <row r="8234" spans="6:9" x14ac:dyDescent="0.35">
      <c r="F8234" s="33"/>
      <c r="G8234" s="70"/>
      <c r="H8234" s="400"/>
      <c r="I8234" s="239"/>
    </row>
    <row r="8235" spans="6:9" x14ac:dyDescent="0.35">
      <c r="F8235" s="33"/>
      <c r="G8235" s="70"/>
      <c r="H8235" s="400"/>
      <c r="I8235" s="239"/>
    </row>
    <row r="8236" spans="6:9" x14ac:dyDescent="0.35">
      <c r="F8236" s="33"/>
      <c r="G8236" s="70"/>
      <c r="H8236" s="400"/>
      <c r="I8236" s="239"/>
    </row>
    <row r="8237" spans="6:9" x14ac:dyDescent="0.35">
      <c r="F8237" s="33"/>
      <c r="G8237" s="70"/>
      <c r="H8237" s="400"/>
      <c r="I8237" s="239"/>
    </row>
    <row r="8238" spans="6:9" x14ac:dyDescent="0.35">
      <c r="F8238" s="33"/>
      <c r="G8238" s="70"/>
      <c r="H8238" s="400"/>
      <c r="I8238" s="239"/>
    </row>
    <row r="8239" spans="6:9" x14ac:dyDescent="0.35">
      <c r="F8239" s="33"/>
      <c r="G8239" s="70"/>
      <c r="H8239" s="400"/>
      <c r="I8239" s="239"/>
    </row>
    <row r="8240" spans="6:9" x14ac:dyDescent="0.35">
      <c r="F8240" s="33"/>
      <c r="G8240" s="70"/>
      <c r="H8240" s="400"/>
      <c r="I8240" s="239"/>
    </row>
    <row r="8241" spans="6:9" x14ac:dyDescent="0.35">
      <c r="F8241" s="33"/>
      <c r="G8241" s="70"/>
      <c r="H8241" s="400"/>
      <c r="I8241" s="239"/>
    </row>
    <row r="8242" spans="6:9" x14ac:dyDescent="0.35">
      <c r="F8242" s="33"/>
      <c r="G8242" s="70"/>
      <c r="H8242" s="400"/>
      <c r="I8242" s="239"/>
    </row>
    <row r="8243" spans="6:9" x14ac:dyDescent="0.35">
      <c r="F8243" s="33"/>
      <c r="G8243" s="70"/>
      <c r="H8243" s="400"/>
      <c r="I8243" s="239"/>
    </row>
    <row r="8244" spans="6:9" x14ac:dyDescent="0.35">
      <c r="F8244" s="33"/>
      <c r="G8244" s="70"/>
      <c r="H8244" s="400"/>
      <c r="I8244" s="239"/>
    </row>
    <row r="8245" spans="6:9" x14ac:dyDescent="0.35">
      <c r="F8245" s="33"/>
      <c r="G8245" s="70"/>
      <c r="H8245" s="400"/>
      <c r="I8245" s="239"/>
    </row>
    <row r="8246" spans="6:9" x14ac:dyDescent="0.35">
      <c r="F8246" s="33"/>
      <c r="G8246" s="70"/>
      <c r="H8246" s="400"/>
      <c r="I8246" s="239"/>
    </row>
    <row r="8247" spans="6:9" x14ac:dyDescent="0.35">
      <c r="F8247" s="33"/>
      <c r="G8247" s="70"/>
      <c r="H8247" s="400"/>
      <c r="I8247" s="239"/>
    </row>
    <row r="8248" spans="6:9" x14ac:dyDescent="0.35">
      <c r="F8248" s="33"/>
      <c r="G8248" s="70"/>
      <c r="H8248" s="400"/>
      <c r="I8248" s="239"/>
    </row>
    <row r="8249" spans="6:9" x14ac:dyDescent="0.35">
      <c r="F8249" s="33"/>
      <c r="G8249" s="70"/>
      <c r="H8249" s="400"/>
      <c r="I8249" s="239"/>
    </row>
    <row r="8250" spans="6:9" x14ac:dyDescent="0.35">
      <c r="F8250" s="33"/>
      <c r="G8250" s="70"/>
      <c r="H8250" s="400"/>
      <c r="I8250" s="239"/>
    </row>
    <row r="8251" spans="6:9" x14ac:dyDescent="0.35">
      <c r="F8251" s="33"/>
      <c r="G8251" s="70"/>
      <c r="H8251" s="400"/>
      <c r="I8251" s="239"/>
    </row>
    <row r="8252" spans="6:9" x14ac:dyDescent="0.35">
      <c r="F8252" s="33"/>
      <c r="G8252" s="70"/>
      <c r="H8252" s="400"/>
      <c r="I8252" s="239"/>
    </row>
    <row r="8253" spans="6:9" x14ac:dyDescent="0.35">
      <c r="F8253" s="33"/>
      <c r="G8253" s="70"/>
      <c r="H8253" s="400"/>
      <c r="I8253" s="239"/>
    </row>
    <row r="8254" spans="6:9" x14ac:dyDescent="0.35">
      <c r="F8254" s="33"/>
      <c r="G8254" s="70"/>
      <c r="H8254" s="400"/>
      <c r="I8254" s="239"/>
    </row>
    <row r="8255" spans="6:9" x14ac:dyDescent="0.35">
      <c r="F8255" s="33"/>
      <c r="G8255" s="70"/>
      <c r="H8255" s="400"/>
      <c r="I8255" s="239"/>
    </row>
    <row r="8256" spans="6:9" x14ac:dyDescent="0.35">
      <c r="F8256" s="33"/>
      <c r="G8256" s="70"/>
      <c r="H8256" s="400"/>
      <c r="I8256" s="239"/>
    </row>
    <row r="8257" spans="6:9" x14ac:dyDescent="0.35">
      <c r="F8257" s="33"/>
      <c r="G8257" s="70"/>
      <c r="H8257" s="400"/>
      <c r="I8257" s="239"/>
    </row>
    <row r="8258" spans="6:9" x14ac:dyDescent="0.35">
      <c r="F8258" s="33"/>
      <c r="G8258" s="70"/>
      <c r="H8258" s="400"/>
      <c r="I8258" s="239"/>
    </row>
    <row r="8259" spans="6:9" x14ac:dyDescent="0.35">
      <c r="F8259" s="33"/>
      <c r="G8259" s="70"/>
      <c r="H8259" s="400"/>
      <c r="I8259" s="239"/>
    </row>
    <row r="8260" spans="6:9" x14ac:dyDescent="0.35">
      <c r="F8260" s="33"/>
      <c r="G8260" s="70"/>
      <c r="H8260" s="400"/>
      <c r="I8260" s="239"/>
    </row>
    <row r="8261" spans="6:9" x14ac:dyDescent="0.35">
      <c r="F8261" s="33"/>
      <c r="G8261" s="70"/>
      <c r="H8261" s="400"/>
      <c r="I8261" s="239"/>
    </row>
    <row r="8262" spans="6:9" x14ac:dyDescent="0.35">
      <c r="F8262" s="33"/>
      <c r="G8262" s="70"/>
      <c r="H8262" s="400"/>
      <c r="I8262" s="239"/>
    </row>
    <row r="8263" spans="6:9" x14ac:dyDescent="0.35">
      <c r="F8263" s="33"/>
      <c r="G8263" s="70"/>
      <c r="H8263" s="400"/>
      <c r="I8263" s="239"/>
    </row>
    <row r="8264" spans="6:9" x14ac:dyDescent="0.35">
      <c r="F8264" s="33"/>
      <c r="G8264" s="70"/>
      <c r="H8264" s="400"/>
      <c r="I8264" s="239"/>
    </row>
    <row r="8265" spans="6:9" x14ac:dyDescent="0.35">
      <c r="F8265" s="33"/>
      <c r="G8265" s="70"/>
      <c r="H8265" s="400"/>
      <c r="I8265" s="239"/>
    </row>
    <row r="8266" spans="6:9" x14ac:dyDescent="0.35">
      <c r="F8266" s="33"/>
      <c r="G8266" s="70"/>
      <c r="H8266" s="400"/>
      <c r="I8266" s="239"/>
    </row>
    <row r="8267" spans="6:9" x14ac:dyDescent="0.35">
      <c r="F8267" s="33"/>
      <c r="G8267" s="70"/>
      <c r="H8267" s="400"/>
      <c r="I8267" s="239"/>
    </row>
    <row r="8268" spans="6:9" x14ac:dyDescent="0.35">
      <c r="F8268" s="33"/>
      <c r="G8268" s="70"/>
      <c r="H8268" s="400"/>
      <c r="I8268" s="239"/>
    </row>
    <row r="8269" spans="6:9" x14ac:dyDescent="0.35">
      <c r="F8269" s="33"/>
      <c r="G8269" s="70"/>
      <c r="H8269" s="400"/>
      <c r="I8269" s="239"/>
    </row>
    <row r="8270" spans="6:9" x14ac:dyDescent="0.35">
      <c r="F8270" s="33"/>
      <c r="G8270" s="70"/>
      <c r="H8270" s="400"/>
      <c r="I8270" s="239"/>
    </row>
    <row r="8271" spans="6:9" x14ac:dyDescent="0.35">
      <c r="F8271" s="33"/>
      <c r="G8271" s="70"/>
      <c r="H8271" s="400"/>
      <c r="I8271" s="239"/>
    </row>
    <row r="8272" spans="6:9" x14ac:dyDescent="0.35">
      <c r="F8272" s="33"/>
      <c r="G8272" s="70"/>
      <c r="H8272" s="400"/>
      <c r="I8272" s="239"/>
    </row>
    <row r="8273" spans="6:9" x14ac:dyDescent="0.35">
      <c r="F8273" s="33"/>
      <c r="G8273" s="70"/>
      <c r="H8273" s="400"/>
      <c r="I8273" s="239"/>
    </row>
    <row r="8274" spans="6:9" x14ac:dyDescent="0.35">
      <c r="F8274" s="33"/>
      <c r="G8274" s="70"/>
      <c r="H8274" s="400"/>
      <c r="I8274" s="239"/>
    </row>
    <row r="8275" spans="6:9" x14ac:dyDescent="0.35">
      <c r="F8275" s="33"/>
      <c r="G8275" s="70"/>
      <c r="H8275" s="400"/>
      <c r="I8275" s="239"/>
    </row>
    <row r="8276" spans="6:9" x14ac:dyDescent="0.35">
      <c r="F8276" s="33"/>
      <c r="G8276" s="70"/>
      <c r="H8276" s="400"/>
      <c r="I8276" s="239"/>
    </row>
    <row r="8277" spans="6:9" x14ac:dyDescent="0.35">
      <c r="F8277" s="33"/>
      <c r="G8277" s="70"/>
      <c r="H8277" s="400"/>
      <c r="I8277" s="239"/>
    </row>
    <row r="8278" spans="6:9" x14ac:dyDescent="0.35">
      <c r="F8278" s="33"/>
      <c r="G8278" s="70"/>
      <c r="H8278" s="400"/>
      <c r="I8278" s="239"/>
    </row>
    <row r="8279" spans="6:9" x14ac:dyDescent="0.35">
      <c r="F8279" s="33"/>
      <c r="G8279" s="70"/>
      <c r="H8279" s="400"/>
      <c r="I8279" s="239"/>
    </row>
    <row r="8280" spans="6:9" x14ac:dyDescent="0.35">
      <c r="F8280" s="33"/>
      <c r="G8280" s="70"/>
      <c r="H8280" s="400"/>
      <c r="I8280" s="239"/>
    </row>
    <row r="8281" spans="6:9" x14ac:dyDescent="0.35">
      <c r="F8281" s="33"/>
      <c r="G8281" s="70"/>
      <c r="H8281" s="400"/>
      <c r="I8281" s="239"/>
    </row>
    <row r="8282" spans="6:9" x14ac:dyDescent="0.35">
      <c r="F8282" s="33"/>
      <c r="G8282" s="70"/>
      <c r="H8282" s="400"/>
      <c r="I8282" s="239"/>
    </row>
    <row r="8283" spans="6:9" x14ac:dyDescent="0.35">
      <c r="F8283" s="33"/>
      <c r="G8283" s="70"/>
      <c r="H8283" s="400"/>
      <c r="I8283" s="239"/>
    </row>
    <row r="8284" spans="6:9" x14ac:dyDescent="0.35">
      <c r="F8284" s="33"/>
      <c r="G8284" s="70"/>
      <c r="H8284" s="400"/>
      <c r="I8284" s="239"/>
    </row>
    <row r="8285" spans="6:9" x14ac:dyDescent="0.35">
      <c r="F8285" s="33"/>
      <c r="G8285" s="70"/>
      <c r="H8285" s="400"/>
      <c r="I8285" s="239"/>
    </row>
    <row r="8286" spans="6:9" x14ac:dyDescent="0.35">
      <c r="F8286" s="33"/>
      <c r="G8286" s="70"/>
      <c r="H8286" s="400"/>
      <c r="I8286" s="239"/>
    </row>
    <row r="8287" spans="6:9" x14ac:dyDescent="0.35">
      <c r="F8287" s="33"/>
      <c r="G8287" s="70"/>
      <c r="H8287" s="400"/>
      <c r="I8287" s="239"/>
    </row>
    <row r="8288" spans="6:9" x14ac:dyDescent="0.35">
      <c r="F8288" s="33"/>
      <c r="G8288" s="70"/>
      <c r="H8288" s="400"/>
      <c r="I8288" s="239"/>
    </row>
    <row r="8289" spans="6:9" x14ac:dyDescent="0.35">
      <c r="F8289" s="33"/>
      <c r="G8289" s="70"/>
      <c r="H8289" s="400"/>
      <c r="I8289" s="239"/>
    </row>
    <row r="8290" spans="6:9" x14ac:dyDescent="0.35">
      <c r="F8290" s="33"/>
      <c r="G8290" s="70"/>
      <c r="H8290" s="400"/>
      <c r="I8290" s="239"/>
    </row>
    <row r="8291" spans="6:9" x14ac:dyDescent="0.35">
      <c r="F8291" s="33"/>
      <c r="G8291" s="70"/>
      <c r="H8291" s="400"/>
      <c r="I8291" s="239"/>
    </row>
    <row r="8292" spans="6:9" x14ac:dyDescent="0.35">
      <c r="F8292" s="33"/>
      <c r="G8292" s="70"/>
      <c r="H8292" s="400"/>
      <c r="I8292" s="239"/>
    </row>
    <row r="8293" spans="6:9" x14ac:dyDescent="0.35">
      <c r="F8293" s="33"/>
      <c r="G8293" s="70"/>
      <c r="H8293" s="400"/>
      <c r="I8293" s="239"/>
    </row>
    <row r="8294" spans="6:9" x14ac:dyDescent="0.35">
      <c r="F8294" s="33"/>
      <c r="G8294" s="70"/>
      <c r="H8294" s="400"/>
      <c r="I8294" s="239"/>
    </row>
    <row r="8295" spans="6:9" x14ac:dyDescent="0.35">
      <c r="F8295" s="33"/>
      <c r="G8295" s="70"/>
      <c r="H8295" s="400"/>
      <c r="I8295" s="239"/>
    </row>
    <row r="8296" spans="6:9" x14ac:dyDescent="0.35">
      <c r="F8296" s="33"/>
      <c r="G8296" s="70"/>
      <c r="H8296" s="400"/>
      <c r="I8296" s="239"/>
    </row>
    <row r="8297" spans="6:9" x14ac:dyDescent="0.35">
      <c r="F8297" s="33"/>
      <c r="G8297" s="70"/>
      <c r="H8297" s="400"/>
      <c r="I8297" s="239"/>
    </row>
    <row r="8298" spans="6:9" x14ac:dyDescent="0.35">
      <c r="F8298" s="33"/>
      <c r="G8298" s="70"/>
      <c r="H8298" s="400"/>
      <c r="I8298" s="239"/>
    </row>
    <row r="8299" spans="6:9" x14ac:dyDescent="0.35">
      <c r="F8299" s="33"/>
      <c r="G8299" s="70"/>
      <c r="H8299" s="400"/>
      <c r="I8299" s="239"/>
    </row>
    <row r="8300" spans="6:9" x14ac:dyDescent="0.35">
      <c r="F8300" s="33"/>
      <c r="G8300" s="70"/>
      <c r="H8300" s="400"/>
      <c r="I8300" s="239"/>
    </row>
    <row r="8301" spans="6:9" x14ac:dyDescent="0.35">
      <c r="F8301" s="33"/>
      <c r="G8301" s="70"/>
      <c r="H8301" s="400"/>
      <c r="I8301" s="239"/>
    </row>
    <row r="8302" spans="6:9" x14ac:dyDescent="0.35">
      <c r="F8302" s="33"/>
      <c r="G8302" s="70"/>
      <c r="H8302" s="400"/>
      <c r="I8302" s="239"/>
    </row>
    <row r="8303" spans="6:9" x14ac:dyDescent="0.35">
      <c r="F8303" s="33"/>
      <c r="G8303" s="70"/>
      <c r="H8303" s="400"/>
      <c r="I8303" s="239"/>
    </row>
    <row r="8304" spans="6:9" x14ac:dyDescent="0.35">
      <c r="F8304" s="33"/>
      <c r="G8304" s="70"/>
      <c r="H8304" s="400"/>
      <c r="I8304" s="239"/>
    </row>
    <row r="8305" spans="6:9" x14ac:dyDescent="0.35">
      <c r="F8305" s="33"/>
      <c r="G8305" s="70"/>
      <c r="H8305" s="400"/>
      <c r="I8305" s="239"/>
    </row>
    <row r="8306" spans="6:9" x14ac:dyDescent="0.35">
      <c r="F8306" s="33"/>
      <c r="G8306" s="70"/>
      <c r="H8306" s="400"/>
      <c r="I8306" s="239"/>
    </row>
    <row r="8307" spans="6:9" x14ac:dyDescent="0.35">
      <c r="F8307" s="33"/>
      <c r="G8307" s="70"/>
      <c r="H8307" s="400"/>
      <c r="I8307" s="239"/>
    </row>
    <row r="8308" spans="6:9" x14ac:dyDescent="0.35">
      <c r="F8308" s="33"/>
      <c r="G8308" s="70"/>
      <c r="H8308" s="400"/>
      <c r="I8308" s="239"/>
    </row>
    <row r="8309" spans="6:9" x14ac:dyDescent="0.35">
      <c r="F8309" s="33"/>
      <c r="G8309" s="70"/>
      <c r="H8309" s="400"/>
      <c r="I8309" s="239"/>
    </row>
    <row r="8310" spans="6:9" x14ac:dyDescent="0.35">
      <c r="F8310" s="33"/>
      <c r="G8310" s="70"/>
      <c r="H8310" s="400"/>
      <c r="I8310" s="239"/>
    </row>
    <row r="8311" spans="6:9" x14ac:dyDescent="0.35">
      <c r="F8311" s="33"/>
      <c r="G8311" s="70"/>
      <c r="H8311" s="400"/>
      <c r="I8311" s="239"/>
    </row>
    <row r="8312" spans="6:9" x14ac:dyDescent="0.35">
      <c r="F8312" s="33"/>
      <c r="G8312" s="70"/>
      <c r="H8312" s="400"/>
      <c r="I8312" s="239"/>
    </row>
    <row r="8313" spans="6:9" x14ac:dyDescent="0.35">
      <c r="F8313" s="33"/>
      <c r="G8313" s="70"/>
      <c r="H8313" s="400"/>
      <c r="I8313" s="239"/>
    </row>
    <row r="8314" spans="6:9" x14ac:dyDescent="0.35">
      <c r="F8314" s="33"/>
      <c r="G8314" s="70"/>
      <c r="H8314" s="400"/>
      <c r="I8314" s="239"/>
    </row>
    <row r="8315" spans="6:9" x14ac:dyDescent="0.35">
      <c r="F8315" s="33"/>
      <c r="G8315" s="70"/>
      <c r="H8315" s="400"/>
      <c r="I8315" s="239"/>
    </row>
    <row r="8316" spans="6:9" x14ac:dyDescent="0.35">
      <c r="F8316" s="33"/>
      <c r="G8316" s="70"/>
      <c r="H8316" s="400"/>
      <c r="I8316" s="239"/>
    </row>
    <row r="8317" spans="6:9" x14ac:dyDescent="0.35">
      <c r="F8317" s="33"/>
      <c r="G8317" s="70"/>
      <c r="H8317" s="400"/>
      <c r="I8317" s="239"/>
    </row>
    <row r="8318" spans="6:9" x14ac:dyDescent="0.35">
      <c r="F8318" s="33"/>
      <c r="G8318" s="70"/>
      <c r="H8318" s="400"/>
      <c r="I8318" s="239"/>
    </row>
    <row r="8319" spans="6:9" x14ac:dyDescent="0.35">
      <c r="F8319" s="33"/>
      <c r="G8319" s="70"/>
      <c r="H8319" s="400"/>
      <c r="I8319" s="239"/>
    </row>
    <row r="8320" spans="6:9" x14ac:dyDescent="0.35">
      <c r="F8320" s="33"/>
      <c r="G8320" s="70"/>
      <c r="H8320" s="400"/>
      <c r="I8320" s="239"/>
    </row>
    <row r="8321" spans="6:9" x14ac:dyDescent="0.35">
      <c r="F8321" s="33"/>
      <c r="G8321" s="70"/>
      <c r="H8321" s="400"/>
      <c r="I8321" s="239"/>
    </row>
    <row r="8322" spans="6:9" x14ac:dyDescent="0.35">
      <c r="F8322" s="33"/>
      <c r="G8322" s="70"/>
      <c r="H8322" s="400"/>
      <c r="I8322" s="239"/>
    </row>
    <row r="8323" spans="6:9" x14ac:dyDescent="0.35">
      <c r="F8323" s="33"/>
      <c r="G8323" s="70"/>
      <c r="H8323" s="400"/>
      <c r="I8323" s="239"/>
    </row>
    <row r="8324" spans="6:9" x14ac:dyDescent="0.35">
      <c r="F8324" s="33"/>
      <c r="G8324" s="70"/>
      <c r="H8324" s="400"/>
      <c r="I8324" s="239"/>
    </row>
    <row r="8325" spans="6:9" x14ac:dyDescent="0.35">
      <c r="F8325" s="33"/>
      <c r="G8325" s="70"/>
      <c r="H8325" s="400"/>
      <c r="I8325" s="239"/>
    </row>
    <row r="8326" spans="6:9" x14ac:dyDescent="0.35">
      <c r="F8326" s="33"/>
      <c r="G8326" s="70"/>
      <c r="H8326" s="400"/>
      <c r="I8326" s="239"/>
    </row>
    <row r="8327" spans="6:9" x14ac:dyDescent="0.35">
      <c r="F8327" s="33"/>
      <c r="G8327" s="70"/>
      <c r="H8327" s="400"/>
      <c r="I8327" s="239"/>
    </row>
    <row r="8328" spans="6:9" x14ac:dyDescent="0.35">
      <c r="F8328" s="33"/>
      <c r="G8328" s="70"/>
      <c r="H8328" s="400"/>
      <c r="I8328" s="239"/>
    </row>
    <row r="8329" spans="6:9" x14ac:dyDescent="0.35">
      <c r="F8329" s="33"/>
      <c r="G8329" s="70"/>
      <c r="H8329" s="400"/>
      <c r="I8329" s="239"/>
    </row>
    <row r="8330" spans="6:9" x14ac:dyDescent="0.35">
      <c r="F8330" s="33"/>
      <c r="G8330" s="70"/>
      <c r="H8330" s="400"/>
      <c r="I8330" s="239"/>
    </row>
    <row r="8331" spans="6:9" x14ac:dyDescent="0.35">
      <c r="F8331" s="33"/>
      <c r="G8331" s="70"/>
      <c r="H8331" s="400"/>
      <c r="I8331" s="239"/>
    </row>
    <row r="8332" spans="6:9" x14ac:dyDescent="0.35">
      <c r="F8332" s="33"/>
      <c r="G8332" s="70"/>
      <c r="H8332" s="400"/>
      <c r="I8332" s="239"/>
    </row>
    <row r="8333" spans="6:9" x14ac:dyDescent="0.35">
      <c r="F8333" s="33"/>
      <c r="G8333" s="70"/>
      <c r="H8333" s="400"/>
      <c r="I8333" s="239"/>
    </row>
    <row r="8334" spans="6:9" x14ac:dyDescent="0.35">
      <c r="F8334" s="33"/>
      <c r="G8334" s="70"/>
      <c r="H8334" s="400"/>
      <c r="I8334" s="239"/>
    </row>
    <row r="8335" spans="6:9" x14ac:dyDescent="0.35">
      <c r="F8335" s="33"/>
      <c r="G8335" s="70"/>
      <c r="H8335" s="400"/>
      <c r="I8335" s="239"/>
    </row>
    <row r="8336" spans="6:9" x14ac:dyDescent="0.35">
      <c r="F8336" s="33"/>
      <c r="G8336" s="70"/>
      <c r="H8336" s="400"/>
      <c r="I8336" s="239"/>
    </row>
    <row r="8337" spans="6:9" x14ac:dyDescent="0.35">
      <c r="F8337" s="33"/>
      <c r="G8337" s="70"/>
      <c r="H8337" s="400"/>
      <c r="I8337" s="239"/>
    </row>
    <row r="8338" spans="6:9" x14ac:dyDescent="0.35">
      <c r="F8338" s="33"/>
      <c r="G8338" s="70"/>
      <c r="H8338" s="400"/>
      <c r="I8338" s="239"/>
    </row>
    <row r="8339" spans="6:9" x14ac:dyDescent="0.35">
      <c r="F8339" s="33"/>
      <c r="G8339" s="70"/>
      <c r="H8339" s="400"/>
      <c r="I8339" s="239"/>
    </row>
    <row r="8340" spans="6:9" x14ac:dyDescent="0.35">
      <c r="F8340" s="33"/>
      <c r="G8340" s="70"/>
      <c r="H8340" s="400"/>
      <c r="I8340" s="239"/>
    </row>
    <row r="8341" spans="6:9" x14ac:dyDescent="0.35">
      <c r="F8341" s="33"/>
      <c r="G8341" s="70"/>
      <c r="H8341" s="400"/>
      <c r="I8341" s="239"/>
    </row>
    <row r="8342" spans="6:9" x14ac:dyDescent="0.35">
      <c r="F8342" s="33"/>
      <c r="G8342" s="70"/>
      <c r="H8342" s="400"/>
      <c r="I8342" s="239"/>
    </row>
    <row r="8343" spans="6:9" x14ac:dyDescent="0.35">
      <c r="F8343" s="33"/>
      <c r="G8343" s="70"/>
      <c r="H8343" s="400"/>
      <c r="I8343" s="239"/>
    </row>
    <row r="8344" spans="6:9" x14ac:dyDescent="0.35">
      <c r="F8344" s="33"/>
      <c r="G8344" s="70"/>
      <c r="H8344" s="400"/>
      <c r="I8344" s="239"/>
    </row>
    <row r="8345" spans="6:9" x14ac:dyDescent="0.35">
      <c r="F8345" s="33"/>
      <c r="G8345" s="70"/>
      <c r="H8345" s="400"/>
      <c r="I8345" s="239"/>
    </row>
    <row r="8346" spans="6:9" x14ac:dyDescent="0.35">
      <c r="F8346" s="33"/>
      <c r="G8346" s="70"/>
      <c r="H8346" s="400"/>
      <c r="I8346" s="239"/>
    </row>
    <row r="8347" spans="6:9" x14ac:dyDescent="0.35">
      <c r="F8347" s="33"/>
      <c r="G8347" s="70"/>
      <c r="H8347" s="400"/>
      <c r="I8347" s="239"/>
    </row>
    <row r="8348" spans="6:9" x14ac:dyDescent="0.35">
      <c r="F8348" s="33"/>
      <c r="G8348" s="70"/>
      <c r="H8348" s="400"/>
      <c r="I8348" s="239"/>
    </row>
    <row r="8349" spans="6:9" x14ac:dyDescent="0.35">
      <c r="F8349" s="33"/>
      <c r="G8349" s="70"/>
      <c r="H8349" s="400"/>
      <c r="I8349" s="239"/>
    </row>
    <row r="8350" spans="6:9" x14ac:dyDescent="0.35">
      <c r="F8350" s="33"/>
      <c r="G8350" s="70"/>
      <c r="H8350" s="400"/>
      <c r="I8350" s="239"/>
    </row>
    <row r="8351" spans="6:9" x14ac:dyDescent="0.35">
      <c r="F8351" s="33"/>
      <c r="G8351" s="70"/>
      <c r="H8351" s="400"/>
      <c r="I8351" s="239"/>
    </row>
    <row r="8352" spans="6:9" x14ac:dyDescent="0.35">
      <c r="F8352" s="33"/>
      <c r="G8352" s="70"/>
      <c r="H8352" s="400"/>
      <c r="I8352" s="239"/>
    </row>
    <row r="8353" spans="6:9" x14ac:dyDescent="0.35">
      <c r="F8353" s="33"/>
      <c r="G8353" s="70"/>
      <c r="H8353" s="400"/>
      <c r="I8353" s="239"/>
    </row>
    <row r="8354" spans="6:9" x14ac:dyDescent="0.35">
      <c r="F8354" s="33"/>
      <c r="G8354" s="70"/>
      <c r="H8354" s="400"/>
      <c r="I8354" s="239"/>
    </row>
    <row r="8355" spans="6:9" x14ac:dyDescent="0.35">
      <c r="F8355" s="33"/>
      <c r="G8355" s="70"/>
      <c r="H8355" s="400"/>
      <c r="I8355" s="239"/>
    </row>
    <row r="8356" spans="6:9" x14ac:dyDescent="0.35">
      <c r="F8356" s="33"/>
      <c r="G8356" s="70"/>
      <c r="H8356" s="400"/>
      <c r="I8356" s="239"/>
    </row>
    <row r="8357" spans="6:9" x14ac:dyDescent="0.35">
      <c r="F8357" s="33"/>
      <c r="G8357" s="70"/>
      <c r="H8357" s="400"/>
      <c r="I8357" s="239"/>
    </row>
    <row r="8358" spans="6:9" x14ac:dyDescent="0.35">
      <c r="F8358" s="33"/>
      <c r="G8358" s="70"/>
      <c r="H8358" s="400"/>
      <c r="I8358" s="239"/>
    </row>
    <row r="8359" spans="6:9" x14ac:dyDescent="0.35">
      <c r="F8359" s="33"/>
      <c r="G8359" s="70"/>
      <c r="H8359" s="400"/>
      <c r="I8359" s="239"/>
    </row>
    <row r="8360" spans="6:9" x14ac:dyDescent="0.35">
      <c r="F8360" s="33"/>
      <c r="G8360" s="70"/>
      <c r="H8360" s="400"/>
      <c r="I8360" s="239"/>
    </row>
    <row r="8361" spans="6:9" x14ac:dyDescent="0.35">
      <c r="F8361" s="33"/>
      <c r="G8361" s="70"/>
      <c r="H8361" s="400"/>
      <c r="I8361" s="239"/>
    </row>
    <row r="8362" spans="6:9" x14ac:dyDescent="0.35">
      <c r="F8362" s="33"/>
      <c r="G8362" s="70"/>
      <c r="H8362" s="400"/>
      <c r="I8362" s="239"/>
    </row>
    <row r="8363" spans="6:9" x14ac:dyDescent="0.35">
      <c r="F8363" s="33"/>
      <c r="G8363" s="70"/>
      <c r="H8363" s="400"/>
      <c r="I8363" s="239"/>
    </row>
    <row r="8364" spans="6:9" x14ac:dyDescent="0.35">
      <c r="F8364" s="33"/>
      <c r="G8364" s="70"/>
      <c r="H8364" s="400"/>
      <c r="I8364" s="239"/>
    </row>
    <row r="8365" spans="6:9" x14ac:dyDescent="0.35">
      <c r="F8365" s="33"/>
      <c r="G8365" s="70"/>
      <c r="H8365" s="400"/>
      <c r="I8365" s="239"/>
    </row>
    <row r="8366" spans="6:9" x14ac:dyDescent="0.35">
      <c r="F8366" s="33"/>
      <c r="G8366" s="70"/>
      <c r="H8366" s="400"/>
      <c r="I8366" s="239"/>
    </row>
    <row r="8367" spans="6:9" x14ac:dyDescent="0.35">
      <c r="F8367" s="33"/>
      <c r="G8367" s="70"/>
      <c r="H8367" s="400"/>
      <c r="I8367" s="239"/>
    </row>
    <row r="8368" spans="6:9" x14ac:dyDescent="0.35">
      <c r="F8368" s="33"/>
      <c r="G8368" s="70"/>
      <c r="H8368" s="400"/>
      <c r="I8368" s="239"/>
    </row>
    <row r="8369" spans="6:9" x14ac:dyDescent="0.35">
      <c r="F8369" s="33"/>
      <c r="G8369" s="70"/>
      <c r="H8369" s="400"/>
      <c r="I8369" s="239"/>
    </row>
    <row r="8370" spans="6:9" x14ac:dyDescent="0.35">
      <c r="F8370" s="33"/>
      <c r="G8370" s="70"/>
      <c r="H8370" s="400"/>
      <c r="I8370" s="239"/>
    </row>
    <row r="8371" spans="6:9" x14ac:dyDescent="0.35">
      <c r="F8371" s="33"/>
      <c r="G8371" s="70"/>
      <c r="H8371" s="400"/>
      <c r="I8371" s="239"/>
    </row>
    <row r="8372" spans="6:9" x14ac:dyDescent="0.35">
      <c r="F8372" s="33"/>
      <c r="G8372" s="70"/>
      <c r="H8372" s="400"/>
      <c r="I8372" s="239"/>
    </row>
    <row r="8373" spans="6:9" x14ac:dyDescent="0.35">
      <c r="F8373" s="33"/>
      <c r="G8373" s="70"/>
      <c r="H8373" s="400"/>
      <c r="I8373" s="239"/>
    </row>
    <row r="8374" spans="6:9" x14ac:dyDescent="0.35">
      <c r="F8374" s="33"/>
      <c r="G8374" s="70"/>
      <c r="H8374" s="400"/>
      <c r="I8374" s="239"/>
    </row>
    <row r="8375" spans="6:9" x14ac:dyDescent="0.35">
      <c r="F8375" s="33"/>
      <c r="G8375" s="70"/>
      <c r="H8375" s="400"/>
      <c r="I8375" s="239"/>
    </row>
    <row r="8376" spans="6:9" x14ac:dyDescent="0.35">
      <c r="F8376" s="33"/>
      <c r="G8376" s="70"/>
      <c r="H8376" s="400"/>
      <c r="I8376" s="239"/>
    </row>
    <row r="8377" spans="6:9" x14ac:dyDescent="0.35">
      <c r="F8377" s="33"/>
      <c r="G8377" s="70"/>
      <c r="H8377" s="400"/>
      <c r="I8377" s="239"/>
    </row>
    <row r="8378" spans="6:9" x14ac:dyDescent="0.35">
      <c r="F8378" s="33"/>
      <c r="G8378" s="70"/>
      <c r="H8378" s="400"/>
      <c r="I8378" s="239"/>
    </row>
    <row r="8379" spans="6:9" x14ac:dyDescent="0.35">
      <c r="F8379" s="33"/>
      <c r="G8379" s="70"/>
      <c r="H8379" s="400"/>
      <c r="I8379" s="239"/>
    </row>
    <row r="8380" spans="6:9" x14ac:dyDescent="0.35">
      <c r="F8380" s="33"/>
      <c r="G8380" s="70"/>
      <c r="H8380" s="400"/>
      <c r="I8380" s="239"/>
    </row>
    <row r="8381" spans="6:9" x14ac:dyDescent="0.35">
      <c r="F8381" s="33"/>
      <c r="G8381" s="70"/>
      <c r="H8381" s="400"/>
      <c r="I8381" s="239"/>
    </row>
    <row r="8382" spans="6:9" x14ac:dyDescent="0.35">
      <c r="F8382" s="33"/>
      <c r="G8382" s="70"/>
      <c r="H8382" s="400"/>
      <c r="I8382" s="239"/>
    </row>
    <row r="8383" spans="6:9" x14ac:dyDescent="0.35">
      <c r="F8383" s="33"/>
      <c r="G8383" s="70"/>
      <c r="H8383" s="400"/>
      <c r="I8383" s="239"/>
    </row>
    <row r="8384" spans="6:9" x14ac:dyDescent="0.35">
      <c r="F8384" s="33"/>
      <c r="G8384" s="70"/>
      <c r="H8384" s="400"/>
      <c r="I8384" s="239"/>
    </row>
    <row r="8385" spans="6:9" x14ac:dyDescent="0.35">
      <c r="F8385" s="33"/>
      <c r="G8385" s="70"/>
      <c r="H8385" s="400"/>
      <c r="I8385" s="239"/>
    </row>
    <row r="8386" spans="6:9" x14ac:dyDescent="0.35">
      <c r="F8386" s="33"/>
      <c r="G8386" s="70"/>
      <c r="H8386" s="400"/>
      <c r="I8386" s="239"/>
    </row>
    <row r="8387" spans="6:9" x14ac:dyDescent="0.35">
      <c r="F8387" s="33"/>
      <c r="G8387" s="70"/>
      <c r="H8387" s="400"/>
      <c r="I8387" s="239"/>
    </row>
    <row r="8388" spans="6:9" x14ac:dyDescent="0.35">
      <c r="F8388" s="33"/>
      <c r="G8388" s="70"/>
      <c r="H8388" s="400"/>
      <c r="I8388" s="239"/>
    </row>
    <row r="8389" spans="6:9" x14ac:dyDescent="0.35">
      <c r="F8389" s="33"/>
      <c r="G8389" s="70"/>
      <c r="H8389" s="400"/>
      <c r="I8389" s="239"/>
    </row>
    <row r="8390" spans="6:9" x14ac:dyDescent="0.35">
      <c r="F8390" s="33"/>
      <c r="G8390" s="70"/>
      <c r="H8390" s="400"/>
      <c r="I8390" s="239"/>
    </row>
    <row r="8391" spans="6:9" x14ac:dyDescent="0.35">
      <c r="F8391" s="33"/>
      <c r="G8391" s="70"/>
      <c r="H8391" s="400"/>
      <c r="I8391" s="239"/>
    </row>
    <row r="8392" spans="6:9" x14ac:dyDescent="0.35">
      <c r="F8392" s="33"/>
      <c r="G8392" s="70"/>
      <c r="H8392" s="400"/>
      <c r="I8392" s="239"/>
    </row>
    <row r="8393" spans="6:9" x14ac:dyDescent="0.35">
      <c r="F8393" s="33"/>
      <c r="G8393" s="70"/>
      <c r="H8393" s="400"/>
      <c r="I8393" s="239"/>
    </row>
    <row r="8394" spans="6:9" x14ac:dyDescent="0.35">
      <c r="F8394" s="33"/>
      <c r="G8394" s="70"/>
      <c r="H8394" s="400"/>
      <c r="I8394" s="239"/>
    </row>
    <row r="8395" spans="6:9" x14ac:dyDescent="0.35">
      <c r="F8395" s="33"/>
      <c r="G8395" s="70"/>
      <c r="H8395" s="400"/>
      <c r="I8395" s="239"/>
    </row>
    <row r="8396" spans="6:9" x14ac:dyDescent="0.35">
      <c r="F8396" s="33"/>
      <c r="G8396" s="70"/>
      <c r="H8396" s="400"/>
      <c r="I8396" s="239"/>
    </row>
    <row r="8397" spans="6:9" x14ac:dyDescent="0.35">
      <c r="F8397" s="33"/>
      <c r="G8397" s="70"/>
      <c r="H8397" s="400"/>
      <c r="I8397" s="239"/>
    </row>
    <row r="8398" spans="6:9" x14ac:dyDescent="0.35">
      <c r="F8398" s="33"/>
      <c r="G8398" s="70"/>
      <c r="H8398" s="400"/>
      <c r="I8398" s="239"/>
    </row>
    <row r="8399" spans="6:9" x14ac:dyDescent="0.35">
      <c r="F8399" s="33"/>
      <c r="G8399" s="70"/>
      <c r="H8399" s="400"/>
      <c r="I8399" s="239"/>
    </row>
    <row r="8400" spans="6:9" x14ac:dyDescent="0.35">
      <c r="F8400" s="33"/>
      <c r="G8400" s="70"/>
      <c r="H8400" s="400"/>
      <c r="I8400" s="239"/>
    </row>
    <row r="8401" spans="6:9" x14ac:dyDescent="0.35">
      <c r="F8401" s="33"/>
      <c r="G8401" s="70"/>
      <c r="H8401" s="400"/>
      <c r="I8401" s="239"/>
    </row>
    <row r="8402" spans="6:9" x14ac:dyDescent="0.35">
      <c r="F8402" s="33"/>
      <c r="G8402" s="70"/>
      <c r="H8402" s="400"/>
      <c r="I8402" s="239"/>
    </row>
    <row r="8403" spans="6:9" x14ac:dyDescent="0.35">
      <c r="F8403" s="33"/>
      <c r="G8403" s="70"/>
      <c r="H8403" s="400"/>
      <c r="I8403" s="239"/>
    </row>
    <row r="8404" spans="6:9" x14ac:dyDescent="0.35">
      <c r="F8404" s="33"/>
      <c r="G8404" s="70"/>
      <c r="H8404" s="400"/>
      <c r="I8404" s="239"/>
    </row>
    <row r="8405" spans="6:9" x14ac:dyDescent="0.35">
      <c r="F8405" s="33"/>
      <c r="G8405" s="70"/>
      <c r="H8405" s="400"/>
      <c r="I8405" s="239"/>
    </row>
    <row r="8406" spans="6:9" x14ac:dyDescent="0.35">
      <c r="F8406" s="33"/>
      <c r="G8406" s="70"/>
      <c r="H8406" s="400"/>
      <c r="I8406" s="239"/>
    </row>
    <row r="8407" spans="6:9" x14ac:dyDescent="0.35">
      <c r="F8407" s="33"/>
      <c r="G8407" s="70"/>
      <c r="H8407" s="400"/>
      <c r="I8407" s="239"/>
    </row>
    <row r="8408" spans="6:9" x14ac:dyDescent="0.35">
      <c r="F8408" s="33"/>
      <c r="G8408" s="70"/>
      <c r="H8408" s="400"/>
      <c r="I8408" s="239"/>
    </row>
    <row r="8409" spans="6:9" x14ac:dyDescent="0.35">
      <c r="F8409" s="33"/>
      <c r="G8409" s="70"/>
      <c r="H8409" s="400"/>
      <c r="I8409" s="239"/>
    </row>
    <row r="8410" spans="6:9" x14ac:dyDescent="0.35">
      <c r="F8410" s="33"/>
      <c r="G8410" s="70"/>
      <c r="H8410" s="400"/>
      <c r="I8410" s="239"/>
    </row>
    <row r="8411" spans="6:9" x14ac:dyDescent="0.35">
      <c r="F8411" s="33"/>
      <c r="G8411" s="70"/>
      <c r="H8411" s="400"/>
      <c r="I8411" s="239"/>
    </row>
    <row r="8412" spans="6:9" x14ac:dyDescent="0.35">
      <c r="F8412" s="33"/>
      <c r="G8412" s="70"/>
      <c r="H8412" s="400"/>
      <c r="I8412" s="239"/>
    </row>
    <row r="8413" spans="6:9" x14ac:dyDescent="0.35">
      <c r="F8413" s="33"/>
      <c r="G8413" s="70"/>
      <c r="H8413" s="400"/>
      <c r="I8413" s="239"/>
    </row>
    <row r="8414" spans="6:9" x14ac:dyDescent="0.35">
      <c r="F8414" s="33"/>
      <c r="G8414" s="70"/>
      <c r="H8414" s="400"/>
      <c r="I8414" s="239"/>
    </row>
    <row r="8415" spans="6:9" x14ac:dyDescent="0.35">
      <c r="F8415" s="33"/>
      <c r="G8415" s="70"/>
      <c r="H8415" s="400"/>
      <c r="I8415" s="239"/>
    </row>
    <row r="8416" spans="6:9" x14ac:dyDescent="0.35">
      <c r="F8416" s="33"/>
      <c r="G8416" s="70"/>
      <c r="H8416" s="400"/>
      <c r="I8416" s="239"/>
    </row>
    <row r="8417" spans="6:9" x14ac:dyDescent="0.35">
      <c r="F8417" s="33"/>
      <c r="G8417" s="70"/>
      <c r="H8417" s="400"/>
      <c r="I8417" s="239"/>
    </row>
    <row r="8418" spans="6:9" x14ac:dyDescent="0.35">
      <c r="F8418" s="33"/>
      <c r="G8418" s="70"/>
      <c r="H8418" s="400"/>
      <c r="I8418" s="239"/>
    </row>
    <row r="8419" spans="6:9" x14ac:dyDescent="0.35">
      <c r="F8419" s="33"/>
      <c r="G8419" s="70"/>
      <c r="H8419" s="400"/>
      <c r="I8419" s="239"/>
    </row>
    <row r="8420" spans="6:9" x14ac:dyDescent="0.35">
      <c r="F8420" s="33"/>
      <c r="G8420" s="70"/>
      <c r="H8420" s="400"/>
      <c r="I8420" s="239"/>
    </row>
    <row r="8421" spans="6:9" x14ac:dyDescent="0.35">
      <c r="F8421" s="33"/>
      <c r="G8421" s="70"/>
      <c r="H8421" s="400"/>
      <c r="I8421" s="239"/>
    </row>
    <row r="8422" spans="6:9" x14ac:dyDescent="0.35">
      <c r="F8422" s="33"/>
      <c r="G8422" s="70"/>
      <c r="H8422" s="400"/>
      <c r="I8422" s="239"/>
    </row>
    <row r="8423" spans="6:9" x14ac:dyDescent="0.35">
      <c r="F8423" s="33"/>
      <c r="G8423" s="70"/>
      <c r="H8423" s="400"/>
      <c r="I8423" s="239"/>
    </row>
    <row r="8424" spans="6:9" x14ac:dyDescent="0.35">
      <c r="F8424" s="33"/>
      <c r="G8424" s="70"/>
      <c r="H8424" s="400"/>
      <c r="I8424" s="239"/>
    </row>
    <row r="8425" spans="6:9" x14ac:dyDescent="0.35">
      <c r="F8425" s="33"/>
      <c r="G8425" s="70"/>
      <c r="H8425" s="400"/>
      <c r="I8425" s="239"/>
    </row>
    <row r="8426" spans="6:9" x14ac:dyDescent="0.35">
      <c r="F8426" s="33"/>
      <c r="G8426" s="70"/>
      <c r="H8426" s="400"/>
      <c r="I8426" s="239"/>
    </row>
    <row r="8427" spans="6:9" x14ac:dyDescent="0.35">
      <c r="F8427" s="33"/>
      <c r="G8427" s="70"/>
      <c r="H8427" s="400"/>
      <c r="I8427" s="239"/>
    </row>
    <row r="8428" spans="6:9" x14ac:dyDescent="0.35">
      <c r="F8428" s="33"/>
      <c r="G8428" s="70"/>
      <c r="H8428" s="400"/>
      <c r="I8428" s="239"/>
    </row>
    <row r="8429" spans="6:9" x14ac:dyDescent="0.35">
      <c r="F8429" s="33"/>
      <c r="G8429" s="70"/>
      <c r="H8429" s="400"/>
      <c r="I8429" s="239"/>
    </row>
    <row r="8430" spans="6:9" x14ac:dyDescent="0.35">
      <c r="F8430" s="33"/>
      <c r="G8430" s="70"/>
      <c r="H8430" s="400"/>
      <c r="I8430" s="239"/>
    </row>
    <row r="8431" spans="6:9" x14ac:dyDescent="0.35">
      <c r="F8431" s="33"/>
      <c r="G8431" s="70"/>
      <c r="H8431" s="400"/>
      <c r="I8431" s="239"/>
    </row>
    <row r="8432" spans="6:9" x14ac:dyDescent="0.35">
      <c r="F8432" s="33"/>
      <c r="G8432" s="70"/>
      <c r="H8432" s="400"/>
      <c r="I8432" s="239"/>
    </row>
    <row r="8433" spans="6:9" x14ac:dyDescent="0.35">
      <c r="F8433" s="33"/>
      <c r="G8433" s="70"/>
      <c r="H8433" s="400"/>
      <c r="I8433" s="239"/>
    </row>
    <row r="8434" spans="6:9" x14ac:dyDescent="0.35">
      <c r="F8434" s="33"/>
      <c r="G8434" s="70"/>
      <c r="H8434" s="400"/>
      <c r="I8434" s="239"/>
    </row>
    <row r="8435" spans="6:9" x14ac:dyDescent="0.35">
      <c r="F8435" s="33"/>
      <c r="G8435" s="70"/>
      <c r="H8435" s="400"/>
      <c r="I8435" s="239"/>
    </row>
    <row r="8436" spans="6:9" x14ac:dyDescent="0.35">
      <c r="F8436" s="33"/>
      <c r="G8436" s="70"/>
      <c r="H8436" s="400"/>
      <c r="I8436" s="239"/>
    </row>
    <row r="8437" spans="6:9" x14ac:dyDescent="0.35">
      <c r="F8437" s="33"/>
      <c r="G8437" s="70"/>
      <c r="H8437" s="400"/>
      <c r="I8437" s="239"/>
    </row>
    <row r="8438" spans="6:9" x14ac:dyDescent="0.35">
      <c r="F8438" s="33"/>
      <c r="G8438" s="70"/>
      <c r="H8438" s="400"/>
      <c r="I8438" s="239"/>
    </row>
    <row r="8439" spans="6:9" x14ac:dyDescent="0.35">
      <c r="F8439" s="33"/>
      <c r="G8439" s="70"/>
      <c r="H8439" s="400"/>
      <c r="I8439" s="239"/>
    </row>
    <row r="8440" spans="6:9" x14ac:dyDescent="0.35">
      <c r="F8440" s="33"/>
      <c r="G8440" s="70"/>
      <c r="H8440" s="400"/>
      <c r="I8440" s="239"/>
    </row>
    <row r="8441" spans="6:9" x14ac:dyDescent="0.35">
      <c r="F8441" s="33"/>
      <c r="G8441" s="70"/>
      <c r="H8441" s="400"/>
      <c r="I8441" s="239"/>
    </row>
    <row r="8442" spans="6:9" x14ac:dyDescent="0.35">
      <c r="F8442" s="33"/>
      <c r="G8442" s="70"/>
      <c r="H8442" s="400"/>
      <c r="I8442" s="239"/>
    </row>
    <row r="8443" spans="6:9" x14ac:dyDescent="0.35">
      <c r="F8443" s="33"/>
      <c r="G8443" s="70"/>
      <c r="H8443" s="400"/>
      <c r="I8443" s="239"/>
    </row>
    <row r="8444" spans="6:9" x14ac:dyDescent="0.35">
      <c r="F8444" s="33"/>
      <c r="G8444" s="70"/>
      <c r="H8444" s="400"/>
      <c r="I8444" s="239"/>
    </row>
    <row r="8445" spans="6:9" x14ac:dyDescent="0.35">
      <c r="F8445" s="33"/>
      <c r="G8445" s="70"/>
      <c r="H8445" s="400"/>
      <c r="I8445" s="239"/>
    </row>
    <row r="8446" spans="6:9" x14ac:dyDescent="0.35">
      <c r="F8446" s="33"/>
      <c r="G8446" s="70"/>
      <c r="H8446" s="400"/>
      <c r="I8446" s="239"/>
    </row>
    <row r="8447" spans="6:9" x14ac:dyDescent="0.35">
      <c r="F8447" s="33"/>
      <c r="G8447" s="70"/>
      <c r="H8447" s="400"/>
      <c r="I8447" s="239"/>
    </row>
    <row r="8448" spans="6:9" x14ac:dyDescent="0.35">
      <c r="F8448" s="33"/>
      <c r="G8448" s="70"/>
      <c r="H8448" s="400"/>
      <c r="I8448" s="239"/>
    </row>
    <row r="8449" spans="6:9" x14ac:dyDescent="0.35">
      <c r="F8449" s="33"/>
      <c r="G8449" s="70"/>
      <c r="H8449" s="400"/>
      <c r="I8449" s="239"/>
    </row>
    <row r="8450" spans="6:9" x14ac:dyDescent="0.35">
      <c r="F8450" s="33"/>
      <c r="G8450" s="70"/>
      <c r="H8450" s="400"/>
      <c r="I8450" s="239"/>
    </row>
    <row r="8451" spans="6:9" x14ac:dyDescent="0.35">
      <c r="F8451" s="33"/>
      <c r="G8451" s="70"/>
      <c r="H8451" s="400"/>
      <c r="I8451" s="239"/>
    </row>
    <row r="8452" spans="6:9" x14ac:dyDescent="0.35">
      <c r="F8452" s="33"/>
      <c r="G8452" s="70"/>
      <c r="H8452" s="400"/>
      <c r="I8452" s="239"/>
    </row>
    <row r="8453" spans="6:9" x14ac:dyDescent="0.35">
      <c r="F8453" s="33"/>
      <c r="G8453" s="70"/>
      <c r="H8453" s="400"/>
      <c r="I8453" s="239"/>
    </row>
    <row r="8454" spans="6:9" x14ac:dyDescent="0.35">
      <c r="F8454" s="33"/>
      <c r="G8454" s="70"/>
      <c r="H8454" s="400"/>
      <c r="I8454" s="239"/>
    </row>
    <row r="8455" spans="6:9" x14ac:dyDescent="0.35">
      <c r="F8455" s="33"/>
      <c r="G8455" s="70"/>
      <c r="H8455" s="400"/>
      <c r="I8455" s="239"/>
    </row>
    <row r="8456" spans="6:9" x14ac:dyDescent="0.35">
      <c r="F8456" s="33"/>
      <c r="G8456" s="70"/>
      <c r="H8456" s="400"/>
      <c r="I8456" s="239"/>
    </row>
    <row r="8457" spans="6:9" x14ac:dyDescent="0.35">
      <c r="F8457" s="33"/>
      <c r="G8457" s="70"/>
      <c r="H8457" s="400"/>
      <c r="I8457" s="239"/>
    </row>
    <row r="8458" spans="6:9" x14ac:dyDescent="0.35">
      <c r="F8458" s="33"/>
      <c r="G8458" s="70"/>
      <c r="H8458" s="400"/>
      <c r="I8458" s="239"/>
    </row>
    <row r="8459" spans="6:9" x14ac:dyDescent="0.35">
      <c r="F8459" s="33"/>
      <c r="G8459" s="70"/>
      <c r="H8459" s="400"/>
      <c r="I8459" s="239"/>
    </row>
    <row r="8460" spans="6:9" x14ac:dyDescent="0.35">
      <c r="F8460" s="33"/>
      <c r="G8460" s="70"/>
      <c r="H8460" s="400"/>
      <c r="I8460" s="239"/>
    </row>
    <row r="8461" spans="6:9" x14ac:dyDescent="0.35">
      <c r="F8461" s="33"/>
      <c r="G8461" s="70"/>
      <c r="H8461" s="400"/>
      <c r="I8461" s="239"/>
    </row>
    <row r="8462" spans="6:9" x14ac:dyDescent="0.35">
      <c r="F8462" s="33"/>
      <c r="G8462" s="70"/>
      <c r="H8462" s="400"/>
      <c r="I8462" s="239"/>
    </row>
    <row r="8463" spans="6:9" x14ac:dyDescent="0.35">
      <c r="F8463" s="33"/>
      <c r="G8463" s="70"/>
      <c r="H8463" s="400"/>
      <c r="I8463" s="239"/>
    </row>
    <row r="8464" spans="6:9" x14ac:dyDescent="0.35">
      <c r="F8464" s="33"/>
      <c r="G8464" s="70"/>
      <c r="H8464" s="400"/>
      <c r="I8464" s="239"/>
    </row>
    <row r="8465" spans="6:9" x14ac:dyDescent="0.35">
      <c r="F8465" s="33"/>
      <c r="G8465" s="70"/>
      <c r="H8465" s="400"/>
      <c r="I8465" s="239"/>
    </row>
    <row r="8466" spans="6:9" x14ac:dyDescent="0.35">
      <c r="F8466" s="33"/>
      <c r="G8466" s="70"/>
      <c r="H8466" s="400"/>
      <c r="I8466" s="239"/>
    </row>
    <row r="8467" spans="6:9" x14ac:dyDescent="0.35">
      <c r="F8467" s="33"/>
      <c r="G8467" s="70"/>
      <c r="H8467" s="400"/>
      <c r="I8467" s="239"/>
    </row>
    <row r="8468" spans="6:9" x14ac:dyDescent="0.35">
      <c r="F8468" s="33"/>
      <c r="G8468" s="70"/>
      <c r="H8468" s="400"/>
      <c r="I8468" s="239"/>
    </row>
    <row r="8469" spans="6:9" x14ac:dyDescent="0.35">
      <c r="F8469" s="33"/>
      <c r="G8469" s="70"/>
      <c r="H8469" s="400"/>
      <c r="I8469" s="239"/>
    </row>
    <row r="8470" spans="6:9" x14ac:dyDescent="0.35">
      <c r="F8470" s="33"/>
      <c r="G8470" s="70"/>
      <c r="H8470" s="400"/>
      <c r="I8470" s="239"/>
    </row>
    <row r="8471" spans="6:9" x14ac:dyDescent="0.35">
      <c r="F8471" s="33"/>
      <c r="G8471" s="70"/>
      <c r="H8471" s="400"/>
      <c r="I8471" s="239"/>
    </row>
    <row r="8472" spans="6:9" x14ac:dyDescent="0.35">
      <c r="F8472" s="33"/>
      <c r="G8472" s="70"/>
      <c r="H8472" s="400"/>
      <c r="I8472" s="239"/>
    </row>
    <row r="8473" spans="6:9" x14ac:dyDescent="0.35">
      <c r="F8473" s="33"/>
      <c r="G8473" s="70"/>
      <c r="H8473" s="400"/>
      <c r="I8473" s="239"/>
    </row>
    <row r="8474" spans="6:9" x14ac:dyDescent="0.35">
      <c r="F8474" s="33"/>
      <c r="G8474" s="70"/>
      <c r="H8474" s="400"/>
      <c r="I8474" s="239"/>
    </row>
    <row r="8475" spans="6:9" x14ac:dyDescent="0.35">
      <c r="F8475" s="33"/>
      <c r="G8475" s="70"/>
      <c r="H8475" s="400"/>
      <c r="I8475" s="239"/>
    </row>
    <row r="8476" spans="6:9" x14ac:dyDescent="0.35">
      <c r="F8476" s="33"/>
      <c r="G8476" s="70"/>
      <c r="H8476" s="400"/>
      <c r="I8476" s="239"/>
    </row>
    <row r="8477" spans="6:9" x14ac:dyDescent="0.35">
      <c r="F8477" s="33"/>
      <c r="G8477" s="70"/>
      <c r="H8477" s="400"/>
      <c r="I8477" s="239"/>
    </row>
    <row r="8478" spans="6:9" x14ac:dyDescent="0.35">
      <c r="F8478" s="33"/>
      <c r="G8478" s="70"/>
      <c r="H8478" s="400"/>
      <c r="I8478" s="239"/>
    </row>
    <row r="8479" spans="6:9" x14ac:dyDescent="0.35">
      <c r="F8479" s="33"/>
      <c r="G8479" s="70"/>
      <c r="H8479" s="400"/>
      <c r="I8479" s="239"/>
    </row>
    <row r="8480" spans="6:9" x14ac:dyDescent="0.35">
      <c r="F8480" s="33"/>
      <c r="G8480" s="70"/>
      <c r="H8480" s="400"/>
      <c r="I8480" s="239"/>
    </row>
    <row r="8481" spans="6:9" x14ac:dyDescent="0.35">
      <c r="F8481" s="33"/>
      <c r="G8481" s="70"/>
      <c r="H8481" s="400"/>
      <c r="I8481" s="239"/>
    </row>
    <row r="8482" spans="6:9" x14ac:dyDescent="0.35">
      <c r="F8482" s="33"/>
      <c r="G8482" s="70"/>
      <c r="H8482" s="400"/>
      <c r="I8482" s="239"/>
    </row>
    <row r="8483" spans="6:9" x14ac:dyDescent="0.35">
      <c r="F8483" s="33"/>
      <c r="G8483" s="70"/>
      <c r="H8483" s="400"/>
      <c r="I8483" s="239"/>
    </row>
    <row r="8484" spans="6:9" x14ac:dyDescent="0.35">
      <c r="F8484" s="33"/>
      <c r="G8484" s="70"/>
      <c r="H8484" s="400"/>
      <c r="I8484" s="239"/>
    </row>
    <row r="8485" spans="6:9" x14ac:dyDescent="0.35">
      <c r="F8485" s="33"/>
      <c r="G8485" s="70"/>
      <c r="H8485" s="400"/>
      <c r="I8485" s="239"/>
    </row>
    <row r="8486" spans="6:9" x14ac:dyDescent="0.35">
      <c r="F8486" s="33"/>
      <c r="G8486" s="70"/>
      <c r="H8486" s="400"/>
      <c r="I8486" s="239"/>
    </row>
    <row r="8487" spans="6:9" x14ac:dyDescent="0.35">
      <c r="F8487" s="33"/>
      <c r="G8487" s="70"/>
      <c r="H8487" s="400"/>
      <c r="I8487" s="239"/>
    </row>
    <row r="8488" spans="6:9" x14ac:dyDescent="0.35">
      <c r="F8488" s="33"/>
      <c r="G8488" s="70"/>
      <c r="H8488" s="400"/>
      <c r="I8488" s="239"/>
    </row>
    <row r="8489" spans="6:9" x14ac:dyDescent="0.35">
      <c r="F8489" s="33"/>
      <c r="G8489" s="70"/>
      <c r="H8489" s="400"/>
      <c r="I8489" s="239"/>
    </row>
    <row r="8490" spans="6:9" x14ac:dyDescent="0.35">
      <c r="F8490" s="33"/>
      <c r="G8490" s="70"/>
      <c r="H8490" s="400"/>
      <c r="I8490" s="239"/>
    </row>
    <row r="8491" spans="6:9" x14ac:dyDescent="0.35">
      <c r="F8491" s="33"/>
      <c r="G8491" s="70"/>
      <c r="H8491" s="400"/>
      <c r="I8491" s="239"/>
    </row>
    <row r="8492" spans="6:9" x14ac:dyDescent="0.35">
      <c r="F8492" s="33"/>
      <c r="G8492" s="70"/>
      <c r="H8492" s="400"/>
      <c r="I8492" s="239"/>
    </row>
    <row r="8493" spans="6:9" x14ac:dyDescent="0.35">
      <c r="F8493" s="33"/>
      <c r="G8493" s="70"/>
      <c r="H8493" s="400"/>
      <c r="I8493" s="239"/>
    </row>
    <row r="8494" spans="6:9" x14ac:dyDescent="0.35">
      <c r="F8494" s="33"/>
      <c r="G8494" s="70"/>
      <c r="H8494" s="400"/>
      <c r="I8494" s="239"/>
    </row>
    <row r="8495" spans="6:9" x14ac:dyDescent="0.35">
      <c r="F8495" s="33"/>
      <c r="G8495" s="70"/>
      <c r="H8495" s="400"/>
      <c r="I8495" s="239"/>
    </row>
    <row r="8496" spans="6:9" x14ac:dyDescent="0.35">
      <c r="F8496" s="33"/>
      <c r="G8496" s="70"/>
      <c r="H8496" s="400"/>
      <c r="I8496" s="239"/>
    </row>
    <row r="8497" spans="6:9" x14ac:dyDescent="0.35">
      <c r="F8497" s="33"/>
      <c r="G8497" s="70"/>
      <c r="H8497" s="400"/>
      <c r="I8497" s="239"/>
    </row>
    <row r="8498" spans="6:9" x14ac:dyDescent="0.35">
      <c r="F8498" s="33"/>
      <c r="G8498" s="70"/>
      <c r="H8498" s="400"/>
      <c r="I8498" s="239"/>
    </row>
    <row r="8499" spans="6:9" x14ac:dyDescent="0.35">
      <c r="F8499" s="33"/>
      <c r="G8499" s="70"/>
      <c r="H8499" s="400"/>
      <c r="I8499" s="239"/>
    </row>
    <row r="8500" spans="6:9" x14ac:dyDescent="0.35">
      <c r="F8500" s="33"/>
      <c r="G8500" s="70"/>
      <c r="H8500" s="400"/>
      <c r="I8500" s="239"/>
    </row>
    <row r="8501" spans="6:9" x14ac:dyDescent="0.35">
      <c r="F8501" s="33"/>
      <c r="G8501" s="70"/>
      <c r="H8501" s="400"/>
      <c r="I8501" s="239"/>
    </row>
    <row r="8502" spans="6:9" x14ac:dyDescent="0.35">
      <c r="F8502" s="33"/>
      <c r="G8502" s="70"/>
      <c r="H8502" s="400"/>
      <c r="I8502" s="239"/>
    </row>
    <row r="8503" spans="6:9" x14ac:dyDescent="0.35">
      <c r="F8503" s="33"/>
      <c r="G8503" s="70"/>
      <c r="H8503" s="400"/>
      <c r="I8503" s="239"/>
    </row>
    <row r="8504" spans="6:9" x14ac:dyDescent="0.35">
      <c r="F8504" s="33"/>
      <c r="G8504" s="70"/>
      <c r="H8504" s="400"/>
      <c r="I8504" s="239"/>
    </row>
    <row r="8505" spans="6:9" x14ac:dyDescent="0.35">
      <c r="F8505" s="33"/>
      <c r="G8505" s="70"/>
      <c r="H8505" s="400"/>
      <c r="I8505" s="239"/>
    </row>
    <row r="8506" spans="6:9" x14ac:dyDescent="0.35">
      <c r="F8506" s="33"/>
      <c r="G8506" s="70"/>
      <c r="H8506" s="400"/>
      <c r="I8506" s="239"/>
    </row>
    <row r="8507" spans="6:9" x14ac:dyDescent="0.35">
      <c r="F8507" s="33"/>
      <c r="G8507" s="70"/>
      <c r="H8507" s="400"/>
      <c r="I8507" s="239"/>
    </row>
    <row r="8508" spans="6:9" x14ac:dyDescent="0.35">
      <c r="F8508" s="33"/>
      <c r="G8508" s="70"/>
      <c r="H8508" s="400"/>
      <c r="I8508" s="239"/>
    </row>
    <row r="8509" spans="6:9" x14ac:dyDescent="0.35">
      <c r="F8509" s="33"/>
      <c r="G8509" s="70"/>
      <c r="H8509" s="400"/>
      <c r="I8509" s="239"/>
    </row>
    <row r="8510" spans="6:9" x14ac:dyDescent="0.35">
      <c r="F8510" s="33"/>
      <c r="G8510" s="70"/>
      <c r="H8510" s="400"/>
      <c r="I8510" s="239"/>
    </row>
    <row r="8511" spans="6:9" x14ac:dyDescent="0.35">
      <c r="F8511" s="33"/>
      <c r="G8511" s="70"/>
      <c r="H8511" s="400"/>
      <c r="I8511" s="239"/>
    </row>
    <row r="8512" spans="6:9" x14ac:dyDescent="0.35">
      <c r="F8512" s="33"/>
      <c r="G8512" s="70"/>
      <c r="H8512" s="400"/>
      <c r="I8512" s="239"/>
    </row>
    <row r="8513" spans="6:9" x14ac:dyDescent="0.35">
      <c r="F8513" s="33"/>
      <c r="G8513" s="70"/>
      <c r="H8513" s="400"/>
      <c r="I8513" s="239"/>
    </row>
    <row r="8514" spans="6:9" x14ac:dyDescent="0.35">
      <c r="F8514" s="33"/>
      <c r="G8514" s="70"/>
      <c r="H8514" s="400"/>
      <c r="I8514" s="239"/>
    </row>
    <row r="8515" spans="6:9" x14ac:dyDescent="0.35">
      <c r="F8515" s="33"/>
      <c r="G8515" s="70"/>
      <c r="H8515" s="400"/>
      <c r="I8515" s="239"/>
    </row>
    <row r="8516" spans="6:9" x14ac:dyDescent="0.35">
      <c r="F8516" s="33"/>
      <c r="G8516" s="70"/>
      <c r="H8516" s="400"/>
      <c r="I8516" s="239"/>
    </row>
    <row r="8517" spans="6:9" x14ac:dyDescent="0.35">
      <c r="F8517" s="33"/>
      <c r="G8517" s="70"/>
      <c r="H8517" s="400"/>
      <c r="I8517" s="239"/>
    </row>
    <row r="8518" spans="6:9" x14ac:dyDescent="0.35">
      <c r="F8518" s="33"/>
      <c r="G8518" s="70"/>
      <c r="H8518" s="400"/>
      <c r="I8518" s="239"/>
    </row>
    <row r="8519" spans="6:9" x14ac:dyDescent="0.35">
      <c r="F8519" s="33"/>
      <c r="G8519" s="70"/>
      <c r="H8519" s="400"/>
      <c r="I8519" s="239"/>
    </row>
    <row r="8520" spans="6:9" x14ac:dyDescent="0.35">
      <c r="F8520" s="33"/>
      <c r="G8520" s="70"/>
      <c r="H8520" s="400"/>
      <c r="I8520" s="239"/>
    </row>
    <row r="8521" spans="6:9" x14ac:dyDescent="0.35">
      <c r="F8521" s="33"/>
      <c r="G8521" s="70"/>
      <c r="H8521" s="400"/>
      <c r="I8521" s="239"/>
    </row>
    <row r="8522" spans="6:9" x14ac:dyDescent="0.35">
      <c r="F8522" s="33"/>
      <c r="G8522" s="70"/>
      <c r="H8522" s="400"/>
      <c r="I8522" s="239"/>
    </row>
    <row r="8523" spans="6:9" x14ac:dyDescent="0.35">
      <c r="F8523" s="33"/>
      <c r="G8523" s="70"/>
      <c r="H8523" s="400"/>
      <c r="I8523" s="239"/>
    </row>
    <row r="8524" spans="6:9" x14ac:dyDescent="0.35">
      <c r="F8524" s="33"/>
      <c r="G8524" s="70"/>
      <c r="H8524" s="400"/>
      <c r="I8524" s="239"/>
    </row>
    <row r="8525" spans="6:9" x14ac:dyDescent="0.35">
      <c r="F8525" s="33"/>
      <c r="G8525" s="70"/>
      <c r="H8525" s="400"/>
      <c r="I8525" s="239"/>
    </row>
    <row r="8526" spans="6:9" x14ac:dyDescent="0.35">
      <c r="F8526" s="33"/>
      <c r="G8526" s="70"/>
      <c r="H8526" s="400"/>
      <c r="I8526" s="239"/>
    </row>
    <row r="8527" spans="6:9" x14ac:dyDescent="0.35">
      <c r="F8527" s="33"/>
      <c r="G8527" s="70"/>
      <c r="H8527" s="400"/>
      <c r="I8527" s="239"/>
    </row>
    <row r="8528" spans="6:9" x14ac:dyDescent="0.35">
      <c r="F8528" s="33"/>
      <c r="G8528" s="70"/>
      <c r="H8528" s="400"/>
      <c r="I8528" s="239"/>
    </row>
    <row r="8529" spans="6:9" x14ac:dyDescent="0.35">
      <c r="F8529" s="33"/>
      <c r="G8529" s="70"/>
      <c r="H8529" s="400"/>
      <c r="I8529" s="239"/>
    </row>
    <row r="8530" spans="6:9" x14ac:dyDescent="0.35">
      <c r="F8530" s="33"/>
      <c r="G8530" s="70"/>
      <c r="H8530" s="400"/>
      <c r="I8530" s="239"/>
    </row>
    <row r="8531" spans="6:9" x14ac:dyDescent="0.35">
      <c r="F8531" s="33"/>
      <c r="G8531" s="70"/>
      <c r="H8531" s="400"/>
      <c r="I8531" s="239"/>
    </row>
    <row r="8532" spans="6:9" x14ac:dyDescent="0.35">
      <c r="F8532" s="33"/>
      <c r="G8532" s="70"/>
      <c r="H8532" s="400"/>
      <c r="I8532" s="239"/>
    </row>
    <row r="8533" spans="6:9" x14ac:dyDescent="0.35">
      <c r="F8533" s="33"/>
      <c r="G8533" s="70"/>
      <c r="H8533" s="400"/>
      <c r="I8533" s="239"/>
    </row>
    <row r="8534" spans="6:9" x14ac:dyDescent="0.35">
      <c r="F8534" s="33"/>
      <c r="G8534" s="70"/>
      <c r="H8534" s="400"/>
      <c r="I8534" s="239"/>
    </row>
    <row r="8535" spans="6:9" x14ac:dyDescent="0.35">
      <c r="F8535" s="33"/>
      <c r="G8535" s="70"/>
      <c r="H8535" s="400"/>
      <c r="I8535" s="239"/>
    </row>
    <row r="8536" spans="6:9" x14ac:dyDescent="0.35">
      <c r="F8536" s="33"/>
      <c r="G8536" s="70"/>
      <c r="H8536" s="400"/>
      <c r="I8536" s="239"/>
    </row>
    <row r="8537" spans="6:9" x14ac:dyDescent="0.35">
      <c r="F8537" s="33"/>
      <c r="G8537" s="70"/>
      <c r="H8537" s="400"/>
      <c r="I8537" s="239"/>
    </row>
    <row r="8538" spans="6:9" x14ac:dyDescent="0.35">
      <c r="F8538" s="33"/>
      <c r="G8538" s="70"/>
      <c r="H8538" s="400"/>
      <c r="I8538" s="239"/>
    </row>
    <row r="8539" spans="6:9" x14ac:dyDescent="0.35">
      <c r="F8539" s="33"/>
      <c r="G8539" s="70"/>
      <c r="H8539" s="400"/>
      <c r="I8539" s="239"/>
    </row>
    <row r="8540" spans="6:9" x14ac:dyDescent="0.35">
      <c r="F8540" s="33"/>
      <c r="G8540" s="70"/>
      <c r="H8540" s="400"/>
      <c r="I8540" s="239"/>
    </row>
    <row r="8541" spans="6:9" x14ac:dyDescent="0.35">
      <c r="F8541" s="33"/>
      <c r="G8541" s="70"/>
      <c r="H8541" s="400"/>
      <c r="I8541" s="239"/>
    </row>
    <row r="8542" spans="6:9" x14ac:dyDescent="0.35">
      <c r="F8542" s="33"/>
      <c r="G8542" s="70"/>
      <c r="H8542" s="400"/>
      <c r="I8542" s="239"/>
    </row>
    <row r="8543" spans="6:9" x14ac:dyDescent="0.35">
      <c r="F8543" s="33"/>
      <c r="G8543" s="70"/>
      <c r="H8543" s="400"/>
      <c r="I8543" s="239"/>
    </row>
    <row r="8544" spans="6:9" x14ac:dyDescent="0.35">
      <c r="F8544" s="33"/>
      <c r="G8544" s="70"/>
      <c r="H8544" s="400"/>
      <c r="I8544" s="239"/>
    </row>
    <row r="8545" spans="6:9" x14ac:dyDescent="0.35">
      <c r="F8545" s="33"/>
      <c r="G8545" s="70"/>
      <c r="H8545" s="400"/>
      <c r="I8545" s="239"/>
    </row>
    <row r="8546" spans="6:9" x14ac:dyDescent="0.35">
      <c r="F8546" s="33"/>
      <c r="G8546" s="70"/>
      <c r="H8546" s="400"/>
      <c r="I8546" s="239"/>
    </row>
    <row r="8547" spans="6:9" x14ac:dyDescent="0.35">
      <c r="F8547" s="33"/>
      <c r="G8547" s="70"/>
      <c r="H8547" s="400"/>
      <c r="I8547" s="239"/>
    </row>
    <row r="8548" spans="6:9" x14ac:dyDescent="0.35">
      <c r="F8548" s="33"/>
      <c r="G8548" s="70"/>
      <c r="H8548" s="400"/>
      <c r="I8548" s="239"/>
    </row>
    <row r="8549" spans="6:9" x14ac:dyDescent="0.35">
      <c r="F8549" s="33"/>
      <c r="G8549" s="70"/>
      <c r="H8549" s="400"/>
      <c r="I8549" s="239"/>
    </row>
    <row r="8550" spans="6:9" x14ac:dyDescent="0.35">
      <c r="F8550" s="33"/>
      <c r="G8550" s="70"/>
      <c r="H8550" s="400"/>
      <c r="I8550" s="239"/>
    </row>
    <row r="8551" spans="6:9" x14ac:dyDescent="0.35">
      <c r="F8551" s="33"/>
      <c r="G8551" s="70"/>
      <c r="H8551" s="400"/>
      <c r="I8551" s="239"/>
    </row>
    <row r="8552" spans="6:9" x14ac:dyDescent="0.35">
      <c r="F8552" s="33"/>
      <c r="G8552" s="70"/>
      <c r="H8552" s="400"/>
      <c r="I8552" s="239"/>
    </row>
    <row r="8553" spans="6:9" x14ac:dyDescent="0.35">
      <c r="F8553" s="33"/>
      <c r="G8553" s="70"/>
      <c r="H8553" s="400"/>
      <c r="I8553" s="239"/>
    </row>
    <row r="8554" spans="6:9" x14ac:dyDescent="0.35">
      <c r="F8554" s="33"/>
      <c r="G8554" s="70"/>
      <c r="H8554" s="400"/>
      <c r="I8554" s="239"/>
    </row>
    <row r="8555" spans="6:9" x14ac:dyDescent="0.35">
      <c r="F8555" s="33"/>
      <c r="G8555" s="70"/>
      <c r="H8555" s="400"/>
      <c r="I8555" s="239"/>
    </row>
    <row r="8556" spans="6:9" x14ac:dyDescent="0.35">
      <c r="F8556" s="33"/>
      <c r="G8556" s="70"/>
      <c r="H8556" s="400"/>
      <c r="I8556" s="239"/>
    </row>
    <row r="8557" spans="6:9" x14ac:dyDescent="0.35">
      <c r="F8557" s="33"/>
      <c r="G8557" s="70"/>
      <c r="H8557" s="400"/>
      <c r="I8557" s="239"/>
    </row>
    <row r="8558" spans="6:9" x14ac:dyDescent="0.35">
      <c r="F8558" s="33"/>
      <c r="G8558" s="70"/>
      <c r="H8558" s="400"/>
      <c r="I8558" s="239"/>
    </row>
    <row r="8559" spans="6:9" x14ac:dyDescent="0.35">
      <c r="F8559" s="33"/>
      <c r="G8559" s="70"/>
      <c r="H8559" s="400"/>
      <c r="I8559" s="239"/>
    </row>
    <row r="8560" spans="6:9" x14ac:dyDescent="0.35">
      <c r="F8560" s="33"/>
      <c r="G8560" s="70"/>
      <c r="H8560" s="400"/>
      <c r="I8560" s="239"/>
    </row>
    <row r="8561" spans="6:9" x14ac:dyDescent="0.35">
      <c r="F8561" s="33"/>
      <c r="G8561" s="70"/>
      <c r="H8561" s="400"/>
      <c r="I8561" s="239"/>
    </row>
    <row r="8562" spans="6:9" x14ac:dyDescent="0.35">
      <c r="F8562" s="33"/>
      <c r="G8562" s="70"/>
      <c r="H8562" s="400"/>
      <c r="I8562" s="239"/>
    </row>
    <row r="8563" spans="6:9" x14ac:dyDescent="0.35">
      <c r="F8563" s="33"/>
      <c r="G8563" s="70"/>
      <c r="H8563" s="400"/>
      <c r="I8563" s="239"/>
    </row>
    <row r="8564" spans="6:9" x14ac:dyDescent="0.35">
      <c r="F8564" s="33"/>
      <c r="G8564" s="70"/>
      <c r="H8564" s="400"/>
      <c r="I8564" s="239"/>
    </row>
    <row r="8565" spans="6:9" x14ac:dyDescent="0.35">
      <c r="F8565" s="33"/>
      <c r="G8565" s="70"/>
      <c r="H8565" s="400"/>
      <c r="I8565" s="239"/>
    </row>
    <row r="8566" spans="6:9" x14ac:dyDescent="0.35">
      <c r="F8566" s="33"/>
      <c r="G8566" s="70"/>
      <c r="H8566" s="400"/>
      <c r="I8566" s="239"/>
    </row>
    <row r="8567" spans="6:9" x14ac:dyDescent="0.35">
      <c r="F8567" s="33"/>
      <c r="G8567" s="70"/>
      <c r="H8567" s="400"/>
      <c r="I8567" s="239"/>
    </row>
    <row r="8568" spans="6:9" x14ac:dyDescent="0.35">
      <c r="F8568" s="33"/>
      <c r="G8568" s="70"/>
      <c r="H8568" s="400"/>
      <c r="I8568" s="239"/>
    </row>
    <row r="8569" spans="6:9" x14ac:dyDescent="0.35">
      <c r="F8569" s="33"/>
      <c r="G8569" s="70"/>
      <c r="H8569" s="400"/>
      <c r="I8569" s="239"/>
    </row>
    <row r="8570" spans="6:9" x14ac:dyDescent="0.35">
      <c r="F8570" s="33"/>
      <c r="G8570" s="70"/>
      <c r="H8570" s="400"/>
      <c r="I8570" s="239"/>
    </row>
    <row r="8571" spans="6:9" x14ac:dyDescent="0.35">
      <c r="F8571" s="33"/>
      <c r="G8571" s="70"/>
      <c r="H8571" s="400"/>
      <c r="I8571" s="239"/>
    </row>
    <row r="8572" spans="6:9" x14ac:dyDescent="0.35">
      <c r="F8572" s="33"/>
      <c r="G8572" s="70"/>
      <c r="H8572" s="400"/>
      <c r="I8572" s="239"/>
    </row>
    <row r="8573" spans="6:9" x14ac:dyDescent="0.35">
      <c r="F8573" s="33"/>
      <c r="G8573" s="70"/>
      <c r="H8573" s="400"/>
      <c r="I8573" s="239"/>
    </row>
    <row r="8574" spans="6:9" x14ac:dyDescent="0.35">
      <c r="F8574" s="33"/>
      <c r="G8574" s="70"/>
      <c r="H8574" s="400"/>
      <c r="I8574" s="239"/>
    </row>
    <row r="8575" spans="6:9" x14ac:dyDescent="0.35">
      <c r="F8575" s="33"/>
      <c r="G8575" s="70"/>
      <c r="H8575" s="400"/>
      <c r="I8575" s="239"/>
    </row>
    <row r="8576" spans="6:9" x14ac:dyDescent="0.35">
      <c r="F8576" s="33"/>
      <c r="G8576" s="70"/>
      <c r="H8576" s="400"/>
      <c r="I8576" s="239"/>
    </row>
    <row r="8577" spans="6:9" x14ac:dyDescent="0.35">
      <c r="F8577" s="33"/>
      <c r="G8577" s="70"/>
      <c r="H8577" s="400"/>
      <c r="I8577" s="239"/>
    </row>
    <row r="8578" spans="6:9" x14ac:dyDescent="0.35">
      <c r="F8578" s="33"/>
      <c r="G8578" s="70"/>
      <c r="H8578" s="400"/>
      <c r="I8578" s="239"/>
    </row>
    <row r="8579" spans="6:9" x14ac:dyDescent="0.35">
      <c r="F8579" s="33"/>
      <c r="G8579" s="70"/>
      <c r="H8579" s="400"/>
      <c r="I8579" s="239"/>
    </row>
    <row r="8580" spans="6:9" x14ac:dyDescent="0.35">
      <c r="F8580" s="33"/>
      <c r="G8580" s="70"/>
      <c r="H8580" s="400"/>
      <c r="I8580" s="239"/>
    </row>
    <row r="8581" spans="6:9" x14ac:dyDescent="0.35">
      <c r="F8581" s="33"/>
      <c r="G8581" s="70"/>
      <c r="H8581" s="400"/>
      <c r="I8581" s="239"/>
    </row>
    <row r="8582" spans="6:9" x14ac:dyDescent="0.35">
      <c r="F8582" s="33"/>
      <c r="G8582" s="70"/>
      <c r="H8582" s="400"/>
      <c r="I8582" s="239"/>
    </row>
    <row r="8583" spans="6:9" x14ac:dyDescent="0.35">
      <c r="F8583" s="33"/>
      <c r="G8583" s="70"/>
      <c r="H8583" s="400"/>
      <c r="I8583" s="239"/>
    </row>
    <row r="8584" spans="6:9" x14ac:dyDescent="0.35">
      <c r="F8584" s="33"/>
      <c r="G8584" s="70"/>
      <c r="H8584" s="400"/>
      <c r="I8584" s="239"/>
    </row>
    <row r="8585" spans="6:9" x14ac:dyDescent="0.35">
      <c r="F8585" s="33"/>
      <c r="G8585" s="70"/>
      <c r="H8585" s="400"/>
      <c r="I8585" s="239"/>
    </row>
    <row r="8586" spans="6:9" x14ac:dyDescent="0.35">
      <c r="F8586" s="33"/>
      <c r="G8586" s="70"/>
      <c r="H8586" s="400"/>
      <c r="I8586" s="239"/>
    </row>
    <row r="8587" spans="6:9" x14ac:dyDescent="0.35">
      <c r="F8587" s="33"/>
      <c r="G8587" s="70"/>
      <c r="H8587" s="400"/>
      <c r="I8587" s="239"/>
    </row>
    <row r="8588" spans="6:9" x14ac:dyDescent="0.35">
      <c r="F8588" s="33"/>
      <c r="G8588" s="70"/>
      <c r="H8588" s="400"/>
      <c r="I8588" s="239"/>
    </row>
    <row r="8589" spans="6:9" x14ac:dyDescent="0.35">
      <c r="F8589" s="33"/>
      <c r="G8589" s="70"/>
      <c r="H8589" s="400"/>
      <c r="I8589" s="239"/>
    </row>
    <row r="8590" spans="6:9" x14ac:dyDescent="0.35">
      <c r="F8590" s="33"/>
      <c r="G8590" s="70"/>
      <c r="H8590" s="400"/>
      <c r="I8590" s="239"/>
    </row>
    <row r="8591" spans="6:9" x14ac:dyDescent="0.35">
      <c r="F8591" s="33"/>
      <c r="G8591" s="70"/>
      <c r="H8591" s="400"/>
      <c r="I8591" s="239"/>
    </row>
    <row r="8592" spans="6:9" x14ac:dyDescent="0.35">
      <c r="F8592" s="33"/>
      <c r="G8592" s="70"/>
      <c r="H8592" s="400"/>
      <c r="I8592" s="239"/>
    </row>
    <row r="8593" spans="6:9" x14ac:dyDescent="0.35">
      <c r="F8593" s="33"/>
      <c r="G8593" s="70"/>
      <c r="H8593" s="400"/>
      <c r="I8593" s="239"/>
    </row>
    <row r="8594" spans="6:9" x14ac:dyDescent="0.35">
      <c r="F8594" s="33"/>
      <c r="G8594" s="70"/>
      <c r="H8594" s="400"/>
      <c r="I8594" s="239"/>
    </row>
    <row r="8595" spans="6:9" x14ac:dyDescent="0.35">
      <c r="F8595" s="33"/>
      <c r="G8595" s="70"/>
      <c r="H8595" s="400"/>
      <c r="I8595" s="239"/>
    </row>
    <row r="8596" spans="6:9" x14ac:dyDescent="0.35">
      <c r="F8596" s="33"/>
      <c r="G8596" s="70"/>
      <c r="H8596" s="400"/>
      <c r="I8596" s="239"/>
    </row>
    <row r="8597" spans="6:9" x14ac:dyDescent="0.35">
      <c r="F8597" s="33"/>
      <c r="G8597" s="70"/>
      <c r="H8597" s="400"/>
      <c r="I8597" s="239"/>
    </row>
    <row r="8598" spans="6:9" x14ac:dyDescent="0.35">
      <c r="F8598" s="33"/>
      <c r="G8598" s="70"/>
      <c r="H8598" s="400"/>
      <c r="I8598" s="239"/>
    </row>
    <row r="8599" spans="6:9" x14ac:dyDescent="0.35">
      <c r="F8599" s="33"/>
      <c r="G8599" s="70"/>
      <c r="H8599" s="400"/>
      <c r="I8599" s="239"/>
    </row>
    <row r="8600" spans="6:9" x14ac:dyDescent="0.35">
      <c r="F8600" s="33"/>
      <c r="G8600" s="70"/>
      <c r="H8600" s="400"/>
      <c r="I8600" s="239"/>
    </row>
    <row r="8601" spans="6:9" x14ac:dyDescent="0.35">
      <c r="F8601" s="33"/>
      <c r="G8601" s="70"/>
      <c r="H8601" s="400"/>
      <c r="I8601" s="239"/>
    </row>
    <row r="8602" spans="6:9" x14ac:dyDescent="0.35">
      <c r="F8602" s="33"/>
      <c r="G8602" s="70"/>
      <c r="H8602" s="400"/>
      <c r="I8602" s="239"/>
    </row>
    <row r="8603" spans="6:9" x14ac:dyDescent="0.35">
      <c r="F8603" s="33"/>
      <c r="G8603" s="70"/>
      <c r="H8603" s="400"/>
      <c r="I8603" s="239"/>
    </row>
    <row r="8604" spans="6:9" x14ac:dyDescent="0.35">
      <c r="F8604" s="33"/>
      <c r="G8604" s="70"/>
      <c r="H8604" s="400"/>
      <c r="I8604" s="239"/>
    </row>
    <row r="8605" spans="6:9" x14ac:dyDescent="0.35">
      <c r="F8605" s="33"/>
      <c r="G8605" s="70"/>
      <c r="H8605" s="400"/>
      <c r="I8605" s="239"/>
    </row>
    <row r="8606" spans="6:9" x14ac:dyDescent="0.35">
      <c r="F8606" s="33"/>
      <c r="G8606" s="70"/>
      <c r="H8606" s="400"/>
      <c r="I8606" s="239"/>
    </row>
    <row r="8607" spans="6:9" x14ac:dyDescent="0.35">
      <c r="F8607" s="33"/>
      <c r="G8607" s="70"/>
      <c r="H8607" s="400"/>
      <c r="I8607" s="239"/>
    </row>
    <row r="8608" spans="6:9" x14ac:dyDescent="0.35">
      <c r="F8608" s="33"/>
      <c r="G8608" s="70"/>
      <c r="H8608" s="400"/>
      <c r="I8608" s="239"/>
    </row>
    <row r="8609" spans="6:9" x14ac:dyDescent="0.35">
      <c r="F8609" s="33"/>
      <c r="G8609" s="70"/>
      <c r="H8609" s="400"/>
      <c r="I8609" s="239"/>
    </row>
    <row r="8610" spans="6:9" x14ac:dyDescent="0.35">
      <c r="F8610" s="33"/>
      <c r="G8610" s="70"/>
      <c r="H8610" s="400"/>
      <c r="I8610" s="239"/>
    </row>
    <row r="8611" spans="6:9" x14ac:dyDescent="0.35">
      <c r="F8611" s="33"/>
      <c r="G8611" s="70"/>
      <c r="H8611" s="400"/>
      <c r="I8611" s="239"/>
    </row>
    <row r="8612" spans="6:9" x14ac:dyDescent="0.35">
      <c r="F8612" s="33"/>
      <c r="G8612" s="70"/>
      <c r="H8612" s="400"/>
      <c r="I8612" s="239"/>
    </row>
    <row r="8613" spans="6:9" x14ac:dyDescent="0.35">
      <c r="F8613" s="33"/>
      <c r="G8613" s="70"/>
      <c r="H8613" s="400"/>
      <c r="I8613" s="239"/>
    </row>
    <row r="8614" spans="6:9" x14ac:dyDescent="0.35">
      <c r="F8614" s="33"/>
      <c r="G8614" s="70"/>
      <c r="H8614" s="400"/>
      <c r="I8614" s="239"/>
    </row>
    <row r="8615" spans="6:9" x14ac:dyDescent="0.35">
      <c r="F8615" s="33"/>
      <c r="G8615" s="70"/>
      <c r="H8615" s="400"/>
      <c r="I8615" s="239"/>
    </row>
    <row r="8616" spans="6:9" x14ac:dyDescent="0.35">
      <c r="F8616" s="33"/>
      <c r="G8616" s="70"/>
      <c r="H8616" s="400"/>
      <c r="I8616" s="239"/>
    </row>
    <row r="8617" spans="6:9" x14ac:dyDescent="0.35">
      <c r="F8617" s="33"/>
      <c r="G8617" s="70"/>
      <c r="H8617" s="400"/>
      <c r="I8617" s="239"/>
    </row>
    <row r="8618" spans="6:9" x14ac:dyDescent="0.35">
      <c r="F8618" s="33"/>
      <c r="G8618" s="70"/>
      <c r="H8618" s="400"/>
      <c r="I8618" s="239"/>
    </row>
    <row r="8619" spans="6:9" x14ac:dyDescent="0.35">
      <c r="F8619" s="33"/>
      <c r="G8619" s="70"/>
      <c r="H8619" s="400"/>
      <c r="I8619" s="239"/>
    </row>
    <row r="8620" spans="6:9" x14ac:dyDescent="0.35">
      <c r="F8620" s="33"/>
      <c r="G8620" s="70"/>
      <c r="H8620" s="400"/>
      <c r="I8620" s="239"/>
    </row>
    <row r="8621" spans="6:9" x14ac:dyDescent="0.35">
      <c r="F8621" s="33"/>
      <c r="G8621" s="70"/>
      <c r="H8621" s="400"/>
      <c r="I8621" s="239"/>
    </row>
    <row r="8622" spans="6:9" x14ac:dyDescent="0.35">
      <c r="F8622" s="33"/>
      <c r="G8622" s="70"/>
      <c r="H8622" s="400"/>
      <c r="I8622" s="239"/>
    </row>
    <row r="8623" spans="6:9" x14ac:dyDescent="0.35">
      <c r="F8623" s="33"/>
      <c r="G8623" s="70"/>
      <c r="H8623" s="400"/>
      <c r="I8623" s="239"/>
    </row>
    <row r="8624" spans="6:9" x14ac:dyDescent="0.35">
      <c r="F8624" s="33"/>
      <c r="G8624" s="70"/>
      <c r="H8624" s="400"/>
      <c r="I8624" s="239"/>
    </row>
    <row r="8625" spans="6:9" x14ac:dyDescent="0.35">
      <c r="F8625" s="33"/>
      <c r="G8625" s="70"/>
      <c r="H8625" s="400"/>
      <c r="I8625" s="239"/>
    </row>
    <row r="8626" spans="6:9" x14ac:dyDescent="0.35">
      <c r="F8626" s="33"/>
      <c r="G8626" s="70"/>
      <c r="H8626" s="400"/>
      <c r="I8626" s="239"/>
    </row>
    <row r="8627" spans="6:9" x14ac:dyDescent="0.35">
      <c r="F8627" s="33"/>
      <c r="G8627" s="70"/>
      <c r="H8627" s="400"/>
      <c r="I8627" s="239"/>
    </row>
    <row r="8628" spans="6:9" x14ac:dyDescent="0.35">
      <c r="F8628" s="33"/>
      <c r="G8628" s="70"/>
      <c r="H8628" s="400"/>
      <c r="I8628" s="239"/>
    </row>
    <row r="8629" spans="6:9" x14ac:dyDescent="0.35">
      <c r="F8629" s="33"/>
      <c r="G8629" s="70"/>
      <c r="H8629" s="400"/>
      <c r="I8629" s="239"/>
    </row>
    <row r="8630" spans="6:9" x14ac:dyDescent="0.35">
      <c r="F8630" s="33"/>
      <c r="G8630" s="70"/>
      <c r="H8630" s="400"/>
      <c r="I8630" s="239"/>
    </row>
    <row r="8631" spans="6:9" x14ac:dyDescent="0.35">
      <c r="F8631" s="33"/>
      <c r="G8631" s="70"/>
      <c r="H8631" s="400"/>
      <c r="I8631" s="239"/>
    </row>
    <row r="8632" spans="6:9" x14ac:dyDescent="0.35">
      <c r="F8632" s="33"/>
      <c r="G8632" s="70"/>
      <c r="H8632" s="400"/>
      <c r="I8632" s="239"/>
    </row>
    <row r="8633" spans="6:9" x14ac:dyDescent="0.35">
      <c r="F8633" s="33"/>
      <c r="G8633" s="70"/>
      <c r="H8633" s="400"/>
      <c r="I8633" s="239"/>
    </row>
    <row r="8634" spans="6:9" x14ac:dyDescent="0.35">
      <c r="F8634" s="33"/>
      <c r="G8634" s="70"/>
      <c r="H8634" s="400"/>
      <c r="I8634" s="239"/>
    </row>
    <row r="8635" spans="6:9" x14ac:dyDescent="0.35">
      <c r="F8635" s="33"/>
      <c r="G8635" s="70"/>
      <c r="H8635" s="400"/>
      <c r="I8635" s="239"/>
    </row>
    <row r="8636" spans="6:9" x14ac:dyDescent="0.35">
      <c r="F8636" s="33"/>
      <c r="G8636" s="70"/>
      <c r="H8636" s="400"/>
      <c r="I8636" s="239"/>
    </row>
    <row r="8637" spans="6:9" x14ac:dyDescent="0.35">
      <c r="F8637" s="33"/>
      <c r="G8637" s="70"/>
      <c r="H8637" s="400"/>
      <c r="I8637" s="239"/>
    </row>
    <row r="8638" spans="6:9" x14ac:dyDescent="0.35">
      <c r="F8638" s="33"/>
      <c r="G8638" s="70"/>
      <c r="H8638" s="400"/>
      <c r="I8638" s="239"/>
    </row>
    <row r="8639" spans="6:9" x14ac:dyDescent="0.35">
      <c r="F8639" s="33"/>
      <c r="G8639" s="70"/>
      <c r="H8639" s="400"/>
      <c r="I8639" s="239"/>
    </row>
    <row r="8640" spans="6:9" x14ac:dyDescent="0.35">
      <c r="F8640" s="33"/>
      <c r="G8640" s="70"/>
      <c r="H8640" s="400"/>
      <c r="I8640" s="239"/>
    </row>
    <row r="8641" spans="6:9" x14ac:dyDescent="0.35">
      <c r="F8641" s="33"/>
      <c r="G8641" s="70"/>
      <c r="H8641" s="400"/>
      <c r="I8641" s="239"/>
    </row>
    <row r="8642" spans="6:9" x14ac:dyDescent="0.35">
      <c r="F8642" s="33"/>
      <c r="G8642" s="70"/>
      <c r="H8642" s="400"/>
      <c r="I8642" s="239"/>
    </row>
    <row r="8643" spans="6:9" x14ac:dyDescent="0.35">
      <c r="F8643" s="33"/>
      <c r="G8643" s="70"/>
      <c r="H8643" s="400"/>
      <c r="I8643" s="239"/>
    </row>
    <row r="8644" spans="6:9" x14ac:dyDescent="0.35">
      <c r="F8644" s="33"/>
      <c r="G8644" s="70"/>
      <c r="H8644" s="400"/>
      <c r="I8644" s="239"/>
    </row>
    <row r="8645" spans="6:9" x14ac:dyDescent="0.35">
      <c r="F8645" s="33"/>
      <c r="G8645" s="70"/>
      <c r="H8645" s="400"/>
      <c r="I8645" s="239"/>
    </row>
    <row r="8646" spans="6:9" x14ac:dyDescent="0.35">
      <c r="F8646" s="33"/>
      <c r="G8646" s="70"/>
      <c r="H8646" s="400"/>
      <c r="I8646" s="239"/>
    </row>
    <row r="8647" spans="6:9" x14ac:dyDescent="0.35">
      <c r="F8647" s="33"/>
      <c r="G8647" s="70"/>
      <c r="H8647" s="400"/>
      <c r="I8647" s="239"/>
    </row>
    <row r="8648" spans="6:9" x14ac:dyDescent="0.35">
      <c r="F8648" s="33"/>
      <c r="G8648" s="70"/>
      <c r="H8648" s="400"/>
      <c r="I8648" s="239"/>
    </row>
    <row r="8649" spans="6:9" x14ac:dyDescent="0.35">
      <c r="F8649" s="33"/>
      <c r="G8649" s="70"/>
      <c r="H8649" s="400"/>
      <c r="I8649" s="239"/>
    </row>
    <row r="8650" spans="6:9" x14ac:dyDescent="0.35">
      <c r="F8650" s="33"/>
      <c r="G8650" s="70"/>
      <c r="H8650" s="400"/>
      <c r="I8650" s="239"/>
    </row>
    <row r="8651" spans="6:9" x14ac:dyDescent="0.35">
      <c r="F8651" s="33"/>
      <c r="G8651" s="70"/>
      <c r="H8651" s="400"/>
      <c r="I8651" s="239"/>
    </row>
    <row r="8652" spans="6:9" x14ac:dyDescent="0.35">
      <c r="F8652" s="33"/>
      <c r="G8652" s="70"/>
      <c r="H8652" s="400"/>
      <c r="I8652" s="239"/>
    </row>
    <row r="8653" spans="6:9" x14ac:dyDescent="0.35">
      <c r="F8653" s="33"/>
      <c r="G8653" s="70"/>
      <c r="H8653" s="400"/>
      <c r="I8653" s="239"/>
    </row>
    <row r="8654" spans="6:9" x14ac:dyDescent="0.35">
      <c r="F8654" s="33"/>
      <c r="G8654" s="70"/>
      <c r="H8654" s="400"/>
      <c r="I8654" s="239"/>
    </row>
    <row r="8655" spans="6:9" x14ac:dyDescent="0.35">
      <c r="F8655" s="33"/>
      <c r="G8655" s="70"/>
      <c r="H8655" s="400"/>
      <c r="I8655" s="239"/>
    </row>
    <row r="8656" spans="6:9" x14ac:dyDescent="0.35">
      <c r="F8656" s="33"/>
      <c r="G8656" s="70"/>
      <c r="H8656" s="400"/>
      <c r="I8656" s="239"/>
    </row>
    <row r="8657" spans="6:9" x14ac:dyDescent="0.35">
      <c r="F8657" s="33"/>
      <c r="G8657" s="70"/>
      <c r="H8657" s="400"/>
      <c r="I8657" s="239"/>
    </row>
    <row r="8658" spans="6:9" x14ac:dyDescent="0.35">
      <c r="F8658" s="33"/>
      <c r="G8658" s="70"/>
      <c r="H8658" s="400"/>
      <c r="I8658" s="239"/>
    </row>
    <row r="8659" spans="6:9" x14ac:dyDescent="0.35">
      <c r="F8659" s="33"/>
      <c r="G8659" s="70"/>
      <c r="H8659" s="400"/>
      <c r="I8659" s="239"/>
    </row>
    <row r="8660" spans="6:9" x14ac:dyDescent="0.35">
      <c r="F8660" s="33"/>
      <c r="G8660" s="70"/>
      <c r="H8660" s="400"/>
      <c r="I8660" s="239"/>
    </row>
    <row r="8661" spans="6:9" x14ac:dyDescent="0.35">
      <c r="F8661" s="33"/>
      <c r="G8661" s="70"/>
      <c r="H8661" s="400"/>
      <c r="I8661" s="239"/>
    </row>
    <row r="8662" spans="6:9" x14ac:dyDescent="0.35">
      <c r="F8662" s="33"/>
      <c r="G8662" s="70"/>
      <c r="H8662" s="400"/>
      <c r="I8662" s="239"/>
    </row>
    <row r="8663" spans="6:9" x14ac:dyDescent="0.35">
      <c r="F8663" s="33"/>
      <c r="G8663" s="70"/>
      <c r="H8663" s="400"/>
      <c r="I8663" s="239"/>
    </row>
    <row r="8664" spans="6:9" x14ac:dyDescent="0.35">
      <c r="F8664" s="33"/>
      <c r="G8664" s="70"/>
      <c r="H8664" s="400"/>
      <c r="I8664" s="239"/>
    </row>
    <row r="8665" spans="6:9" x14ac:dyDescent="0.35">
      <c r="F8665" s="33"/>
      <c r="G8665" s="70"/>
      <c r="H8665" s="400"/>
      <c r="I8665" s="239"/>
    </row>
    <row r="8666" spans="6:9" x14ac:dyDescent="0.35">
      <c r="F8666" s="33"/>
      <c r="G8666" s="70"/>
      <c r="H8666" s="400"/>
      <c r="I8666" s="239"/>
    </row>
    <row r="8667" spans="6:9" x14ac:dyDescent="0.35">
      <c r="F8667" s="33"/>
      <c r="G8667" s="70"/>
      <c r="H8667" s="400"/>
      <c r="I8667" s="239"/>
    </row>
    <row r="8668" spans="6:9" x14ac:dyDescent="0.35">
      <c r="F8668" s="33"/>
      <c r="G8668" s="70"/>
      <c r="H8668" s="400"/>
      <c r="I8668" s="239"/>
    </row>
    <row r="8669" spans="6:9" x14ac:dyDescent="0.35">
      <c r="F8669" s="33"/>
      <c r="G8669" s="70"/>
      <c r="H8669" s="400"/>
      <c r="I8669" s="239"/>
    </row>
    <row r="8670" spans="6:9" x14ac:dyDescent="0.35">
      <c r="F8670" s="33"/>
      <c r="G8670" s="70"/>
      <c r="H8670" s="400"/>
      <c r="I8670" s="239"/>
    </row>
    <row r="8671" spans="6:9" x14ac:dyDescent="0.35">
      <c r="F8671" s="33"/>
      <c r="G8671" s="70"/>
      <c r="H8671" s="400"/>
      <c r="I8671" s="239"/>
    </row>
    <row r="8672" spans="6:9" x14ac:dyDescent="0.35">
      <c r="F8672" s="33"/>
      <c r="G8672" s="70"/>
      <c r="H8672" s="400"/>
      <c r="I8672" s="239"/>
    </row>
    <row r="8673" spans="6:9" x14ac:dyDescent="0.35">
      <c r="F8673" s="33"/>
      <c r="G8673" s="70"/>
      <c r="H8673" s="400"/>
      <c r="I8673" s="239"/>
    </row>
    <row r="8674" spans="6:9" x14ac:dyDescent="0.35">
      <c r="F8674" s="33"/>
      <c r="G8674" s="70"/>
      <c r="H8674" s="400"/>
      <c r="I8674" s="239"/>
    </row>
    <row r="8675" spans="6:9" x14ac:dyDescent="0.35">
      <c r="F8675" s="33"/>
      <c r="G8675" s="70"/>
      <c r="H8675" s="400"/>
      <c r="I8675" s="239"/>
    </row>
    <row r="8676" spans="6:9" x14ac:dyDescent="0.35">
      <c r="F8676" s="33"/>
      <c r="G8676" s="70"/>
      <c r="H8676" s="400"/>
      <c r="I8676" s="239"/>
    </row>
    <row r="8677" spans="6:9" x14ac:dyDescent="0.35">
      <c r="F8677" s="33"/>
      <c r="G8677" s="70"/>
      <c r="H8677" s="400"/>
      <c r="I8677" s="239"/>
    </row>
    <row r="8678" spans="6:9" x14ac:dyDescent="0.35">
      <c r="F8678" s="33"/>
      <c r="G8678" s="70"/>
      <c r="H8678" s="400"/>
      <c r="I8678" s="239"/>
    </row>
    <row r="8679" spans="6:9" x14ac:dyDescent="0.35">
      <c r="F8679" s="33"/>
      <c r="G8679" s="70"/>
      <c r="H8679" s="400"/>
      <c r="I8679" s="239"/>
    </row>
    <row r="8680" spans="6:9" x14ac:dyDescent="0.35">
      <c r="F8680" s="33"/>
      <c r="G8680" s="70"/>
      <c r="H8680" s="400"/>
      <c r="I8680" s="239"/>
    </row>
    <row r="8681" spans="6:9" x14ac:dyDescent="0.35">
      <c r="F8681" s="33"/>
      <c r="G8681" s="70"/>
      <c r="H8681" s="400"/>
      <c r="I8681" s="239"/>
    </row>
    <row r="8682" spans="6:9" x14ac:dyDescent="0.35">
      <c r="F8682" s="33"/>
      <c r="G8682" s="70"/>
      <c r="H8682" s="400"/>
      <c r="I8682" s="239"/>
    </row>
    <row r="8683" spans="6:9" x14ac:dyDescent="0.35">
      <c r="F8683" s="33"/>
      <c r="G8683" s="70"/>
      <c r="H8683" s="400"/>
      <c r="I8683" s="239"/>
    </row>
    <row r="8684" spans="6:9" x14ac:dyDescent="0.35">
      <c r="F8684" s="33"/>
      <c r="G8684" s="70"/>
      <c r="H8684" s="400"/>
      <c r="I8684" s="239"/>
    </row>
    <row r="8685" spans="6:9" x14ac:dyDescent="0.35">
      <c r="F8685" s="33"/>
      <c r="G8685" s="70"/>
      <c r="H8685" s="400"/>
      <c r="I8685" s="239"/>
    </row>
    <row r="8686" spans="6:9" x14ac:dyDescent="0.35">
      <c r="F8686" s="33"/>
      <c r="G8686" s="70"/>
      <c r="H8686" s="400"/>
      <c r="I8686" s="239"/>
    </row>
    <row r="8687" spans="6:9" x14ac:dyDescent="0.35">
      <c r="F8687" s="33"/>
      <c r="G8687" s="70"/>
      <c r="H8687" s="400"/>
      <c r="I8687" s="239"/>
    </row>
    <row r="8688" spans="6:9" x14ac:dyDescent="0.35">
      <c r="F8688" s="33"/>
      <c r="G8688" s="70"/>
      <c r="H8688" s="400"/>
      <c r="I8688" s="239"/>
    </row>
    <row r="8689" spans="6:9" x14ac:dyDescent="0.35">
      <c r="F8689" s="33"/>
      <c r="G8689" s="70"/>
      <c r="H8689" s="400"/>
      <c r="I8689" s="239"/>
    </row>
    <row r="8690" spans="6:9" x14ac:dyDescent="0.35">
      <c r="F8690" s="33"/>
      <c r="G8690" s="70"/>
      <c r="H8690" s="400"/>
      <c r="I8690" s="239"/>
    </row>
    <row r="8691" spans="6:9" x14ac:dyDescent="0.35">
      <c r="F8691" s="33"/>
      <c r="G8691" s="70"/>
      <c r="H8691" s="400"/>
      <c r="I8691" s="239"/>
    </row>
    <row r="8692" spans="6:9" x14ac:dyDescent="0.35">
      <c r="F8692" s="33"/>
      <c r="G8692" s="70"/>
      <c r="H8692" s="400"/>
      <c r="I8692" s="239"/>
    </row>
    <row r="8693" spans="6:9" x14ac:dyDescent="0.35">
      <c r="F8693" s="33"/>
      <c r="G8693" s="70"/>
      <c r="H8693" s="400"/>
      <c r="I8693" s="239"/>
    </row>
    <row r="8694" spans="6:9" x14ac:dyDescent="0.35">
      <c r="F8694" s="33"/>
      <c r="G8694" s="70"/>
      <c r="H8694" s="400"/>
      <c r="I8694" s="239"/>
    </row>
    <row r="8695" spans="6:9" x14ac:dyDescent="0.35">
      <c r="F8695" s="33"/>
      <c r="G8695" s="70"/>
      <c r="H8695" s="400"/>
      <c r="I8695" s="239"/>
    </row>
    <row r="8696" spans="6:9" x14ac:dyDescent="0.35">
      <c r="F8696" s="33"/>
      <c r="G8696" s="70"/>
      <c r="H8696" s="400"/>
      <c r="I8696" s="239"/>
    </row>
    <row r="8697" spans="6:9" x14ac:dyDescent="0.35">
      <c r="F8697" s="33"/>
      <c r="G8697" s="70"/>
      <c r="H8697" s="400"/>
      <c r="I8697" s="239"/>
    </row>
    <row r="8698" spans="6:9" x14ac:dyDescent="0.35">
      <c r="F8698" s="33"/>
      <c r="G8698" s="70"/>
      <c r="H8698" s="400"/>
      <c r="I8698" s="239"/>
    </row>
    <row r="8699" spans="6:9" x14ac:dyDescent="0.35">
      <c r="F8699" s="33"/>
      <c r="G8699" s="70"/>
      <c r="H8699" s="400"/>
      <c r="I8699" s="239"/>
    </row>
    <row r="8700" spans="6:9" x14ac:dyDescent="0.35">
      <c r="F8700" s="33"/>
      <c r="G8700" s="70"/>
      <c r="H8700" s="400"/>
      <c r="I8700" s="239"/>
    </row>
    <row r="8701" spans="6:9" x14ac:dyDescent="0.35">
      <c r="F8701" s="33"/>
      <c r="G8701" s="70"/>
      <c r="H8701" s="400"/>
      <c r="I8701" s="239"/>
    </row>
    <row r="8702" spans="6:9" x14ac:dyDescent="0.35">
      <c r="F8702" s="33"/>
      <c r="G8702" s="70"/>
      <c r="H8702" s="400"/>
      <c r="I8702" s="239"/>
    </row>
    <row r="8703" spans="6:9" x14ac:dyDescent="0.35">
      <c r="F8703" s="33"/>
      <c r="G8703" s="70"/>
      <c r="H8703" s="400"/>
      <c r="I8703" s="239"/>
    </row>
    <row r="8704" spans="6:9" x14ac:dyDescent="0.35">
      <c r="F8704" s="33"/>
      <c r="G8704" s="70"/>
      <c r="H8704" s="400"/>
      <c r="I8704" s="239"/>
    </row>
    <row r="8705" spans="6:9" x14ac:dyDescent="0.35">
      <c r="F8705" s="33"/>
      <c r="G8705" s="70"/>
      <c r="H8705" s="400"/>
      <c r="I8705" s="239"/>
    </row>
    <row r="8706" spans="6:9" x14ac:dyDescent="0.35">
      <c r="F8706" s="33"/>
      <c r="G8706" s="70"/>
      <c r="H8706" s="400"/>
      <c r="I8706" s="239"/>
    </row>
    <row r="8707" spans="6:9" x14ac:dyDescent="0.35">
      <c r="F8707" s="33"/>
      <c r="G8707" s="70"/>
      <c r="H8707" s="400"/>
      <c r="I8707" s="239"/>
    </row>
    <row r="8708" spans="6:9" x14ac:dyDescent="0.35">
      <c r="F8708" s="33"/>
      <c r="G8708" s="70"/>
      <c r="H8708" s="400"/>
      <c r="I8708" s="239"/>
    </row>
    <row r="8709" spans="6:9" x14ac:dyDescent="0.35">
      <c r="F8709" s="33"/>
      <c r="G8709" s="70"/>
      <c r="H8709" s="400"/>
      <c r="I8709" s="239"/>
    </row>
    <row r="8710" spans="6:9" x14ac:dyDescent="0.35">
      <c r="F8710" s="33"/>
      <c r="G8710" s="70"/>
      <c r="H8710" s="400"/>
      <c r="I8710" s="239"/>
    </row>
    <row r="8711" spans="6:9" x14ac:dyDescent="0.35">
      <c r="F8711" s="33"/>
      <c r="G8711" s="70"/>
      <c r="H8711" s="400"/>
      <c r="I8711" s="239"/>
    </row>
    <row r="8712" spans="6:9" x14ac:dyDescent="0.35">
      <c r="F8712" s="33"/>
      <c r="G8712" s="70"/>
      <c r="H8712" s="400"/>
      <c r="I8712" s="239"/>
    </row>
    <row r="8713" spans="6:9" x14ac:dyDescent="0.35">
      <c r="F8713" s="33"/>
      <c r="G8713" s="70"/>
      <c r="H8713" s="400"/>
      <c r="I8713" s="239"/>
    </row>
    <row r="8714" spans="6:9" x14ac:dyDescent="0.35">
      <c r="F8714" s="33"/>
      <c r="G8714" s="70"/>
      <c r="H8714" s="400"/>
      <c r="I8714" s="239"/>
    </row>
    <row r="8715" spans="6:9" x14ac:dyDescent="0.35">
      <c r="F8715" s="33"/>
      <c r="G8715" s="70"/>
      <c r="H8715" s="400"/>
      <c r="I8715" s="239"/>
    </row>
    <row r="8716" spans="6:9" x14ac:dyDescent="0.35">
      <c r="F8716" s="33"/>
      <c r="G8716" s="70"/>
      <c r="H8716" s="400"/>
      <c r="I8716" s="239"/>
    </row>
    <row r="8717" spans="6:9" x14ac:dyDescent="0.35">
      <c r="F8717" s="33"/>
      <c r="G8717" s="70"/>
      <c r="H8717" s="400"/>
      <c r="I8717" s="239"/>
    </row>
    <row r="8718" spans="6:9" x14ac:dyDescent="0.35">
      <c r="F8718" s="33"/>
      <c r="G8718" s="70"/>
      <c r="H8718" s="400"/>
      <c r="I8718" s="239"/>
    </row>
    <row r="8719" spans="6:9" x14ac:dyDescent="0.35">
      <c r="F8719" s="33"/>
      <c r="G8719" s="70"/>
      <c r="H8719" s="400"/>
      <c r="I8719" s="239"/>
    </row>
    <row r="8720" spans="6:9" x14ac:dyDescent="0.35">
      <c r="F8720" s="33"/>
      <c r="G8720" s="70"/>
      <c r="H8720" s="400"/>
      <c r="I8720" s="239"/>
    </row>
    <row r="8721" spans="6:9" x14ac:dyDescent="0.35">
      <c r="F8721" s="33"/>
      <c r="G8721" s="70"/>
      <c r="H8721" s="400"/>
      <c r="I8721" s="239"/>
    </row>
    <row r="8722" spans="6:9" x14ac:dyDescent="0.35">
      <c r="F8722" s="33"/>
      <c r="G8722" s="70"/>
      <c r="H8722" s="400"/>
      <c r="I8722" s="239"/>
    </row>
    <row r="8723" spans="6:9" x14ac:dyDescent="0.35">
      <c r="F8723" s="33"/>
      <c r="G8723" s="70"/>
      <c r="H8723" s="400"/>
      <c r="I8723" s="239"/>
    </row>
    <row r="8724" spans="6:9" x14ac:dyDescent="0.35">
      <c r="F8724" s="33"/>
      <c r="G8724" s="70"/>
      <c r="H8724" s="400"/>
      <c r="I8724" s="239"/>
    </row>
    <row r="8725" spans="6:9" x14ac:dyDescent="0.35">
      <c r="F8725" s="33"/>
      <c r="G8725" s="70"/>
      <c r="H8725" s="400"/>
      <c r="I8725" s="239"/>
    </row>
    <row r="8726" spans="6:9" x14ac:dyDescent="0.35">
      <c r="F8726" s="33"/>
      <c r="G8726" s="70"/>
      <c r="H8726" s="400"/>
      <c r="I8726" s="239"/>
    </row>
    <row r="8727" spans="6:9" x14ac:dyDescent="0.35">
      <c r="F8727" s="33"/>
      <c r="G8727" s="70"/>
      <c r="H8727" s="400"/>
      <c r="I8727" s="239"/>
    </row>
    <row r="8728" spans="6:9" x14ac:dyDescent="0.35">
      <c r="F8728" s="33"/>
      <c r="G8728" s="70"/>
      <c r="H8728" s="400"/>
      <c r="I8728" s="239"/>
    </row>
    <row r="8729" spans="6:9" x14ac:dyDescent="0.35">
      <c r="F8729" s="33"/>
      <c r="G8729" s="70"/>
      <c r="H8729" s="400"/>
      <c r="I8729" s="239"/>
    </row>
    <row r="8730" spans="6:9" x14ac:dyDescent="0.35">
      <c r="F8730" s="33"/>
      <c r="G8730" s="70"/>
      <c r="H8730" s="400"/>
      <c r="I8730" s="239"/>
    </row>
    <row r="8731" spans="6:9" x14ac:dyDescent="0.35">
      <c r="F8731" s="33"/>
      <c r="G8731" s="70"/>
      <c r="H8731" s="400"/>
      <c r="I8731" s="239"/>
    </row>
    <row r="8732" spans="6:9" x14ac:dyDescent="0.35">
      <c r="F8732" s="33"/>
      <c r="G8732" s="70"/>
      <c r="H8732" s="400"/>
      <c r="I8732" s="239"/>
    </row>
    <row r="8733" spans="6:9" x14ac:dyDescent="0.35">
      <c r="F8733" s="33"/>
      <c r="G8733" s="70"/>
      <c r="H8733" s="400"/>
      <c r="I8733" s="239"/>
    </row>
    <row r="8734" spans="6:9" x14ac:dyDescent="0.35">
      <c r="F8734" s="33"/>
      <c r="G8734" s="70"/>
      <c r="H8734" s="400"/>
      <c r="I8734" s="239"/>
    </row>
    <row r="8735" spans="6:9" x14ac:dyDescent="0.35">
      <c r="F8735" s="33"/>
      <c r="G8735" s="70"/>
      <c r="H8735" s="400"/>
      <c r="I8735" s="239"/>
    </row>
    <row r="8736" spans="6:9" x14ac:dyDescent="0.35">
      <c r="F8736" s="33"/>
      <c r="G8736" s="70"/>
      <c r="H8736" s="400"/>
      <c r="I8736" s="239"/>
    </row>
    <row r="8737" spans="6:9" x14ac:dyDescent="0.35">
      <c r="F8737" s="33"/>
      <c r="G8737" s="70"/>
      <c r="H8737" s="400"/>
      <c r="I8737" s="239"/>
    </row>
    <row r="8738" spans="6:9" x14ac:dyDescent="0.35">
      <c r="F8738" s="33"/>
      <c r="G8738" s="70"/>
      <c r="H8738" s="400"/>
      <c r="I8738" s="239"/>
    </row>
    <row r="8739" spans="6:9" x14ac:dyDescent="0.35">
      <c r="F8739" s="33"/>
      <c r="G8739" s="70"/>
      <c r="H8739" s="400"/>
      <c r="I8739" s="239"/>
    </row>
    <row r="8740" spans="6:9" x14ac:dyDescent="0.35">
      <c r="F8740" s="33"/>
      <c r="G8740" s="70"/>
      <c r="H8740" s="400"/>
      <c r="I8740" s="239"/>
    </row>
    <row r="8741" spans="6:9" x14ac:dyDescent="0.35">
      <c r="F8741" s="33"/>
      <c r="G8741" s="70"/>
      <c r="H8741" s="400"/>
      <c r="I8741" s="239"/>
    </row>
    <row r="8742" spans="6:9" x14ac:dyDescent="0.35">
      <c r="F8742" s="33"/>
      <c r="G8742" s="70"/>
      <c r="H8742" s="400"/>
      <c r="I8742" s="239"/>
    </row>
    <row r="8743" spans="6:9" x14ac:dyDescent="0.35">
      <c r="F8743" s="33"/>
      <c r="G8743" s="70"/>
      <c r="H8743" s="400"/>
      <c r="I8743" s="239"/>
    </row>
    <row r="8744" spans="6:9" x14ac:dyDescent="0.35">
      <c r="F8744" s="33"/>
      <c r="G8744" s="70"/>
      <c r="H8744" s="400"/>
      <c r="I8744" s="239"/>
    </row>
    <row r="8745" spans="6:9" x14ac:dyDescent="0.35">
      <c r="F8745" s="33"/>
      <c r="G8745" s="70"/>
      <c r="H8745" s="400"/>
      <c r="I8745" s="239"/>
    </row>
    <row r="8746" spans="6:9" x14ac:dyDescent="0.35">
      <c r="F8746" s="33"/>
      <c r="G8746" s="70"/>
      <c r="H8746" s="400"/>
      <c r="I8746" s="239"/>
    </row>
    <row r="8747" spans="6:9" x14ac:dyDescent="0.35">
      <c r="F8747" s="33"/>
      <c r="G8747" s="70"/>
      <c r="H8747" s="400"/>
      <c r="I8747" s="239"/>
    </row>
    <row r="8748" spans="6:9" x14ac:dyDescent="0.35">
      <c r="F8748" s="33"/>
      <c r="G8748" s="70"/>
      <c r="H8748" s="400"/>
      <c r="I8748" s="239"/>
    </row>
    <row r="8749" spans="6:9" x14ac:dyDescent="0.35">
      <c r="F8749" s="33"/>
      <c r="G8749" s="70"/>
      <c r="H8749" s="400"/>
      <c r="I8749" s="239"/>
    </row>
    <row r="8750" spans="6:9" x14ac:dyDescent="0.35">
      <c r="F8750" s="33"/>
      <c r="G8750" s="70"/>
      <c r="H8750" s="400"/>
      <c r="I8750" s="239"/>
    </row>
    <row r="8751" spans="6:9" x14ac:dyDescent="0.35">
      <c r="F8751" s="33"/>
      <c r="G8751" s="70"/>
      <c r="H8751" s="400"/>
      <c r="I8751" s="239"/>
    </row>
    <row r="8752" spans="6:9" x14ac:dyDescent="0.35">
      <c r="F8752" s="33"/>
      <c r="G8752" s="70"/>
      <c r="H8752" s="400"/>
      <c r="I8752" s="239"/>
    </row>
    <row r="8753" spans="6:9" x14ac:dyDescent="0.35">
      <c r="F8753" s="33"/>
      <c r="G8753" s="70"/>
      <c r="H8753" s="400"/>
      <c r="I8753" s="239"/>
    </row>
    <row r="8754" spans="6:9" x14ac:dyDescent="0.35">
      <c r="F8754" s="33"/>
      <c r="G8754" s="70"/>
      <c r="H8754" s="400"/>
      <c r="I8754" s="239"/>
    </row>
    <row r="8755" spans="6:9" x14ac:dyDescent="0.35">
      <c r="F8755" s="33"/>
      <c r="G8755" s="70"/>
      <c r="H8755" s="400"/>
      <c r="I8755" s="239"/>
    </row>
    <row r="8756" spans="6:9" x14ac:dyDescent="0.35">
      <c r="F8756" s="33"/>
      <c r="G8756" s="70"/>
      <c r="H8756" s="400"/>
      <c r="I8756" s="239"/>
    </row>
    <row r="8757" spans="6:9" x14ac:dyDescent="0.35">
      <c r="F8757" s="33"/>
      <c r="G8757" s="70"/>
      <c r="H8757" s="400"/>
      <c r="I8757" s="239"/>
    </row>
    <row r="8758" spans="6:9" x14ac:dyDescent="0.35">
      <c r="F8758" s="33"/>
      <c r="G8758" s="70"/>
      <c r="H8758" s="400"/>
      <c r="I8758" s="239"/>
    </row>
    <row r="8759" spans="6:9" x14ac:dyDescent="0.35">
      <c r="F8759" s="33"/>
      <c r="G8759" s="70"/>
      <c r="H8759" s="400"/>
      <c r="I8759" s="239"/>
    </row>
    <row r="8760" spans="6:9" x14ac:dyDescent="0.35">
      <c r="F8760" s="33"/>
      <c r="G8760" s="70"/>
      <c r="H8760" s="400"/>
      <c r="I8760" s="239"/>
    </row>
    <row r="8761" spans="6:9" x14ac:dyDescent="0.35">
      <c r="F8761" s="33"/>
      <c r="G8761" s="70"/>
      <c r="H8761" s="400"/>
      <c r="I8761" s="239"/>
    </row>
    <row r="8762" spans="6:9" x14ac:dyDescent="0.35">
      <c r="F8762" s="33"/>
      <c r="G8762" s="70"/>
      <c r="H8762" s="400"/>
      <c r="I8762" s="239"/>
    </row>
    <row r="8763" spans="6:9" x14ac:dyDescent="0.35">
      <c r="F8763" s="33"/>
      <c r="G8763" s="70"/>
      <c r="H8763" s="400"/>
      <c r="I8763" s="239"/>
    </row>
    <row r="8764" spans="6:9" x14ac:dyDescent="0.35">
      <c r="F8764" s="33"/>
      <c r="G8764" s="70"/>
      <c r="H8764" s="400"/>
      <c r="I8764" s="239"/>
    </row>
    <row r="8765" spans="6:9" x14ac:dyDescent="0.35">
      <c r="F8765" s="33"/>
      <c r="G8765" s="70"/>
      <c r="H8765" s="400"/>
      <c r="I8765" s="239"/>
    </row>
    <row r="8766" spans="6:9" x14ac:dyDescent="0.35">
      <c r="F8766" s="33"/>
      <c r="G8766" s="70"/>
      <c r="H8766" s="400"/>
      <c r="I8766" s="239"/>
    </row>
    <row r="8767" spans="6:9" x14ac:dyDescent="0.35">
      <c r="F8767" s="33"/>
      <c r="G8767" s="70"/>
      <c r="H8767" s="400"/>
      <c r="I8767" s="239"/>
    </row>
    <row r="8768" spans="6:9" x14ac:dyDescent="0.35">
      <c r="F8768" s="33"/>
      <c r="G8768" s="70"/>
      <c r="H8768" s="400"/>
      <c r="I8768" s="239"/>
    </row>
    <row r="8769" spans="6:9" x14ac:dyDescent="0.35">
      <c r="F8769" s="33"/>
      <c r="G8769" s="70"/>
      <c r="H8769" s="400"/>
      <c r="I8769" s="239"/>
    </row>
    <row r="8770" spans="6:9" x14ac:dyDescent="0.35">
      <c r="F8770" s="33"/>
      <c r="G8770" s="70"/>
      <c r="H8770" s="400"/>
      <c r="I8770" s="239"/>
    </row>
    <row r="8771" spans="6:9" x14ac:dyDescent="0.35">
      <c r="F8771" s="33"/>
      <c r="G8771" s="70"/>
      <c r="H8771" s="400"/>
      <c r="I8771" s="239"/>
    </row>
    <row r="8772" spans="6:9" x14ac:dyDescent="0.35">
      <c r="F8772" s="33"/>
      <c r="G8772" s="70"/>
      <c r="H8772" s="400"/>
      <c r="I8772" s="239"/>
    </row>
    <row r="8773" spans="6:9" x14ac:dyDescent="0.35">
      <c r="F8773" s="33"/>
      <c r="G8773" s="70"/>
      <c r="H8773" s="400"/>
      <c r="I8773" s="239"/>
    </row>
    <row r="8774" spans="6:9" x14ac:dyDescent="0.35">
      <c r="F8774" s="33"/>
      <c r="G8774" s="70"/>
      <c r="H8774" s="400"/>
      <c r="I8774" s="239"/>
    </row>
    <row r="8775" spans="6:9" x14ac:dyDescent="0.35">
      <c r="F8775" s="33"/>
      <c r="G8775" s="70"/>
      <c r="H8775" s="400"/>
      <c r="I8775" s="239"/>
    </row>
    <row r="8776" spans="6:9" x14ac:dyDescent="0.35">
      <c r="F8776" s="33"/>
      <c r="G8776" s="70"/>
      <c r="H8776" s="400"/>
      <c r="I8776" s="239"/>
    </row>
    <row r="8777" spans="6:9" x14ac:dyDescent="0.35">
      <c r="F8777" s="33"/>
      <c r="G8777" s="70"/>
      <c r="H8777" s="400"/>
      <c r="I8777" s="239"/>
    </row>
    <row r="8778" spans="6:9" x14ac:dyDescent="0.35">
      <c r="F8778" s="33"/>
      <c r="G8778" s="70"/>
      <c r="H8778" s="400"/>
      <c r="I8778" s="239"/>
    </row>
    <row r="8779" spans="6:9" x14ac:dyDescent="0.35">
      <c r="F8779" s="33"/>
      <c r="G8779" s="70"/>
      <c r="H8779" s="400"/>
      <c r="I8779" s="239"/>
    </row>
    <row r="8780" spans="6:9" x14ac:dyDescent="0.35">
      <c r="F8780" s="33"/>
      <c r="G8780" s="70"/>
      <c r="H8780" s="400"/>
      <c r="I8780" s="239"/>
    </row>
    <row r="8781" spans="6:9" x14ac:dyDescent="0.35">
      <c r="F8781" s="33"/>
      <c r="G8781" s="70"/>
      <c r="H8781" s="400"/>
      <c r="I8781" s="239"/>
    </row>
    <row r="8782" spans="6:9" x14ac:dyDescent="0.35">
      <c r="F8782" s="33"/>
      <c r="G8782" s="70"/>
      <c r="H8782" s="400"/>
      <c r="I8782" s="239"/>
    </row>
    <row r="8783" spans="6:9" x14ac:dyDescent="0.35">
      <c r="F8783" s="33"/>
      <c r="G8783" s="70"/>
      <c r="H8783" s="400"/>
      <c r="I8783" s="239"/>
    </row>
    <row r="8784" spans="6:9" x14ac:dyDescent="0.35">
      <c r="F8784" s="33"/>
      <c r="G8784" s="70"/>
      <c r="H8784" s="400"/>
      <c r="I8784" s="239"/>
    </row>
    <row r="8785" spans="6:9" x14ac:dyDescent="0.35">
      <c r="F8785" s="33"/>
      <c r="G8785" s="70"/>
      <c r="H8785" s="400"/>
      <c r="I8785" s="239"/>
    </row>
    <row r="8786" spans="6:9" x14ac:dyDescent="0.35">
      <c r="F8786" s="33"/>
      <c r="G8786" s="70"/>
      <c r="H8786" s="400"/>
      <c r="I8786" s="239"/>
    </row>
    <row r="8787" spans="6:9" x14ac:dyDescent="0.35">
      <c r="F8787" s="33"/>
      <c r="G8787" s="70"/>
      <c r="H8787" s="400"/>
      <c r="I8787" s="239"/>
    </row>
    <row r="8788" spans="6:9" x14ac:dyDescent="0.35">
      <c r="F8788" s="33"/>
      <c r="G8788" s="70"/>
      <c r="H8788" s="400"/>
      <c r="I8788" s="239"/>
    </row>
    <row r="8789" spans="6:9" x14ac:dyDescent="0.35">
      <c r="F8789" s="33"/>
      <c r="G8789" s="70"/>
      <c r="H8789" s="400"/>
      <c r="I8789" s="239"/>
    </row>
    <row r="8790" spans="6:9" x14ac:dyDescent="0.35">
      <c r="F8790" s="33"/>
      <c r="G8790" s="70"/>
      <c r="H8790" s="400"/>
      <c r="I8790" s="239"/>
    </row>
    <row r="8791" spans="6:9" x14ac:dyDescent="0.35">
      <c r="F8791" s="33"/>
      <c r="G8791" s="70"/>
      <c r="H8791" s="400"/>
      <c r="I8791" s="239"/>
    </row>
    <row r="8792" spans="6:9" x14ac:dyDescent="0.35">
      <c r="F8792" s="33"/>
      <c r="G8792" s="70"/>
      <c r="H8792" s="400"/>
      <c r="I8792" s="239"/>
    </row>
    <row r="8793" spans="6:9" x14ac:dyDescent="0.35">
      <c r="F8793" s="33"/>
      <c r="G8793" s="70"/>
      <c r="H8793" s="400"/>
      <c r="I8793" s="239"/>
    </row>
    <row r="8794" spans="6:9" x14ac:dyDescent="0.35">
      <c r="F8794" s="33"/>
      <c r="G8794" s="70"/>
      <c r="H8794" s="400"/>
      <c r="I8794" s="239"/>
    </row>
    <row r="8795" spans="6:9" x14ac:dyDescent="0.35">
      <c r="F8795" s="33"/>
      <c r="G8795" s="70"/>
      <c r="H8795" s="400"/>
      <c r="I8795" s="239"/>
    </row>
    <row r="8796" spans="6:9" x14ac:dyDescent="0.35">
      <c r="F8796" s="33"/>
      <c r="G8796" s="70"/>
      <c r="H8796" s="400"/>
      <c r="I8796" s="239"/>
    </row>
    <row r="8797" spans="6:9" x14ac:dyDescent="0.35">
      <c r="F8797" s="33"/>
      <c r="G8797" s="70"/>
      <c r="H8797" s="400"/>
      <c r="I8797" s="239"/>
    </row>
    <row r="8798" spans="6:9" x14ac:dyDescent="0.35">
      <c r="F8798" s="33"/>
      <c r="G8798" s="70"/>
      <c r="H8798" s="400"/>
      <c r="I8798" s="239"/>
    </row>
    <row r="8799" spans="6:9" x14ac:dyDescent="0.35">
      <c r="F8799" s="33"/>
      <c r="G8799" s="70"/>
      <c r="H8799" s="400"/>
      <c r="I8799" s="239"/>
    </row>
    <row r="8800" spans="6:9" x14ac:dyDescent="0.35">
      <c r="F8800" s="33"/>
      <c r="G8800" s="70"/>
      <c r="H8800" s="400"/>
      <c r="I8800" s="239"/>
    </row>
    <row r="8801" spans="6:9" x14ac:dyDescent="0.35">
      <c r="F8801" s="33"/>
      <c r="G8801" s="70"/>
      <c r="H8801" s="400"/>
      <c r="I8801" s="239"/>
    </row>
    <row r="8802" spans="6:9" x14ac:dyDescent="0.35">
      <c r="F8802" s="33"/>
      <c r="G8802" s="70"/>
      <c r="H8802" s="400"/>
      <c r="I8802" s="239"/>
    </row>
    <row r="8803" spans="6:9" x14ac:dyDescent="0.35">
      <c r="F8803" s="33"/>
      <c r="G8803" s="70"/>
      <c r="H8803" s="400"/>
      <c r="I8803" s="239"/>
    </row>
    <row r="8804" spans="6:9" x14ac:dyDescent="0.35">
      <c r="F8804" s="33"/>
      <c r="G8804" s="70"/>
      <c r="H8804" s="400"/>
      <c r="I8804" s="239"/>
    </row>
    <row r="8805" spans="6:9" x14ac:dyDescent="0.35">
      <c r="F8805" s="33"/>
      <c r="G8805" s="70"/>
      <c r="H8805" s="400"/>
      <c r="I8805" s="239"/>
    </row>
    <row r="8806" spans="6:9" x14ac:dyDescent="0.35">
      <c r="F8806" s="33"/>
      <c r="G8806" s="70"/>
      <c r="H8806" s="400"/>
      <c r="I8806" s="239"/>
    </row>
    <row r="8807" spans="6:9" x14ac:dyDescent="0.35">
      <c r="F8807" s="33"/>
      <c r="G8807" s="70"/>
      <c r="H8807" s="400"/>
      <c r="I8807" s="239"/>
    </row>
    <row r="8808" spans="6:9" x14ac:dyDescent="0.35">
      <c r="F8808" s="33"/>
      <c r="G8808" s="70"/>
      <c r="H8808" s="400"/>
      <c r="I8808" s="239"/>
    </row>
    <row r="8809" spans="6:9" x14ac:dyDescent="0.35">
      <c r="F8809" s="33"/>
      <c r="G8809" s="70"/>
      <c r="H8809" s="400"/>
      <c r="I8809" s="239"/>
    </row>
    <row r="8810" spans="6:9" x14ac:dyDescent="0.35">
      <c r="F8810" s="33"/>
      <c r="G8810" s="70"/>
      <c r="H8810" s="400"/>
      <c r="I8810" s="239"/>
    </row>
    <row r="8811" spans="6:9" x14ac:dyDescent="0.35">
      <c r="F8811" s="33"/>
      <c r="G8811" s="70"/>
      <c r="H8811" s="400"/>
      <c r="I8811" s="239"/>
    </row>
    <row r="8812" spans="6:9" x14ac:dyDescent="0.35">
      <c r="F8812" s="33"/>
      <c r="G8812" s="70"/>
      <c r="H8812" s="400"/>
      <c r="I8812" s="239"/>
    </row>
    <row r="8813" spans="6:9" x14ac:dyDescent="0.35">
      <c r="F8813" s="33"/>
      <c r="G8813" s="70"/>
      <c r="H8813" s="400"/>
      <c r="I8813" s="239"/>
    </row>
    <row r="8814" spans="6:9" x14ac:dyDescent="0.35">
      <c r="F8814" s="33"/>
      <c r="G8814" s="70"/>
      <c r="H8814" s="400"/>
      <c r="I8814" s="239"/>
    </row>
    <row r="8815" spans="6:9" x14ac:dyDescent="0.35">
      <c r="F8815" s="33"/>
      <c r="G8815" s="70"/>
      <c r="H8815" s="400"/>
      <c r="I8815" s="239"/>
    </row>
    <row r="8816" spans="6:9" x14ac:dyDescent="0.35">
      <c r="F8816" s="33"/>
      <c r="G8816" s="70"/>
      <c r="H8816" s="400"/>
      <c r="I8816" s="239"/>
    </row>
    <row r="8817" spans="6:9" x14ac:dyDescent="0.35">
      <c r="F8817" s="33"/>
      <c r="G8817" s="70"/>
      <c r="H8817" s="400"/>
      <c r="I8817" s="239"/>
    </row>
    <row r="8818" spans="6:9" x14ac:dyDescent="0.35">
      <c r="F8818" s="33"/>
      <c r="G8818" s="70"/>
      <c r="H8818" s="400"/>
      <c r="I8818" s="239"/>
    </row>
    <row r="8819" spans="6:9" x14ac:dyDescent="0.35">
      <c r="F8819" s="33"/>
      <c r="G8819" s="70"/>
      <c r="H8819" s="400"/>
      <c r="I8819" s="239"/>
    </row>
    <row r="8820" spans="6:9" x14ac:dyDescent="0.35">
      <c r="F8820" s="33"/>
      <c r="G8820" s="70"/>
      <c r="H8820" s="400"/>
      <c r="I8820" s="239"/>
    </row>
    <row r="8821" spans="6:9" x14ac:dyDescent="0.35">
      <c r="F8821" s="33"/>
      <c r="G8821" s="70"/>
      <c r="H8821" s="400"/>
      <c r="I8821" s="239"/>
    </row>
    <row r="8822" spans="6:9" x14ac:dyDescent="0.35">
      <c r="F8822" s="33"/>
      <c r="G8822" s="70"/>
      <c r="H8822" s="400"/>
      <c r="I8822" s="239"/>
    </row>
    <row r="8823" spans="6:9" x14ac:dyDescent="0.35">
      <c r="F8823" s="33"/>
      <c r="G8823" s="70"/>
      <c r="H8823" s="400"/>
      <c r="I8823" s="239"/>
    </row>
    <row r="8824" spans="6:9" x14ac:dyDescent="0.35">
      <c r="F8824" s="33"/>
      <c r="G8824" s="70"/>
      <c r="H8824" s="400"/>
      <c r="I8824" s="239"/>
    </row>
    <row r="8825" spans="6:9" x14ac:dyDescent="0.35">
      <c r="F8825" s="33"/>
      <c r="G8825" s="70"/>
      <c r="H8825" s="400"/>
      <c r="I8825" s="239"/>
    </row>
    <row r="8826" spans="6:9" x14ac:dyDescent="0.35">
      <c r="F8826" s="33"/>
      <c r="G8826" s="70"/>
      <c r="H8826" s="400"/>
      <c r="I8826" s="239"/>
    </row>
    <row r="8827" spans="6:9" x14ac:dyDescent="0.35">
      <c r="F8827" s="33"/>
      <c r="G8827" s="70"/>
      <c r="H8827" s="400"/>
      <c r="I8827" s="239"/>
    </row>
    <row r="8828" spans="6:9" x14ac:dyDescent="0.35">
      <c r="F8828" s="33"/>
      <c r="G8828" s="70"/>
      <c r="H8828" s="400"/>
      <c r="I8828" s="239"/>
    </row>
    <row r="8829" spans="6:9" x14ac:dyDescent="0.35">
      <c r="F8829" s="33"/>
      <c r="G8829" s="70"/>
      <c r="H8829" s="400"/>
      <c r="I8829" s="239"/>
    </row>
    <row r="8830" spans="6:9" x14ac:dyDescent="0.35">
      <c r="F8830" s="33"/>
      <c r="G8830" s="70"/>
      <c r="H8830" s="400"/>
      <c r="I8830" s="239"/>
    </row>
    <row r="8831" spans="6:9" x14ac:dyDescent="0.35">
      <c r="F8831" s="33"/>
      <c r="G8831" s="70"/>
      <c r="H8831" s="400"/>
      <c r="I8831" s="239"/>
    </row>
    <row r="8832" spans="6:9" x14ac:dyDescent="0.35">
      <c r="F8832" s="33"/>
      <c r="G8832" s="70"/>
      <c r="H8832" s="400"/>
      <c r="I8832" s="239"/>
    </row>
    <row r="8833" spans="6:9" x14ac:dyDescent="0.35">
      <c r="F8833" s="33"/>
      <c r="G8833" s="70"/>
      <c r="H8833" s="400"/>
      <c r="I8833" s="239"/>
    </row>
    <row r="8834" spans="6:9" x14ac:dyDescent="0.35">
      <c r="F8834" s="33"/>
      <c r="G8834" s="70"/>
      <c r="H8834" s="400"/>
      <c r="I8834" s="239"/>
    </row>
    <row r="8835" spans="6:9" x14ac:dyDescent="0.35">
      <c r="F8835" s="33"/>
      <c r="G8835" s="70"/>
      <c r="H8835" s="400"/>
      <c r="I8835" s="239"/>
    </row>
    <row r="8836" spans="6:9" x14ac:dyDescent="0.35">
      <c r="F8836" s="33"/>
      <c r="G8836" s="70"/>
      <c r="H8836" s="400"/>
      <c r="I8836" s="239"/>
    </row>
    <row r="8837" spans="6:9" x14ac:dyDescent="0.35">
      <c r="F8837" s="33"/>
      <c r="G8837" s="70"/>
      <c r="H8837" s="400"/>
      <c r="I8837" s="239"/>
    </row>
    <row r="8838" spans="6:9" x14ac:dyDescent="0.35">
      <c r="F8838" s="33"/>
      <c r="G8838" s="70"/>
      <c r="H8838" s="400"/>
      <c r="I8838" s="239"/>
    </row>
    <row r="8839" spans="6:9" x14ac:dyDescent="0.35">
      <c r="F8839" s="33"/>
      <c r="G8839" s="70"/>
      <c r="H8839" s="400"/>
      <c r="I8839" s="239"/>
    </row>
    <row r="8840" spans="6:9" x14ac:dyDescent="0.35">
      <c r="F8840" s="33"/>
      <c r="G8840" s="70"/>
      <c r="H8840" s="400"/>
      <c r="I8840" s="239"/>
    </row>
    <row r="8841" spans="6:9" x14ac:dyDescent="0.35">
      <c r="F8841" s="33"/>
      <c r="G8841" s="70"/>
      <c r="H8841" s="400"/>
      <c r="I8841" s="239"/>
    </row>
    <row r="8842" spans="6:9" x14ac:dyDescent="0.35">
      <c r="F8842" s="33"/>
      <c r="G8842" s="70"/>
      <c r="H8842" s="400"/>
      <c r="I8842" s="239"/>
    </row>
    <row r="8843" spans="6:9" x14ac:dyDescent="0.35">
      <c r="F8843" s="33"/>
      <c r="G8843" s="70"/>
      <c r="H8843" s="400"/>
      <c r="I8843" s="239"/>
    </row>
    <row r="8844" spans="6:9" x14ac:dyDescent="0.35">
      <c r="F8844" s="33"/>
      <c r="G8844" s="70"/>
      <c r="H8844" s="400"/>
      <c r="I8844" s="239"/>
    </row>
    <row r="8845" spans="6:9" x14ac:dyDescent="0.35">
      <c r="F8845" s="33"/>
      <c r="G8845" s="70"/>
      <c r="H8845" s="400"/>
      <c r="I8845" s="239"/>
    </row>
    <row r="8846" spans="6:9" x14ac:dyDescent="0.35">
      <c r="F8846" s="33"/>
      <c r="G8846" s="70"/>
      <c r="H8846" s="400"/>
      <c r="I8846" s="239"/>
    </row>
    <row r="8847" spans="6:9" x14ac:dyDescent="0.35">
      <c r="F8847" s="33"/>
      <c r="G8847" s="70"/>
      <c r="H8847" s="400"/>
      <c r="I8847" s="239"/>
    </row>
    <row r="8848" spans="6:9" x14ac:dyDescent="0.35">
      <c r="F8848" s="33"/>
      <c r="G8848" s="70"/>
      <c r="H8848" s="400"/>
      <c r="I8848" s="239"/>
    </row>
    <row r="8849" spans="6:9" x14ac:dyDescent="0.35">
      <c r="F8849" s="33"/>
      <c r="G8849" s="70"/>
      <c r="H8849" s="400"/>
      <c r="I8849" s="239"/>
    </row>
    <row r="8850" spans="6:9" x14ac:dyDescent="0.35">
      <c r="F8850" s="33"/>
      <c r="G8850" s="70"/>
      <c r="H8850" s="400"/>
      <c r="I8850" s="239"/>
    </row>
    <row r="8851" spans="6:9" x14ac:dyDescent="0.35">
      <c r="F8851" s="33"/>
      <c r="G8851" s="70"/>
      <c r="H8851" s="400"/>
      <c r="I8851" s="239"/>
    </row>
    <row r="8852" spans="6:9" x14ac:dyDescent="0.35">
      <c r="F8852" s="33"/>
      <c r="G8852" s="70"/>
      <c r="H8852" s="400"/>
      <c r="I8852" s="239"/>
    </row>
    <row r="8853" spans="6:9" x14ac:dyDescent="0.35">
      <c r="F8853" s="33"/>
      <c r="G8853" s="70"/>
      <c r="H8853" s="400"/>
      <c r="I8853" s="239"/>
    </row>
    <row r="8854" spans="6:9" x14ac:dyDescent="0.35">
      <c r="F8854" s="33"/>
      <c r="G8854" s="70"/>
      <c r="H8854" s="400"/>
      <c r="I8854" s="239"/>
    </row>
    <row r="8855" spans="6:9" x14ac:dyDescent="0.35">
      <c r="F8855" s="33"/>
      <c r="G8855" s="70"/>
      <c r="H8855" s="400"/>
      <c r="I8855" s="239"/>
    </row>
    <row r="8856" spans="6:9" x14ac:dyDescent="0.35">
      <c r="F8856" s="33"/>
      <c r="G8856" s="70"/>
      <c r="H8856" s="400"/>
      <c r="I8856" s="239"/>
    </row>
    <row r="8857" spans="6:9" x14ac:dyDescent="0.35">
      <c r="F8857" s="33"/>
      <c r="G8857" s="70"/>
      <c r="H8857" s="400"/>
      <c r="I8857" s="239"/>
    </row>
    <row r="8858" spans="6:9" x14ac:dyDescent="0.35">
      <c r="F8858" s="33"/>
      <c r="G8858" s="70"/>
      <c r="H8858" s="400"/>
      <c r="I8858" s="239"/>
    </row>
    <row r="8859" spans="6:9" x14ac:dyDescent="0.35">
      <c r="F8859" s="33"/>
      <c r="G8859" s="70"/>
      <c r="H8859" s="400"/>
      <c r="I8859" s="239"/>
    </row>
    <row r="8860" spans="6:9" x14ac:dyDescent="0.35">
      <c r="F8860" s="33"/>
      <c r="G8860" s="70"/>
      <c r="H8860" s="400"/>
      <c r="I8860" s="239"/>
    </row>
    <row r="8861" spans="6:9" x14ac:dyDescent="0.35">
      <c r="F8861" s="33"/>
      <c r="G8861" s="70"/>
      <c r="H8861" s="400"/>
      <c r="I8861" s="239"/>
    </row>
    <row r="8862" spans="6:9" x14ac:dyDescent="0.35">
      <c r="F8862" s="33"/>
      <c r="G8862" s="70"/>
      <c r="H8862" s="400"/>
      <c r="I8862" s="239"/>
    </row>
    <row r="8863" spans="6:9" x14ac:dyDescent="0.35">
      <c r="F8863" s="33"/>
      <c r="G8863" s="70"/>
      <c r="H8863" s="400"/>
      <c r="I8863" s="239"/>
    </row>
    <row r="8864" spans="6:9" x14ac:dyDescent="0.35">
      <c r="F8864" s="33"/>
      <c r="G8864" s="70"/>
      <c r="H8864" s="400"/>
      <c r="I8864" s="239"/>
    </row>
    <row r="8865" spans="6:9" x14ac:dyDescent="0.35">
      <c r="F8865" s="33"/>
      <c r="G8865" s="70"/>
      <c r="H8865" s="400"/>
      <c r="I8865" s="239"/>
    </row>
    <row r="8866" spans="6:9" x14ac:dyDescent="0.35">
      <c r="F8866" s="33"/>
      <c r="G8866" s="70"/>
      <c r="H8866" s="400"/>
      <c r="I8866" s="239"/>
    </row>
    <row r="8867" spans="6:9" x14ac:dyDescent="0.35">
      <c r="F8867" s="33"/>
      <c r="G8867" s="70"/>
      <c r="H8867" s="400"/>
      <c r="I8867" s="239"/>
    </row>
    <row r="8868" spans="6:9" x14ac:dyDescent="0.35">
      <c r="F8868" s="33"/>
      <c r="G8868" s="70"/>
      <c r="H8868" s="400"/>
      <c r="I8868" s="239"/>
    </row>
    <row r="8869" spans="6:9" x14ac:dyDescent="0.35">
      <c r="F8869" s="33"/>
      <c r="G8869" s="70"/>
      <c r="H8869" s="400"/>
      <c r="I8869" s="239"/>
    </row>
    <row r="8870" spans="6:9" x14ac:dyDescent="0.35">
      <c r="F8870" s="33"/>
      <c r="G8870" s="70"/>
      <c r="H8870" s="400"/>
      <c r="I8870" s="239"/>
    </row>
    <row r="8871" spans="6:9" x14ac:dyDescent="0.35">
      <c r="F8871" s="33"/>
      <c r="G8871" s="70"/>
      <c r="H8871" s="400"/>
      <c r="I8871" s="239"/>
    </row>
    <row r="8872" spans="6:9" x14ac:dyDescent="0.35">
      <c r="F8872" s="33"/>
      <c r="G8872" s="70"/>
      <c r="H8872" s="400"/>
      <c r="I8872" s="239"/>
    </row>
    <row r="8873" spans="6:9" x14ac:dyDescent="0.35">
      <c r="F8873" s="33"/>
      <c r="G8873" s="70"/>
      <c r="H8873" s="400"/>
      <c r="I8873" s="239"/>
    </row>
    <row r="8874" spans="6:9" x14ac:dyDescent="0.35">
      <c r="F8874" s="33"/>
      <c r="G8874" s="70"/>
      <c r="H8874" s="400"/>
      <c r="I8874" s="239"/>
    </row>
    <row r="8875" spans="6:9" x14ac:dyDescent="0.35">
      <c r="F8875" s="33"/>
      <c r="G8875" s="70"/>
      <c r="H8875" s="400"/>
      <c r="I8875" s="239"/>
    </row>
    <row r="8876" spans="6:9" x14ac:dyDescent="0.35">
      <c r="F8876" s="33"/>
      <c r="G8876" s="70"/>
      <c r="H8876" s="400"/>
      <c r="I8876" s="239"/>
    </row>
    <row r="8877" spans="6:9" x14ac:dyDescent="0.35">
      <c r="F8877" s="33"/>
      <c r="G8877" s="70"/>
      <c r="H8877" s="400"/>
      <c r="I8877" s="239"/>
    </row>
    <row r="8878" spans="6:9" x14ac:dyDescent="0.35">
      <c r="F8878" s="33"/>
      <c r="G8878" s="70"/>
      <c r="H8878" s="400"/>
      <c r="I8878" s="239"/>
    </row>
    <row r="8879" spans="6:9" x14ac:dyDescent="0.35">
      <c r="F8879" s="33"/>
      <c r="G8879" s="70"/>
      <c r="H8879" s="400"/>
      <c r="I8879" s="239"/>
    </row>
    <row r="8880" spans="6:9" x14ac:dyDescent="0.35">
      <c r="F8880" s="33"/>
      <c r="G8880" s="70"/>
      <c r="H8880" s="400"/>
      <c r="I8880" s="239"/>
    </row>
    <row r="8881" spans="6:9" x14ac:dyDescent="0.35">
      <c r="F8881" s="33"/>
      <c r="G8881" s="70"/>
      <c r="H8881" s="400"/>
      <c r="I8881" s="239"/>
    </row>
    <row r="8882" spans="6:9" x14ac:dyDescent="0.35">
      <c r="F8882" s="33"/>
      <c r="G8882" s="70"/>
      <c r="H8882" s="400"/>
      <c r="I8882" s="239"/>
    </row>
    <row r="8883" spans="6:9" x14ac:dyDescent="0.35">
      <c r="F8883" s="33"/>
      <c r="G8883" s="70"/>
      <c r="H8883" s="400"/>
      <c r="I8883" s="239"/>
    </row>
    <row r="8884" spans="6:9" x14ac:dyDescent="0.35">
      <c r="F8884" s="33"/>
      <c r="G8884" s="70"/>
      <c r="H8884" s="400"/>
      <c r="I8884" s="239"/>
    </row>
    <row r="8885" spans="6:9" x14ac:dyDescent="0.35">
      <c r="F8885" s="33"/>
      <c r="G8885" s="70"/>
      <c r="H8885" s="400"/>
      <c r="I8885" s="239"/>
    </row>
    <row r="8886" spans="6:9" x14ac:dyDescent="0.35">
      <c r="F8886" s="33"/>
      <c r="G8886" s="70"/>
      <c r="H8886" s="400"/>
      <c r="I8886" s="239"/>
    </row>
    <row r="8887" spans="6:9" x14ac:dyDescent="0.35">
      <c r="F8887" s="33"/>
      <c r="G8887" s="70"/>
      <c r="H8887" s="400"/>
      <c r="I8887" s="239"/>
    </row>
    <row r="8888" spans="6:9" x14ac:dyDescent="0.35">
      <c r="F8888" s="33"/>
      <c r="G8888" s="70"/>
      <c r="H8888" s="400"/>
      <c r="I8888" s="239"/>
    </row>
    <row r="8889" spans="6:9" x14ac:dyDescent="0.35">
      <c r="F8889" s="33"/>
      <c r="G8889" s="70"/>
      <c r="H8889" s="400"/>
      <c r="I8889" s="239"/>
    </row>
    <row r="8890" spans="6:9" x14ac:dyDescent="0.35">
      <c r="F8890" s="33"/>
      <c r="G8890" s="70"/>
      <c r="H8890" s="400"/>
      <c r="I8890" s="239"/>
    </row>
    <row r="8891" spans="6:9" x14ac:dyDescent="0.35">
      <c r="F8891" s="33"/>
      <c r="G8891" s="70"/>
      <c r="H8891" s="400"/>
      <c r="I8891" s="239"/>
    </row>
    <row r="8892" spans="6:9" x14ac:dyDescent="0.35">
      <c r="F8892" s="33"/>
      <c r="G8892" s="70"/>
      <c r="H8892" s="400"/>
      <c r="I8892" s="239"/>
    </row>
    <row r="8893" spans="6:9" x14ac:dyDescent="0.35">
      <c r="F8893" s="33"/>
      <c r="G8893" s="70"/>
      <c r="H8893" s="400"/>
      <c r="I8893" s="239"/>
    </row>
    <row r="8894" spans="6:9" x14ac:dyDescent="0.35">
      <c r="F8894" s="33"/>
      <c r="G8894" s="70"/>
      <c r="H8894" s="400"/>
      <c r="I8894" s="239"/>
    </row>
    <row r="8895" spans="6:9" x14ac:dyDescent="0.35">
      <c r="F8895" s="33"/>
      <c r="G8895" s="70"/>
      <c r="H8895" s="400"/>
      <c r="I8895" s="239"/>
    </row>
    <row r="8896" spans="6:9" x14ac:dyDescent="0.35">
      <c r="F8896" s="33"/>
      <c r="G8896" s="70"/>
      <c r="H8896" s="400"/>
      <c r="I8896" s="239"/>
    </row>
    <row r="8897" spans="6:9" x14ac:dyDescent="0.35">
      <c r="F8897" s="33"/>
      <c r="G8897" s="70"/>
      <c r="H8897" s="400"/>
      <c r="I8897" s="239"/>
    </row>
    <row r="8898" spans="6:9" x14ac:dyDescent="0.35">
      <c r="F8898" s="33"/>
      <c r="G8898" s="70"/>
      <c r="H8898" s="400"/>
      <c r="I8898" s="239"/>
    </row>
    <row r="8899" spans="6:9" x14ac:dyDescent="0.35">
      <c r="F8899" s="33"/>
      <c r="G8899" s="70"/>
      <c r="H8899" s="400"/>
      <c r="I8899" s="239"/>
    </row>
    <row r="8900" spans="6:9" x14ac:dyDescent="0.35">
      <c r="F8900" s="33"/>
      <c r="G8900" s="70"/>
      <c r="H8900" s="400"/>
      <c r="I8900" s="239"/>
    </row>
    <row r="8901" spans="6:9" x14ac:dyDescent="0.35">
      <c r="F8901" s="33"/>
      <c r="G8901" s="70"/>
      <c r="H8901" s="400"/>
      <c r="I8901" s="239"/>
    </row>
    <row r="8902" spans="6:9" x14ac:dyDescent="0.35">
      <c r="F8902" s="33"/>
      <c r="G8902" s="70"/>
      <c r="H8902" s="400"/>
      <c r="I8902" s="239"/>
    </row>
    <row r="8903" spans="6:9" x14ac:dyDescent="0.35">
      <c r="F8903" s="33"/>
      <c r="G8903" s="70"/>
      <c r="H8903" s="400"/>
      <c r="I8903" s="239"/>
    </row>
    <row r="8904" spans="6:9" x14ac:dyDescent="0.35">
      <c r="F8904" s="33"/>
      <c r="G8904" s="70"/>
      <c r="H8904" s="400"/>
      <c r="I8904" s="239"/>
    </row>
    <row r="8905" spans="6:9" x14ac:dyDescent="0.35">
      <c r="F8905" s="33"/>
      <c r="G8905" s="70"/>
      <c r="H8905" s="400"/>
      <c r="I8905" s="239"/>
    </row>
    <row r="8906" spans="6:9" x14ac:dyDescent="0.35">
      <c r="F8906" s="33"/>
      <c r="G8906" s="70"/>
      <c r="H8906" s="400"/>
      <c r="I8906" s="239"/>
    </row>
    <row r="8907" spans="6:9" x14ac:dyDescent="0.35">
      <c r="F8907" s="33"/>
      <c r="G8907" s="70"/>
      <c r="H8907" s="400"/>
      <c r="I8907" s="239"/>
    </row>
    <row r="8908" spans="6:9" x14ac:dyDescent="0.35">
      <c r="F8908" s="33"/>
      <c r="G8908" s="70"/>
      <c r="H8908" s="400"/>
      <c r="I8908" s="239"/>
    </row>
    <row r="8909" spans="6:9" x14ac:dyDescent="0.35">
      <c r="F8909" s="33"/>
      <c r="G8909" s="70"/>
      <c r="H8909" s="400"/>
      <c r="I8909" s="239"/>
    </row>
    <row r="8910" spans="6:9" x14ac:dyDescent="0.35">
      <c r="F8910" s="33"/>
      <c r="G8910" s="70"/>
      <c r="H8910" s="400"/>
      <c r="I8910" s="239"/>
    </row>
    <row r="8911" spans="6:9" x14ac:dyDescent="0.35">
      <c r="F8911" s="33"/>
      <c r="G8911" s="70"/>
      <c r="H8911" s="400"/>
      <c r="I8911" s="239"/>
    </row>
    <row r="8912" spans="6:9" x14ac:dyDescent="0.35">
      <c r="F8912" s="33"/>
      <c r="G8912" s="70"/>
      <c r="H8912" s="400"/>
      <c r="I8912" s="239"/>
    </row>
    <row r="8913" spans="6:9" x14ac:dyDescent="0.35">
      <c r="F8913" s="33"/>
      <c r="G8913" s="70"/>
      <c r="H8913" s="400"/>
      <c r="I8913" s="239"/>
    </row>
    <row r="8914" spans="6:9" x14ac:dyDescent="0.35">
      <c r="F8914" s="33"/>
      <c r="G8914" s="70"/>
      <c r="H8914" s="400"/>
      <c r="I8914" s="239"/>
    </row>
    <row r="8915" spans="6:9" x14ac:dyDescent="0.35">
      <c r="F8915" s="33"/>
      <c r="G8915" s="70"/>
      <c r="H8915" s="400"/>
      <c r="I8915" s="239"/>
    </row>
    <row r="8916" spans="6:9" x14ac:dyDescent="0.35">
      <c r="F8916" s="33"/>
      <c r="G8916" s="70"/>
      <c r="H8916" s="400"/>
      <c r="I8916" s="239"/>
    </row>
    <row r="8917" spans="6:9" x14ac:dyDescent="0.35">
      <c r="F8917" s="33"/>
      <c r="G8917" s="70"/>
      <c r="H8917" s="400"/>
      <c r="I8917" s="239"/>
    </row>
    <row r="8918" spans="6:9" x14ac:dyDescent="0.35">
      <c r="F8918" s="33"/>
      <c r="G8918" s="70"/>
      <c r="H8918" s="400"/>
      <c r="I8918" s="239"/>
    </row>
    <row r="8919" spans="6:9" x14ac:dyDescent="0.35">
      <c r="F8919" s="33"/>
      <c r="G8919" s="70"/>
      <c r="H8919" s="400"/>
      <c r="I8919" s="239"/>
    </row>
    <row r="8920" spans="6:9" x14ac:dyDescent="0.35">
      <c r="F8920" s="33"/>
      <c r="G8920" s="70"/>
      <c r="H8920" s="400"/>
      <c r="I8920" s="239"/>
    </row>
    <row r="8921" spans="6:9" x14ac:dyDescent="0.35">
      <c r="F8921" s="33"/>
      <c r="G8921" s="70"/>
      <c r="H8921" s="400"/>
      <c r="I8921" s="239"/>
    </row>
    <row r="8922" spans="6:9" x14ac:dyDescent="0.35">
      <c r="F8922" s="33"/>
      <c r="G8922" s="70"/>
      <c r="H8922" s="400"/>
      <c r="I8922" s="239"/>
    </row>
    <row r="8923" spans="6:9" x14ac:dyDescent="0.35">
      <c r="F8923" s="33"/>
      <c r="G8923" s="70"/>
      <c r="H8923" s="400"/>
      <c r="I8923" s="239"/>
    </row>
    <row r="8924" spans="6:9" x14ac:dyDescent="0.35">
      <c r="F8924" s="33"/>
      <c r="G8924" s="70"/>
      <c r="H8924" s="400"/>
      <c r="I8924" s="239"/>
    </row>
    <row r="8925" spans="6:9" x14ac:dyDescent="0.35">
      <c r="F8925" s="33"/>
      <c r="G8925" s="70"/>
      <c r="H8925" s="400"/>
      <c r="I8925" s="239"/>
    </row>
    <row r="8926" spans="6:9" x14ac:dyDescent="0.35">
      <c r="F8926" s="33"/>
      <c r="G8926" s="70"/>
      <c r="H8926" s="400"/>
      <c r="I8926" s="239"/>
    </row>
    <row r="8927" spans="6:9" x14ac:dyDescent="0.35">
      <c r="F8927" s="33"/>
      <c r="G8927" s="70"/>
      <c r="H8927" s="400"/>
      <c r="I8927" s="239"/>
    </row>
    <row r="8928" spans="6:9" x14ac:dyDescent="0.35">
      <c r="F8928" s="33"/>
      <c r="G8928" s="70"/>
      <c r="H8928" s="400"/>
      <c r="I8928" s="239"/>
    </row>
    <row r="8929" spans="6:9" x14ac:dyDescent="0.35">
      <c r="F8929" s="33"/>
      <c r="G8929" s="70"/>
      <c r="H8929" s="400"/>
      <c r="I8929" s="239"/>
    </row>
    <row r="8930" spans="6:9" x14ac:dyDescent="0.35">
      <c r="F8930" s="33"/>
      <c r="G8930" s="70"/>
      <c r="H8930" s="400"/>
      <c r="I8930" s="239"/>
    </row>
    <row r="8931" spans="6:9" x14ac:dyDescent="0.35">
      <c r="F8931" s="33"/>
      <c r="G8931" s="70"/>
      <c r="H8931" s="400"/>
      <c r="I8931" s="239"/>
    </row>
    <row r="8932" spans="6:9" x14ac:dyDescent="0.35">
      <c r="F8932" s="33"/>
      <c r="G8932" s="70"/>
      <c r="H8932" s="400"/>
      <c r="I8932" s="239"/>
    </row>
    <row r="8933" spans="6:9" x14ac:dyDescent="0.35">
      <c r="F8933" s="33"/>
      <c r="G8933" s="70"/>
      <c r="H8933" s="400"/>
      <c r="I8933" s="239"/>
    </row>
    <row r="8934" spans="6:9" x14ac:dyDescent="0.35">
      <c r="F8934" s="33"/>
      <c r="G8934" s="70"/>
      <c r="H8934" s="400"/>
      <c r="I8934" s="239"/>
    </row>
    <row r="8935" spans="6:9" x14ac:dyDescent="0.35">
      <c r="F8935" s="33"/>
      <c r="G8935" s="70"/>
      <c r="H8935" s="400"/>
      <c r="I8935" s="239"/>
    </row>
    <row r="8936" spans="6:9" x14ac:dyDescent="0.35">
      <c r="F8936" s="33"/>
      <c r="G8936" s="70"/>
      <c r="H8936" s="400"/>
      <c r="I8936" s="239"/>
    </row>
    <row r="8937" spans="6:9" x14ac:dyDescent="0.35">
      <c r="F8937" s="33"/>
      <c r="G8937" s="70"/>
      <c r="H8937" s="400"/>
      <c r="I8937" s="239"/>
    </row>
    <row r="8938" spans="6:9" x14ac:dyDescent="0.35">
      <c r="F8938" s="33"/>
      <c r="G8938" s="70"/>
      <c r="H8938" s="400"/>
      <c r="I8938" s="239"/>
    </row>
    <row r="8939" spans="6:9" x14ac:dyDescent="0.35">
      <c r="F8939" s="33"/>
      <c r="G8939" s="70"/>
      <c r="H8939" s="400"/>
      <c r="I8939" s="239"/>
    </row>
    <row r="8940" spans="6:9" x14ac:dyDescent="0.35">
      <c r="F8940" s="33"/>
      <c r="G8940" s="70"/>
      <c r="H8940" s="400"/>
      <c r="I8940" s="239"/>
    </row>
    <row r="8941" spans="6:9" x14ac:dyDescent="0.35">
      <c r="F8941" s="33"/>
      <c r="G8941" s="70"/>
      <c r="H8941" s="400"/>
      <c r="I8941" s="239"/>
    </row>
    <row r="8942" spans="6:9" x14ac:dyDescent="0.35">
      <c r="F8942" s="33"/>
      <c r="G8942" s="70"/>
      <c r="H8942" s="400"/>
      <c r="I8942" s="239"/>
    </row>
    <row r="8943" spans="6:9" x14ac:dyDescent="0.35">
      <c r="F8943" s="33"/>
      <c r="G8943" s="70"/>
      <c r="H8943" s="400"/>
      <c r="I8943" s="239"/>
    </row>
    <row r="8944" spans="6:9" x14ac:dyDescent="0.35">
      <c r="F8944" s="33"/>
      <c r="G8944" s="70"/>
      <c r="H8944" s="400"/>
      <c r="I8944" s="239"/>
    </row>
    <row r="8945" spans="6:9" x14ac:dyDescent="0.35">
      <c r="F8945" s="33"/>
      <c r="G8945" s="70"/>
      <c r="H8945" s="400"/>
      <c r="I8945" s="239"/>
    </row>
    <row r="8946" spans="6:9" x14ac:dyDescent="0.35">
      <c r="F8946" s="33"/>
      <c r="G8946" s="70"/>
      <c r="H8946" s="400"/>
      <c r="I8946" s="239"/>
    </row>
    <row r="8947" spans="6:9" x14ac:dyDescent="0.35">
      <c r="F8947" s="33"/>
      <c r="G8947" s="70"/>
      <c r="H8947" s="400"/>
      <c r="I8947" s="239"/>
    </row>
    <row r="8948" spans="6:9" x14ac:dyDescent="0.35">
      <c r="F8948" s="33"/>
      <c r="G8948" s="70"/>
      <c r="H8948" s="400"/>
      <c r="I8948" s="239"/>
    </row>
    <row r="8949" spans="6:9" x14ac:dyDescent="0.35">
      <c r="F8949" s="33"/>
      <c r="G8949" s="70"/>
      <c r="H8949" s="400"/>
      <c r="I8949" s="239"/>
    </row>
    <row r="8950" spans="6:9" x14ac:dyDescent="0.35">
      <c r="F8950" s="33"/>
      <c r="G8950" s="70"/>
      <c r="H8950" s="400"/>
      <c r="I8950" s="239"/>
    </row>
    <row r="8951" spans="6:9" x14ac:dyDescent="0.35">
      <c r="F8951" s="33"/>
      <c r="G8951" s="70"/>
      <c r="H8951" s="400"/>
      <c r="I8951" s="239"/>
    </row>
    <row r="8952" spans="6:9" x14ac:dyDescent="0.35">
      <c r="F8952" s="33"/>
      <c r="G8952" s="70"/>
      <c r="H8952" s="400"/>
      <c r="I8952" s="239"/>
    </row>
    <row r="8953" spans="6:9" x14ac:dyDescent="0.35">
      <c r="F8953" s="33"/>
      <c r="G8953" s="70"/>
      <c r="H8953" s="400"/>
      <c r="I8953" s="239"/>
    </row>
    <row r="8954" spans="6:9" x14ac:dyDescent="0.35">
      <c r="F8954" s="33"/>
      <c r="G8954" s="70"/>
      <c r="H8954" s="400"/>
      <c r="I8954" s="239"/>
    </row>
    <row r="8955" spans="6:9" x14ac:dyDescent="0.35">
      <c r="F8955" s="33"/>
      <c r="G8955" s="70"/>
      <c r="H8955" s="400"/>
      <c r="I8955" s="239"/>
    </row>
    <row r="8956" spans="6:9" x14ac:dyDescent="0.35">
      <c r="F8956" s="33"/>
      <c r="G8956" s="70"/>
      <c r="H8956" s="400"/>
      <c r="I8956" s="239"/>
    </row>
    <row r="8957" spans="6:9" x14ac:dyDescent="0.35">
      <c r="F8957" s="33"/>
      <c r="G8957" s="70"/>
      <c r="H8957" s="400"/>
      <c r="I8957" s="239"/>
    </row>
    <row r="8958" spans="6:9" x14ac:dyDescent="0.35">
      <c r="F8958" s="33"/>
      <c r="G8958" s="70"/>
      <c r="H8958" s="400"/>
      <c r="I8958" s="239"/>
    </row>
    <row r="8959" spans="6:9" x14ac:dyDescent="0.35">
      <c r="F8959" s="33"/>
      <c r="G8959" s="70"/>
      <c r="H8959" s="400"/>
      <c r="I8959" s="239"/>
    </row>
    <row r="8960" spans="6:9" x14ac:dyDescent="0.35">
      <c r="F8960" s="33"/>
      <c r="G8960" s="70"/>
      <c r="H8960" s="400"/>
      <c r="I8960" s="239"/>
    </row>
    <row r="8961" spans="6:9" x14ac:dyDescent="0.35">
      <c r="F8961" s="33"/>
      <c r="G8961" s="70"/>
      <c r="H8961" s="400"/>
      <c r="I8961" s="239"/>
    </row>
    <row r="8962" spans="6:9" x14ac:dyDescent="0.35">
      <c r="F8962" s="33"/>
      <c r="G8962" s="70"/>
      <c r="H8962" s="400"/>
      <c r="I8962" s="239"/>
    </row>
    <row r="8963" spans="6:9" x14ac:dyDescent="0.35">
      <c r="F8963" s="33"/>
      <c r="G8963" s="70"/>
      <c r="H8963" s="400"/>
      <c r="I8963" s="239"/>
    </row>
    <row r="8964" spans="6:9" x14ac:dyDescent="0.35">
      <c r="F8964" s="33"/>
      <c r="G8964" s="70"/>
      <c r="H8964" s="400"/>
      <c r="I8964" s="239"/>
    </row>
    <row r="8965" spans="6:9" x14ac:dyDescent="0.35">
      <c r="F8965" s="33"/>
      <c r="G8965" s="70"/>
      <c r="H8965" s="400"/>
      <c r="I8965" s="239"/>
    </row>
    <row r="8966" spans="6:9" x14ac:dyDescent="0.35">
      <c r="F8966" s="33"/>
      <c r="G8966" s="70"/>
      <c r="H8966" s="400"/>
      <c r="I8966" s="239"/>
    </row>
    <row r="8967" spans="6:9" x14ac:dyDescent="0.35">
      <c r="F8967" s="33"/>
      <c r="G8967" s="70"/>
      <c r="H8967" s="400"/>
      <c r="I8967" s="239"/>
    </row>
    <row r="8968" spans="6:9" x14ac:dyDescent="0.35">
      <c r="F8968" s="33"/>
      <c r="G8968" s="70"/>
      <c r="H8968" s="400"/>
      <c r="I8968" s="239"/>
    </row>
    <row r="8969" spans="6:9" x14ac:dyDescent="0.35">
      <c r="F8969" s="33"/>
      <c r="G8969" s="70"/>
      <c r="H8969" s="400"/>
      <c r="I8969" s="239"/>
    </row>
    <row r="8970" spans="6:9" x14ac:dyDescent="0.35">
      <c r="F8970" s="33"/>
      <c r="G8970" s="70"/>
      <c r="H8970" s="400"/>
      <c r="I8970" s="239"/>
    </row>
    <row r="8971" spans="6:9" x14ac:dyDescent="0.35">
      <c r="F8971" s="33"/>
      <c r="G8971" s="70"/>
      <c r="H8971" s="400"/>
      <c r="I8971" s="239"/>
    </row>
    <row r="8972" spans="6:9" x14ac:dyDescent="0.35">
      <c r="F8972" s="33"/>
      <c r="G8972" s="70"/>
      <c r="H8972" s="400"/>
      <c r="I8972" s="239"/>
    </row>
    <row r="8973" spans="6:9" x14ac:dyDescent="0.35">
      <c r="F8973" s="33"/>
      <c r="G8973" s="70"/>
      <c r="H8973" s="400"/>
      <c r="I8973" s="239"/>
    </row>
    <row r="8974" spans="6:9" x14ac:dyDescent="0.35">
      <c r="F8974" s="33"/>
      <c r="G8974" s="70"/>
      <c r="H8974" s="400"/>
      <c r="I8974" s="239"/>
    </row>
    <row r="8975" spans="6:9" x14ac:dyDescent="0.35">
      <c r="F8975" s="33"/>
      <c r="G8975" s="70"/>
      <c r="H8975" s="400"/>
      <c r="I8975" s="239"/>
    </row>
    <row r="8976" spans="6:9" x14ac:dyDescent="0.35">
      <c r="F8976" s="33"/>
      <c r="G8976" s="70"/>
      <c r="H8976" s="400"/>
      <c r="I8976" s="239"/>
    </row>
    <row r="8977" spans="6:9" x14ac:dyDescent="0.35">
      <c r="F8977" s="33"/>
      <c r="G8977" s="70"/>
      <c r="H8977" s="400"/>
      <c r="I8977" s="239"/>
    </row>
    <row r="8978" spans="6:9" x14ac:dyDescent="0.35">
      <c r="F8978" s="33"/>
      <c r="G8978" s="70"/>
      <c r="H8978" s="400"/>
      <c r="I8978" s="239"/>
    </row>
    <row r="8979" spans="6:9" x14ac:dyDescent="0.35">
      <c r="F8979" s="33"/>
      <c r="G8979" s="70"/>
      <c r="H8979" s="400"/>
      <c r="I8979" s="239"/>
    </row>
    <row r="8980" spans="6:9" x14ac:dyDescent="0.35">
      <c r="F8980" s="33"/>
      <c r="G8980" s="70"/>
      <c r="H8980" s="400"/>
      <c r="I8980" s="239"/>
    </row>
    <row r="8981" spans="6:9" x14ac:dyDescent="0.35">
      <c r="F8981" s="33"/>
      <c r="G8981" s="70"/>
      <c r="H8981" s="400"/>
      <c r="I8981" s="239"/>
    </row>
    <row r="8982" spans="6:9" x14ac:dyDescent="0.35">
      <c r="F8982" s="33"/>
      <c r="G8982" s="70"/>
      <c r="H8982" s="400"/>
      <c r="I8982" s="239"/>
    </row>
    <row r="8983" spans="6:9" x14ac:dyDescent="0.35">
      <c r="F8983" s="33"/>
      <c r="G8983" s="70"/>
      <c r="H8983" s="400"/>
      <c r="I8983" s="239"/>
    </row>
    <row r="8984" spans="6:9" x14ac:dyDescent="0.35">
      <c r="F8984" s="33"/>
      <c r="G8984" s="70"/>
      <c r="H8984" s="400"/>
      <c r="I8984" s="239"/>
    </row>
    <row r="8985" spans="6:9" x14ac:dyDescent="0.35">
      <c r="F8985" s="33"/>
      <c r="G8985" s="70"/>
      <c r="H8985" s="400"/>
      <c r="I8985" s="239"/>
    </row>
    <row r="8986" spans="6:9" x14ac:dyDescent="0.35">
      <c r="F8986" s="33"/>
      <c r="G8986" s="70"/>
      <c r="H8986" s="400"/>
      <c r="I8986" s="239"/>
    </row>
    <row r="8987" spans="6:9" x14ac:dyDescent="0.35">
      <c r="F8987" s="33"/>
      <c r="G8987" s="70"/>
      <c r="H8987" s="400"/>
      <c r="I8987" s="239"/>
    </row>
    <row r="8988" spans="6:9" x14ac:dyDescent="0.35">
      <c r="F8988" s="33"/>
      <c r="G8988" s="70"/>
      <c r="H8988" s="400"/>
      <c r="I8988" s="239"/>
    </row>
    <row r="8989" spans="6:9" x14ac:dyDescent="0.35">
      <c r="F8989" s="33"/>
      <c r="G8989" s="70"/>
      <c r="H8989" s="400"/>
      <c r="I8989" s="239"/>
    </row>
    <row r="8990" spans="6:9" x14ac:dyDescent="0.35">
      <c r="F8990" s="33"/>
      <c r="G8990" s="70"/>
      <c r="H8990" s="400"/>
      <c r="I8990" s="239"/>
    </row>
    <row r="8991" spans="6:9" x14ac:dyDescent="0.35">
      <c r="F8991" s="33"/>
      <c r="G8991" s="70"/>
      <c r="H8991" s="400"/>
      <c r="I8991" s="239"/>
    </row>
    <row r="8992" spans="6:9" x14ac:dyDescent="0.35">
      <c r="F8992" s="33"/>
      <c r="G8992" s="70"/>
      <c r="H8992" s="400"/>
      <c r="I8992" s="239"/>
    </row>
    <row r="8993" spans="6:9" x14ac:dyDescent="0.35">
      <c r="F8993" s="33"/>
      <c r="G8993" s="70"/>
      <c r="H8993" s="400"/>
      <c r="I8993" s="239"/>
    </row>
    <row r="8994" spans="6:9" x14ac:dyDescent="0.35">
      <c r="F8994" s="33"/>
      <c r="G8994" s="70"/>
      <c r="H8994" s="400"/>
      <c r="I8994" s="239"/>
    </row>
    <row r="8995" spans="6:9" x14ac:dyDescent="0.35">
      <c r="F8995" s="33"/>
      <c r="G8995" s="70"/>
      <c r="H8995" s="400"/>
      <c r="I8995" s="239"/>
    </row>
    <row r="8996" spans="6:9" x14ac:dyDescent="0.35">
      <c r="F8996" s="33"/>
      <c r="G8996" s="70"/>
      <c r="H8996" s="400"/>
      <c r="I8996" s="239"/>
    </row>
    <row r="8997" spans="6:9" x14ac:dyDescent="0.35">
      <c r="F8997" s="33"/>
      <c r="G8997" s="70"/>
      <c r="H8997" s="400"/>
      <c r="I8997" s="239"/>
    </row>
    <row r="8998" spans="6:9" x14ac:dyDescent="0.35">
      <c r="F8998" s="33"/>
      <c r="G8998" s="70"/>
      <c r="H8998" s="400"/>
      <c r="I8998" s="239"/>
    </row>
    <row r="8999" spans="6:9" x14ac:dyDescent="0.35">
      <c r="F8999" s="33"/>
      <c r="G8999" s="70"/>
      <c r="H8999" s="400"/>
      <c r="I8999" s="239"/>
    </row>
    <row r="9000" spans="6:9" x14ac:dyDescent="0.35">
      <c r="F9000" s="33"/>
      <c r="G9000" s="70"/>
      <c r="H9000" s="400"/>
      <c r="I9000" s="239"/>
    </row>
    <row r="9001" spans="6:9" x14ac:dyDescent="0.35">
      <c r="F9001" s="33"/>
      <c r="G9001" s="70"/>
      <c r="H9001" s="400"/>
      <c r="I9001" s="239"/>
    </row>
    <row r="9002" spans="6:9" x14ac:dyDescent="0.35">
      <c r="F9002" s="33"/>
      <c r="G9002" s="70"/>
      <c r="H9002" s="400"/>
      <c r="I9002" s="239"/>
    </row>
    <row r="9003" spans="6:9" x14ac:dyDescent="0.35">
      <c r="F9003" s="33"/>
      <c r="G9003" s="70"/>
      <c r="H9003" s="400"/>
      <c r="I9003" s="239"/>
    </row>
    <row r="9004" spans="6:9" x14ac:dyDescent="0.35">
      <c r="F9004" s="33"/>
      <c r="G9004" s="70"/>
      <c r="H9004" s="400"/>
      <c r="I9004" s="239"/>
    </row>
    <row r="9005" spans="6:9" x14ac:dyDescent="0.35">
      <c r="F9005" s="33"/>
      <c r="G9005" s="70"/>
      <c r="H9005" s="400"/>
      <c r="I9005" s="239"/>
    </row>
    <row r="9006" spans="6:9" x14ac:dyDescent="0.35">
      <c r="F9006" s="33"/>
      <c r="G9006" s="70"/>
      <c r="H9006" s="400"/>
      <c r="I9006" s="239"/>
    </row>
    <row r="9007" spans="6:9" x14ac:dyDescent="0.35">
      <c r="F9007" s="33"/>
      <c r="G9007" s="70"/>
      <c r="H9007" s="400"/>
      <c r="I9007" s="239"/>
    </row>
    <row r="9008" spans="6:9" x14ac:dyDescent="0.35">
      <c r="F9008" s="33"/>
      <c r="G9008" s="70"/>
      <c r="H9008" s="400"/>
      <c r="I9008" s="239"/>
    </row>
    <row r="9009" spans="6:9" x14ac:dyDescent="0.35">
      <c r="F9009" s="33"/>
      <c r="G9009" s="70"/>
      <c r="H9009" s="400"/>
      <c r="I9009" s="239"/>
    </row>
    <row r="9010" spans="6:9" x14ac:dyDescent="0.35">
      <c r="F9010" s="33"/>
      <c r="G9010" s="70"/>
      <c r="H9010" s="400"/>
      <c r="I9010" s="239"/>
    </row>
    <row r="9011" spans="6:9" x14ac:dyDescent="0.35">
      <c r="F9011" s="33"/>
      <c r="G9011" s="70"/>
      <c r="H9011" s="400"/>
      <c r="I9011" s="239"/>
    </row>
    <row r="9012" spans="6:9" x14ac:dyDescent="0.35">
      <c r="F9012" s="33"/>
      <c r="G9012" s="70"/>
      <c r="H9012" s="400"/>
      <c r="I9012" s="239"/>
    </row>
    <row r="9013" spans="6:9" x14ac:dyDescent="0.35">
      <c r="F9013" s="33"/>
      <c r="G9013" s="70"/>
      <c r="H9013" s="400"/>
      <c r="I9013" s="239"/>
    </row>
    <row r="9014" spans="6:9" x14ac:dyDescent="0.35">
      <c r="F9014" s="33"/>
      <c r="G9014" s="70"/>
      <c r="H9014" s="400"/>
      <c r="I9014" s="239"/>
    </row>
    <row r="9015" spans="6:9" x14ac:dyDescent="0.35">
      <c r="F9015" s="33"/>
      <c r="G9015" s="70"/>
      <c r="H9015" s="400"/>
      <c r="I9015" s="239"/>
    </row>
    <row r="9016" spans="6:9" x14ac:dyDescent="0.35">
      <c r="F9016" s="33"/>
      <c r="G9016" s="70"/>
      <c r="H9016" s="400"/>
      <c r="I9016" s="239"/>
    </row>
    <row r="9017" spans="6:9" x14ac:dyDescent="0.35">
      <c r="F9017" s="33"/>
      <c r="G9017" s="70"/>
      <c r="H9017" s="400"/>
      <c r="I9017" s="239"/>
    </row>
    <row r="9018" spans="6:9" x14ac:dyDescent="0.35">
      <c r="F9018" s="33"/>
      <c r="G9018" s="70"/>
      <c r="H9018" s="400"/>
      <c r="I9018" s="239"/>
    </row>
    <row r="9019" spans="6:9" x14ac:dyDescent="0.35">
      <c r="F9019" s="33"/>
      <c r="G9019" s="70"/>
      <c r="H9019" s="400"/>
      <c r="I9019" s="239"/>
    </row>
    <row r="9020" spans="6:9" x14ac:dyDescent="0.35">
      <c r="F9020" s="33"/>
      <c r="G9020" s="70"/>
      <c r="H9020" s="400"/>
      <c r="I9020" s="239"/>
    </row>
    <row r="9021" spans="6:9" x14ac:dyDescent="0.35">
      <c r="F9021" s="33"/>
      <c r="G9021" s="70"/>
      <c r="H9021" s="400"/>
      <c r="I9021" s="239"/>
    </row>
    <row r="9022" spans="6:9" x14ac:dyDescent="0.35">
      <c r="F9022" s="33"/>
      <c r="G9022" s="70"/>
      <c r="H9022" s="400"/>
      <c r="I9022" s="239"/>
    </row>
    <row r="9023" spans="6:9" x14ac:dyDescent="0.35">
      <c r="F9023" s="33"/>
      <c r="G9023" s="70"/>
      <c r="H9023" s="400"/>
      <c r="I9023" s="239"/>
    </row>
    <row r="9024" spans="6:9" x14ac:dyDescent="0.35">
      <c r="F9024" s="33"/>
      <c r="G9024" s="70"/>
      <c r="H9024" s="400"/>
      <c r="I9024" s="239"/>
    </row>
    <row r="9025" spans="6:9" x14ac:dyDescent="0.35">
      <c r="F9025" s="33"/>
      <c r="G9025" s="70"/>
      <c r="H9025" s="400"/>
      <c r="I9025" s="239"/>
    </row>
    <row r="9026" spans="6:9" x14ac:dyDescent="0.35">
      <c r="F9026" s="33"/>
      <c r="G9026" s="70"/>
      <c r="H9026" s="400"/>
      <c r="I9026" s="239"/>
    </row>
    <row r="9027" spans="6:9" x14ac:dyDescent="0.35">
      <c r="F9027" s="33"/>
      <c r="G9027" s="70"/>
      <c r="H9027" s="400"/>
      <c r="I9027" s="239"/>
    </row>
    <row r="9028" spans="6:9" x14ac:dyDescent="0.35">
      <c r="F9028" s="33"/>
      <c r="G9028" s="70"/>
      <c r="H9028" s="400"/>
      <c r="I9028" s="239"/>
    </row>
    <row r="9029" spans="6:9" x14ac:dyDescent="0.35">
      <c r="F9029" s="33"/>
      <c r="G9029" s="70"/>
      <c r="H9029" s="400"/>
      <c r="I9029" s="239"/>
    </row>
    <row r="9030" spans="6:9" x14ac:dyDescent="0.35">
      <c r="F9030" s="33"/>
      <c r="G9030" s="70"/>
      <c r="H9030" s="400"/>
      <c r="I9030" s="239"/>
    </row>
    <row r="9031" spans="6:9" x14ac:dyDescent="0.35">
      <c r="F9031" s="33"/>
      <c r="G9031" s="70"/>
      <c r="H9031" s="400"/>
      <c r="I9031" s="239"/>
    </row>
    <row r="9032" spans="6:9" x14ac:dyDescent="0.35">
      <c r="F9032" s="33"/>
      <c r="G9032" s="70"/>
      <c r="H9032" s="400"/>
      <c r="I9032" s="239"/>
    </row>
    <row r="9033" spans="6:9" x14ac:dyDescent="0.35">
      <c r="F9033" s="33"/>
      <c r="G9033" s="70"/>
      <c r="H9033" s="400"/>
      <c r="I9033" s="239"/>
    </row>
    <row r="9034" spans="6:9" x14ac:dyDescent="0.35">
      <c r="F9034" s="33"/>
      <c r="G9034" s="70"/>
      <c r="H9034" s="400"/>
      <c r="I9034" s="239"/>
    </row>
    <row r="9035" spans="6:9" x14ac:dyDescent="0.35">
      <c r="F9035" s="33"/>
      <c r="G9035" s="70"/>
      <c r="H9035" s="400"/>
      <c r="I9035" s="239"/>
    </row>
    <row r="9036" spans="6:9" x14ac:dyDescent="0.35">
      <c r="F9036" s="33"/>
      <c r="G9036" s="70"/>
      <c r="H9036" s="400"/>
      <c r="I9036" s="239"/>
    </row>
    <row r="9037" spans="6:9" x14ac:dyDescent="0.35">
      <c r="F9037" s="33"/>
      <c r="G9037" s="70"/>
      <c r="H9037" s="400"/>
      <c r="I9037" s="239"/>
    </row>
    <row r="9038" spans="6:9" x14ac:dyDescent="0.35">
      <c r="F9038" s="33"/>
      <c r="G9038" s="70"/>
      <c r="H9038" s="400"/>
      <c r="I9038" s="239"/>
    </row>
    <row r="9039" spans="6:9" x14ac:dyDescent="0.35">
      <c r="F9039" s="33"/>
      <c r="G9039" s="70"/>
      <c r="H9039" s="400"/>
      <c r="I9039" s="239"/>
    </row>
    <row r="9040" spans="6:9" x14ac:dyDescent="0.35">
      <c r="F9040" s="33"/>
      <c r="G9040" s="70"/>
      <c r="H9040" s="400"/>
      <c r="I9040" s="239"/>
    </row>
    <row r="9041" spans="6:9" x14ac:dyDescent="0.35">
      <c r="F9041" s="33"/>
      <c r="G9041" s="70"/>
      <c r="H9041" s="400"/>
      <c r="I9041" s="239"/>
    </row>
    <row r="9042" spans="6:9" x14ac:dyDescent="0.35">
      <c r="F9042" s="33"/>
      <c r="G9042" s="70"/>
      <c r="H9042" s="400"/>
      <c r="I9042" s="239"/>
    </row>
    <row r="9043" spans="6:9" x14ac:dyDescent="0.35">
      <c r="F9043" s="33"/>
      <c r="G9043" s="70"/>
      <c r="H9043" s="400"/>
      <c r="I9043" s="239"/>
    </row>
    <row r="9044" spans="6:9" x14ac:dyDescent="0.35">
      <c r="F9044" s="33"/>
      <c r="G9044" s="70"/>
      <c r="H9044" s="400"/>
      <c r="I9044" s="239"/>
    </row>
    <row r="9045" spans="6:9" x14ac:dyDescent="0.35">
      <c r="F9045" s="33"/>
      <c r="G9045" s="70"/>
      <c r="H9045" s="400"/>
      <c r="I9045" s="239"/>
    </row>
    <row r="9046" spans="6:9" x14ac:dyDescent="0.35">
      <c r="F9046" s="33"/>
      <c r="G9046" s="70"/>
      <c r="H9046" s="400"/>
      <c r="I9046" s="239"/>
    </row>
    <row r="9047" spans="6:9" x14ac:dyDescent="0.35">
      <c r="F9047" s="33"/>
      <c r="G9047" s="70"/>
      <c r="H9047" s="400"/>
      <c r="I9047" s="239"/>
    </row>
    <row r="9048" spans="6:9" x14ac:dyDescent="0.35">
      <c r="F9048" s="33"/>
      <c r="G9048" s="70"/>
      <c r="H9048" s="400"/>
      <c r="I9048" s="239"/>
    </row>
    <row r="9049" spans="6:9" x14ac:dyDescent="0.35">
      <c r="F9049" s="33"/>
      <c r="G9049" s="70"/>
      <c r="H9049" s="400"/>
      <c r="I9049" s="239"/>
    </row>
    <row r="9050" spans="6:9" x14ac:dyDescent="0.35">
      <c r="F9050" s="33"/>
      <c r="G9050" s="70"/>
      <c r="H9050" s="400"/>
      <c r="I9050" s="239"/>
    </row>
    <row r="9051" spans="6:9" x14ac:dyDescent="0.35">
      <c r="F9051" s="33"/>
      <c r="G9051" s="70"/>
      <c r="H9051" s="400"/>
      <c r="I9051" s="239"/>
    </row>
    <row r="9052" spans="6:9" x14ac:dyDescent="0.35">
      <c r="F9052" s="33"/>
      <c r="G9052" s="70"/>
      <c r="H9052" s="400"/>
      <c r="I9052" s="239"/>
    </row>
    <row r="9053" spans="6:9" x14ac:dyDescent="0.35">
      <c r="F9053" s="33"/>
      <c r="G9053" s="70"/>
      <c r="H9053" s="400"/>
      <c r="I9053" s="239"/>
    </row>
    <row r="9054" spans="6:9" x14ac:dyDescent="0.35">
      <c r="F9054" s="33"/>
      <c r="G9054" s="70"/>
      <c r="H9054" s="400"/>
      <c r="I9054" s="239"/>
    </row>
    <row r="9055" spans="6:9" x14ac:dyDescent="0.35">
      <c r="F9055" s="33"/>
      <c r="G9055" s="70"/>
      <c r="H9055" s="400"/>
      <c r="I9055" s="239"/>
    </row>
    <row r="9056" spans="6:9" x14ac:dyDescent="0.35">
      <c r="F9056" s="33"/>
      <c r="G9056" s="70"/>
      <c r="H9056" s="400"/>
      <c r="I9056" s="239"/>
    </row>
    <row r="9057" spans="6:9" x14ac:dyDescent="0.35">
      <c r="F9057" s="33"/>
      <c r="G9057" s="70"/>
      <c r="H9057" s="400"/>
      <c r="I9057" s="239"/>
    </row>
    <row r="9058" spans="6:9" x14ac:dyDescent="0.35">
      <c r="F9058" s="33"/>
      <c r="G9058" s="70"/>
      <c r="H9058" s="400"/>
      <c r="I9058" s="239"/>
    </row>
    <row r="9059" spans="6:9" x14ac:dyDescent="0.35">
      <c r="F9059" s="33"/>
      <c r="G9059" s="70"/>
      <c r="H9059" s="400"/>
      <c r="I9059" s="239"/>
    </row>
    <row r="9060" spans="6:9" x14ac:dyDescent="0.35">
      <c r="F9060" s="33"/>
      <c r="G9060" s="70"/>
      <c r="H9060" s="400"/>
      <c r="I9060" s="239"/>
    </row>
    <row r="9061" spans="6:9" x14ac:dyDescent="0.35">
      <c r="F9061" s="33"/>
      <c r="G9061" s="70"/>
      <c r="H9061" s="400"/>
      <c r="I9061" s="239"/>
    </row>
    <row r="9062" spans="6:9" x14ac:dyDescent="0.35">
      <c r="F9062" s="33"/>
      <c r="G9062" s="70"/>
      <c r="H9062" s="400"/>
      <c r="I9062" s="239"/>
    </row>
    <row r="9063" spans="6:9" x14ac:dyDescent="0.35">
      <c r="F9063" s="33"/>
      <c r="G9063" s="70"/>
      <c r="H9063" s="400"/>
      <c r="I9063" s="239"/>
    </row>
    <row r="9064" spans="6:9" x14ac:dyDescent="0.35">
      <c r="F9064" s="33"/>
      <c r="G9064" s="70"/>
      <c r="H9064" s="400"/>
      <c r="I9064" s="239"/>
    </row>
    <row r="9065" spans="6:9" x14ac:dyDescent="0.35">
      <c r="F9065" s="33"/>
      <c r="G9065" s="70"/>
      <c r="H9065" s="400"/>
      <c r="I9065" s="239"/>
    </row>
    <row r="9066" spans="6:9" x14ac:dyDescent="0.35">
      <c r="F9066" s="33"/>
      <c r="G9066" s="70"/>
      <c r="H9066" s="400"/>
      <c r="I9066" s="239"/>
    </row>
    <row r="9067" spans="6:9" x14ac:dyDescent="0.35">
      <c r="F9067" s="33"/>
      <c r="G9067" s="70"/>
      <c r="H9067" s="400"/>
      <c r="I9067" s="239"/>
    </row>
    <row r="9068" spans="6:9" x14ac:dyDescent="0.35">
      <c r="F9068" s="33"/>
      <c r="G9068" s="70"/>
      <c r="H9068" s="400"/>
      <c r="I9068" s="239"/>
    </row>
    <row r="9069" spans="6:9" x14ac:dyDescent="0.35">
      <c r="F9069" s="33"/>
      <c r="G9069" s="70"/>
      <c r="H9069" s="400"/>
      <c r="I9069" s="239"/>
    </row>
    <row r="9070" spans="6:9" x14ac:dyDescent="0.35">
      <c r="F9070" s="33"/>
      <c r="G9070" s="70"/>
      <c r="H9070" s="400"/>
      <c r="I9070" s="239"/>
    </row>
    <row r="9071" spans="6:9" x14ac:dyDescent="0.35">
      <c r="F9071" s="33"/>
      <c r="G9071" s="70"/>
      <c r="H9071" s="400"/>
      <c r="I9071" s="239"/>
    </row>
    <row r="9072" spans="6:9" x14ac:dyDescent="0.35">
      <c r="F9072" s="33"/>
      <c r="G9072" s="70"/>
      <c r="H9072" s="400"/>
      <c r="I9072" s="239"/>
    </row>
    <row r="9073" spans="6:9" x14ac:dyDescent="0.35">
      <c r="F9073" s="33"/>
      <c r="G9073" s="70"/>
      <c r="H9073" s="400"/>
      <c r="I9073" s="239"/>
    </row>
    <row r="9074" spans="6:9" x14ac:dyDescent="0.35">
      <c r="F9074" s="33"/>
      <c r="G9074" s="70"/>
      <c r="H9074" s="400"/>
      <c r="I9074" s="239"/>
    </row>
    <row r="9075" spans="6:9" x14ac:dyDescent="0.35">
      <c r="F9075" s="33"/>
      <c r="G9075" s="70"/>
      <c r="H9075" s="400"/>
      <c r="I9075" s="239"/>
    </row>
    <row r="9076" spans="6:9" x14ac:dyDescent="0.35">
      <c r="F9076" s="33"/>
      <c r="G9076" s="70"/>
      <c r="H9076" s="400"/>
      <c r="I9076" s="239"/>
    </row>
    <row r="9077" spans="6:9" x14ac:dyDescent="0.35">
      <c r="F9077" s="33"/>
      <c r="G9077" s="70"/>
      <c r="H9077" s="400"/>
      <c r="I9077" s="239"/>
    </row>
    <row r="9078" spans="6:9" x14ac:dyDescent="0.35">
      <c r="F9078" s="33"/>
      <c r="G9078" s="70"/>
      <c r="H9078" s="400"/>
      <c r="I9078" s="239"/>
    </row>
    <row r="9079" spans="6:9" x14ac:dyDescent="0.35">
      <c r="F9079" s="33"/>
      <c r="G9079" s="70"/>
      <c r="H9079" s="400"/>
      <c r="I9079" s="239"/>
    </row>
    <row r="9080" spans="6:9" x14ac:dyDescent="0.35">
      <c r="F9080" s="33"/>
      <c r="G9080" s="70"/>
      <c r="H9080" s="400"/>
      <c r="I9080" s="239"/>
    </row>
    <row r="9081" spans="6:9" x14ac:dyDescent="0.35">
      <c r="F9081" s="33"/>
      <c r="G9081" s="70"/>
      <c r="H9081" s="400"/>
      <c r="I9081" s="239"/>
    </row>
    <row r="9082" spans="6:9" x14ac:dyDescent="0.35">
      <c r="F9082" s="33"/>
      <c r="G9082" s="70"/>
      <c r="H9082" s="400"/>
      <c r="I9082" s="239"/>
    </row>
    <row r="9083" spans="6:9" x14ac:dyDescent="0.35">
      <c r="F9083" s="33"/>
      <c r="G9083" s="70"/>
      <c r="H9083" s="400"/>
      <c r="I9083" s="239"/>
    </row>
    <row r="9084" spans="6:9" x14ac:dyDescent="0.35">
      <c r="F9084" s="33"/>
      <c r="G9084" s="70"/>
      <c r="H9084" s="400"/>
      <c r="I9084" s="239"/>
    </row>
    <row r="9085" spans="6:9" x14ac:dyDescent="0.35">
      <c r="F9085" s="33"/>
      <c r="G9085" s="70"/>
      <c r="H9085" s="400"/>
      <c r="I9085" s="239"/>
    </row>
    <row r="9086" spans="6:9" x14ac:dyDescent="0.35">
      <c r="F9086" s="33"/>
      <c r="G9086" s="70"/>
      <c r="H9086" s="400"/>
      <c r="I9086" s="239"/>
    </row>
    <row r="9087" spans="6:9" x14ac:dyDescent="0.35">
      <c r="F9087" s="33"/>
      <c r="G9087" s="70"/>
      <c r="H9087" s="400"/>
      <c r="I9087" s="239"/>
    </row>
    <row r="9088" spans="6:9" x14ac:dyDescent="0.35">
      <c r="F9088" s="33"/>
      <c r="G9088" s="70"/>
      <c r="H9088" s="400"/>
      <c r="I9088" s="239"/>
    </row>
    <row r="9089" spans="6:9" x14ac:dyDescent="0.35">
      <c r="F9089" s="33"/>
      <c r="G9089" s="70"/>
      <c r="H9089" s="400"/>
      <c r="I9089" s="239"/>
    </row>
    <row r="9090" spans="6:9" x14ac:dyDescent="0.35">
      <c r="F9090" s="33"/>
      <c r="G9090" s="70"/>
      <c r="H9090" s="400"/>
      <c r="I9090" s="239"/>
    </row>
    <row r="9091" spans="6:9" x14ac:dyDescent="0.35">
      <c r="F9091" s="33"/>
      <c r="G9091" s="70"/>
      <c r="H9091" s="400"/>
      <c r="I9091" s="239"/>
    </row>
    <row r="9092" spans="6:9" x14ac:dyDescent="0.35">
      <c r="F9092" s="33"/>
      <c r="G9092" s="70"/>
      <c r="H9092" s="400"/>
      <c r="I9092" s="239"/>
    </row>
    <row r="9093" spans="6:9" x14ac:dyDescent="0.35">
      <c r="F9093" s="33"/>
      <c r="G9093" s="70"/>
      <c r="H9093" s="400"/>
      <c r="I9093" s="239"/>
    </row>
    <row r="9094" spans="6:9" x14ac:dyDescent="0.35">
      <c r="F9094" s="33"/>
      <c r="G9094" s="70"/>
      <c r="H9094" s="400"/>
      <c r="I9094" s="239"/>
    </row>
    <row r="9095" spans="6:9" x14ac:dyDescent="0.35">
      <c r="F9095" s="33"/>
      <c r="G9095" s="70"/>
      <c r="H9095" s="400"/>
      <c r="I9095" s="239"/>
    </row>
    <row r="9096" spans="6:9" x14ac:dyDescent="0.35">
      <c r="F9096" s="33"/>
      <c r="G9096" s="70"/>
      <c r="H9096" s="400"/>
      <c r="I9096" s="239"/>
    </row>
    <row r="9097" spans="6:9" x14ac:dyDescent="0.35">
      <c r="F9097" s="33"/>
      <c r="G9097" s="70"/>
      <c r="H9097" s="400"/>
      <c r="I9097" s="239"/>
    </row>
    <row r="9098" spans="6:9" x14ac:dyDescent="0.35">
      <c r="F9098" s="33"/>
      <c r="G9098" s="70"/>
      <c r="H9098" s="400"/>
      <c r="I9098" s="239"/>
    </row>
    <row r="9099" spans="6:9" x14ac:dyDescent="0.35">
      <c r="F9099" s="33"/>
      <c r="G9099" s="70"/>
      <c r="H9099" s="400"/>
      <c r="I9099" s="239"/>
    </row>
    <row r="9100" spans="6:9" x14ac:dyDescent="0.35">
      <c r="F9100" s="33"/>
      <c r="G9100" s="70"/>
      <c r="H9100" s="400"/>
      <c r="I9100" s="239"/>
    </row>
    <row r="9101" spans="6:9" x14ac:dyDescent="0.35">
      <c r="F9101" s="33"/>
      <c r="G9101" s="70"/>
      <c r="H9101" s="400"/>
      <c r="I9101" s="239"/>
    </row>
    <row r="9102" spans="6:9" x14ac:dyDescent="0.35">
      <c r="F9102" s="33"/>
      <c r="G9102" s="70"/>
      <c r="H9102" s="400"/>
      <c r="I9102" s="239"/>
    </row>
    <row r="9103" spans="6:9" x14ac:dyDescent="0.35">
      <c r="F9103" s="33"/>
      <c r="G9103" s="70"/>
      <c r="H9103" s="400"/>
      <c r="I9103" s="239"/>
    </row>
    <row r="9104" spans="6:9" x14ac:dyDescent="0.35">
      <c r="F9104" s="33"/>
      <c r="G9104" s="70"/>
      <c r="H9104" s="400"/>
      <c r="I9104" s="239"/>
    </row>
    <row r="9105" spans="6:9" x14ac:dyDescent="0.35">
      <c r="F9105" s="33"/>
      <c r="G9105" s="70"/>
      <c r="H9105" s="400"/>
      <c r="I9105" s="239"/>
    </row>
    <row r="9106" spans="6:9" x14ac:dyDescent="0.35">
      <c r="F9106" s="33"/>
      <c r="G9106" s="70"/>
      <c r="H9106" s="400"/>
      <c r="I9106" s="239"/>
    </row>
    <row r="9107" spans="6:9" x14ac:dyDescent="0.35">
      <c r="F9107" s="33"/>
      <c r="G9107" s="70"/>
      <c r="H9107" s="400"/>
      <c r="I9107" s="239"/>
    </row>
    <row r="9108" spans="6:9" x14ac:dyDescent="0.35">
      <c r="F9108" s="33"/>
      <c r="G9108" s="70"/>
      <c r="H9108" s="400"/>
      <c r="I9108" s="239"/>
    </row>
    <row r="9109" spans="6:9" x14ac:dyDescent="0.35">
      <c r="F9109" s="33"/>
      <c r="G9109" s="70"/>
      <c r="H9109" s="400"/>
      <c r="I9109" s="239"/>
    </row>
    <row r="9110" spans="6:9" x14ac:dyDescent="0.35">
      <c r="F9110" s="33"/>
      <c r="G9110" s="70"/>
      <c r="H9110" s="400"/>
      <c r="I9110" s="239"/>
    </row>
    <row r="9111" spans="6:9" x14ac:dyDescent="0.35">
      <c r="F9111" s="33"/>
      <c r="G9111" s="70"/>
      <c r="H9111" s="400"/>
      <c r="I9111" s="239"/>
    </row>
    <row r="9112" spans="6:9" x14ac:dyDescent="0.35">
      <c r="F9112" s="33"/>
      <c r="G9112" s="70"/>
      <c r="H9112" s="400"/>
      <c r="I9112" s="239"/>
    </row>
    <row r="9113" spans="6:9" x14ac:dyDescent="0.35">
      <c r="F9113" s="33"/>
      <c r="G9113" s="70"/>
      <c r="H9113" s="400"/>
      <c r="I9113" s="239"/>
    </row>
    <row r="9114" spans="6:9" x14ac:dyDescent="0.35">
      <c r="F9114" s="33"/>
      <c r="G9114" s="70"/>
      <c r="H9114" s="400"/>
      <c r="I9114" s="239"/>
    </row>
    <row r="9115" spans="6:9" x14ac:dyDescent="0.35">
      <c r="F9115" s="33"/>
      <c r="G9115" s="70"/>
      <c r="H9115" s="400"/>
      <c r="I9115" s="239"/>
    </row>
    <row r="9116" spans="6:9" x14ac:dyDescent="0.35">
      <c r="F9116" s="33"/>
      <c r="G9116" s="70"/>
      <c r="H9116" s="400"/>
      <c r="I9116" s="239"/>
    </row>
    <row r="9117" spans="6:9" x14ac:dyDescent="0.35">
      <c r="F9117" s="33"/>
      <c r="G9117" s="70"/>
      <c r="H9117" s="400"/>
      <c r="I9117" s="239"/>
    </row>
    <row r="9118" spans="6:9" x14ac:dyDescent="0.35">
      <c r="F9118" s="33"/>
      <c r="G9118" s="70"/>
      <c r="H9118" s="400"/>
      <c r="I9118" s="239"/>
    </row>
    <row r="9119" spans="6:9" x14ac:dyDescent="0.35">
      <c r="F9119" s="33"/>
      <c r="G9119" s="70"/>
      <c r="H9119" s="400"/>
      <c r="I9119" s="239"/>
    </row>
    <row r="9120" spans="6:9" x14ac:dyDescent="0.35">
      <c r="F9120" s="33"/>
      <c r="G9120" s="70"/>
      <c r="H9120" s="400"/>
      <c r="I9120" s="239"/>
    </row>
    <row r="9121" spans="6:9" x14ac:dyDescent="0.35">
      <c r="F9121" s="33"/>
      <c r="G9121" s="70"/>
      <c r="H9121" s="400"/>
      <c r="I9121" s="239"/>
    </row>
    <row r="9122" spans="6:9" x14ac:dyDescent="0.35">
      <c r="F9122" s="33"/>
      <c r="G9122" s="70"/>
      <c r="H9122" s="400"/>
      <c r="I9122" s="239"/>
    </row>
    <row r="9123" spans="6:9" x14ac:dyDescent="0.35">
      <c r="F9123" s="33"/>
      <c r="G9123" s="70"/>
      <c r="H9123" s="400"/>
      <c r="I9123" s="239"/>
    </row>
    <row r="9124" spans="6:9" x14ac:dyDescent="0.35">
      <c r="F9124" s="33"/>
      <c r="G9124" s="70"/>
      <c r="H9124" s="400"/>
      <c r="I9124" s="239"/>
    </row>
    <row r="9125" spans="6:9" x14ac:dyDescent="0.35">
      <c r="F9125" s="33"/>
      <c r="G9125" s="70"/>
      <c r="H9125" s="400"/>
      <c r="I9125" s="239"/>
    </row>
    <row r="9126" spans="6:9" x14ac:dyDescent="0.35">
      <c r="F9126" s="33"/>
      <c r="G9126" s="70"/>
      <c r="H9126" s="400"/>
      <c r="I9126" s="239"/>
    </row>
    <row r="9127" spans="6:9" x14ac:dyDescent="0.35">
      <c r="F9127" s="33"/>
      <c r="G9127" s="70"/>
      <c r="H9127" s="400"/>
      <c r="I9127" s="239"/>
    </row>
    <row r="9128" spans="6:9" x14ac:dyDescent="0.35">
      <c r="F9128" s="33"/>
      <c r="G9128" s="70"/>
      <c r="H9128" s="400"/>
      <c r="I9128" s="239"/>
    </row>
    <row r="9129" spans="6:9" x14ac:dyDescent="0.35">
      <c r="F9129" s="33"/>
      <c r="G9129" s="70"/>
      <c r="H9129" s="400"/>
      <c r="I9129" s="239"/>
    </row>
    <row r="9130" spans="6:9" x14ac:dyDescent="0.35">
      <c r="F9130" s="33"/>
      <c r="G9130" s="70"/>
      <c r="H9130" s="400"/>
      <c r="I9130" s="239"/>
    </row>
    <row r="9131" spans="6:9" x14ac:dyDescent="0.35">
      <c r="F9131" s="33"/>
      <c r="G9131" s="70"/>
      <c r="H9131" s="400"/>
      <c r="I9131" s="239"/>
    </row>
    <row r="9132" spans="6:9" x14ac:dyDescent="0.35">
      <c r="F9132" s="33"/>
      <c r="G9132" s="70"/>
      <c r="H9132" s="400"/>
      <c r="I9132" s="239"/>
    </row>
    <row r="9133" spans="6:9" x14ac:dyDescent="0.35">
      <c r="F9133" s="33"/>
      <c r="G9133" s="70"/>
      <c r="H9133" s="400"/>
      <c r="I9133" s="239"/>
    </row>
    <row r="9134" spans="6:9" x14ac:dyDescent="0.35">
      <c r="F9134" s="33"/>
      <c r="G9134" s="70"/>
      <c r="H9134" s="400"/>
      <c r="I9134" s="239"/>
    </row>
    <row r="9135" spans="6:9" x14ac:dyDescent="0.35">
      <c r="F9135" s="33"/>
      <c r="G9135" s="70"/>
      <c r="H9135" s="400"/>
      <c r="I9135" s="239"/>
    </row>
    <row r="9136" spans="6:9" x14ac:dyDescent="0.35">
      <c r="F9136" s="33"/>
      <c r="G9136" s="70"/>
      <c r="H9136" s="400"/>
      <c r="I9136" s="239"/>
    </row>
    <row r="9137" spans="6:9" x14ac:dyDescent="0.35">
      <c r="F9137" s="33"/>
      <c r="G9137" s="70"/>
      <c r="H9137" s="400"/>
      <c r="I9137" s="239"/>
    </row>
    <row r="9138" spans="6:9" x14ac:dyDescent="0.35">
      <c r="F9138" s="33"/>
      <c r="G9138" s="70"/>
      <c r="H9138" s="400"/>
      <c r="I9138" s="239"/>
    </row>
    <row r="9139" spans="6:9" x14ac:dyDescent="0.35">
      <c r="F9139" s="33"/>
      <c r="G9139" s="70"/>
      <c r="H9139" s="400"/>
      <c r="I9139" s="239"/>
    </row>
    <row r="9140" spans="6:9" x14ac:dyDescent="0.35">
      <c r="F9140" s="33"/>
      <c r="G9140" s="70"/>
      <c r="H9140" s="400"/>
      <c r="I9140" s="239"/>
    </row>
    <row r="9141" spans="6:9" x14ac:dyDescent="0.35">
      <c r="F9141" s="33"/>
      <c r="G9141" s="70"/>
      <c r="H9141" s="400"/>
      <c r="I9141" s="239"/>
    </row>
    <row r="9142" spans="6:9" x14ac:dyDescent="0.35">
      <c r="F9142" s="33"/>
      <c r="G9142" s="70"/>
      <c r="H9142" s="400"/>
      <c r="I9142" s="239"/>
    </row>
    <row r="9143" spans="6:9" x14ac:dyDescent="0.35">
      <c r="F9143" s="33"/>
      <c r="G9143" s="70"/>
      <c r="H9143" s="400"/>
      <c r="I9143" s="239"/>
    </row>
    <row r="9144" spans="6:9" x14ac:dyDescent="0.35">
      <c r="F9144" s="33"/>
      <c r="G9144" s="70"/>
      <c r="H9144" s="400"/>
      <c r="I9144" s="239"/>
    </row>
    <row r="9145" spans="6:9" x14ac:dyDescent="0.35">
      <c r="F9145" s="33"/>
      <c r="G9145" s="70"/>
      <c r="H9145" s="400"/>
      <c r="I9145" s="239"/>
    </row>
    <row r="9146" spans="6:9" x14ac:dyDescent="0.35">
      <c r="F9146" s="33"/>
      <c r="G9146" s="70"/>
      <c r="H9146" s="400"/>
      <c r="I9146" s="239"/>
    </row>
    <row r="9147" spans="6:9" x14ac:dyDescent="0.35">
      <c r="F9147" s="33"/>
      <c r="G9147" s="70"/>
      <c r="H9147" s="400"/>
      <c r="I9147" s="239"/>
    </row>
    <row r="9148" spans="6:9" x14ac:dyDescent="0.35">
      <c r="F9148" s="33"/>
      <c r="G9148" s="70"/>
      <c r="H9148" s="400"/>
      <c r="I9148" s="239"/>
    </row>
    <row r="9149" spans="6:9" x14ac:dyDescent="0.35">
      <c r="F9149" s="33"/>
      <c r="G9149" s="70"/>
      <c r="H9149" s="400"/>
      <c r="I9149" s="239"/>
    </row>
    <row r="9150" spans="6:9" x14ac:dyDescent="0.35">
      <c r="F9150" s="33"/>
      <c r="G9150" s="70"/>
      <c r="H9150" s="400"/>
      <c r="I9150" s="239"/>
    </row>
    <row r="9151" spans="6:9" x14ac:dyDescent="0.35">
      <c r="F9151" s="33"/>
      <c r="G9151" s="70"/>
      <c r="H9151" s="400"/>
      <c r="I9151" s="239"/>
    </row>
    <row r="9152" spans="6:9" x14ac:dyDescent="0.35">
      <c r="F9152" s="33"/>
      <c r="G9152" s="70"/>
      <c r="H9152" s="400"/>
      <c r="I9152" s="239"/>
    </row>
    <row r="9153" spans="6:9" x14ac:dyDescent="0.35">
      <c r="F9153" s="33"/>
      <c r="G9153" s="70"/>
      <c r="H9153" s="400"/>
      <c r="I9153" s="239"/>
    </row>
    <row r="9154" spans="6:9" x14ac:dyDescent="0.35">
      <c r="F9154" s="33"/>
      <c r="G9154" s="70"/>
      <c r="H9154" s="400"/>
      <c r="I9154" s="239"/>
    </row>
    <row r="9155" spans="6:9" x14ac:dyDescent="0.35">
      <c r="F9155" s="33"/>
      <c r="G9155" s="70"/>
      <c r="H9155" s="400"/>
      <c r="I9155" s="239"/>
    </row>
    <row r="9156" spans="6:9" x14ac:dyDescent="0.35">
      <c r="F9156" s="33"/>
      <c r="G9156" s="70"/>
      <c r="H9156" s="400"/>
      <c r="I9156" s="239"/>
    </row>
    <row r="9157" spans="6:9" x14ac:dyDescent="0.35">
      <c r="F9157" s="33"/>
      <c r="G9157" s="70"/>
      <c r="H9157" s="400"/>
      <c r="I9157" s="239"/>
    </row>
    <row r="9158" spans="6:9" x14ac:dyDescent="0.35">
      <c r="F9158" s="33"/>
      <c r="G9158" s="70"/>
      <c r="H9158" s="400"/>
      <c r="I9158" s="239"/>
    </row>
    <row r="9159" spans="6:9" x14ac:dyDescent="0.35">
      <c r="F9159" s="33"/>
      <c r="G9159" s="70"/>
      <c r="H9159" s="400"/>
      <c r="I9159" s="239"/>
    </row>
    <row r="9160" spans="6:9" x14ac:dyDescent="0.35">
      <c r="F9160" s="33"/>
      <c r="G9160" s="70"/>
      <c r="H9160" s="400"/>
      <c r="I9160" s="239"/>
    </row>
    <row r="9161" spans="6:9" x14ac:dyDescent="0.35">
      <c r="F9161" s="33"/>
      <c r="G9161" s="70"/>
      <c r="H9161" s="400"/>
      <c r="I9161" s="239"/>
    </row>
    <row r="9162" spans="6:9" x14ac:dyDescent="0.35">
      <c r="F9162" s="33"/>
      <c r="G9162" s="70"/>
      <c r="H9162" s="400"/>
      <c r="I9162" s="239"/>
    </row>
    <row r="9163" spans="6:9" x14ac:dyDescent="0.35">
      <c r="F9163" s="33"/>
      <c r="G9163" s="70"/>
      <c r="H9163" s="400"/>
      <c r="I9163" s="239"/>
    </row>
    <row r="9164" spans="6:9" x14ac:dyDescent="0.35">
      <c r="F9164" s="33"/>
      <c r="G9164" s="70"/>
      <c r="H9164" s="400"/>
      <c r="I9164" s="239"/>
    </row>
    <row r="9165" spans="6:9" x14ac:dyDescent="0.35">
      <c r="F9165" s="33"/>
      <c r="G9165" s="70"/>
      <c r="H9165" s="400"/>
      <c r="I9165" s="239"/>
    </row>
    <row r="9166" spans="6:9" x14ac:dyDescent="0.35">
      <c r="F9166" s="33"/>
      <c r="G9166" s="70"/>
      <c r="H9166" s="400"/>
      <c r="I9166" s="239"/>
    </row>
    <row r="9167" spans="6:9" x14ac:dyDescent="0.35">
      <c r="F9167" s="33"/>
      <c r="G9167" s="70"/>
      <c r="H9167" s="400"/>
      <c r="I9167" s="239"/>
    </row>
    <row r="9168" spans="6:9" x14ac:dyDescent="0.35">
      <c r="F9168" s="33"/>
      <c r="G9168" s="70"/>
      <c r="H9168" s="400"/>
      <c r="I9168" s="239"/>
    </row>
    <row r="9169" spans="6:9" x14ac:dyDescent="0.35">
      <c r="F9169" s="33"/>
      <c r="G9169" s="70"/>
      <c r="H9169" s="400"/>
      <c r="I9169" s="239"/>
    </row>
    <row r="9170" spans="6:9" x14ac:dyDescent="0.35">
      <c r="F9170" s="33"/>
      <c r="G9170" s="70"/>
      <c r="H9170" s="400"/>
      <c r="I9170" s="239"/>
    </row>
    <row r="9171" spans="6:9" x14ac:dyDescent="0.35">
      <c r="F9171" s="33"/>
      <c r="G9171" s="70"/>
      <c r="H9171" s="400"/>
      <c r="I9171" s="239"/>
    </row>
    <row r="9172" spans="6:9" x14ac:dyDescent="0.35">
      <c r="F9172" s="33"/>
      <c r="G9172" s="70"/>
      <c r="H9172" s="400"/>
      <c r="I9172" s="239"/>
    </row>
    <row r="9173" spans="6:9" x14ac:dyDescent="0.35">
      <c r="F9173" s="33"/>
      <c r="G9173" s="70"/>
      <c r="H9173" s="400"/>
      <c r="I9173" s="239"/>
    </row>
    <row r="9174" spans="6:9" x14ac:dyDescent="0.35">
      <c r="F9174" s="33"/>
      <c r="G9174" s="70"/>
      <c r="H9174" s="400"/>
      <c r="I9174" s="239"/>
    </row>
    <row r="9175" spans="6:9" x14ac:dyDescent="0.35">
      <c r="F9175" s="33"/>
      <c r="G9175" s="70"/>
      <c r="H9175" s="400"/>
      <c r="I9175" s="239"/>
    </row>
    <row r="9176" spans="6:9" x14ac:dyDescent="0.35">
      <c r="F9176" s="33"/>
      <c r="G9176" s="70"/>
      <c r="H9176" s="400"/>
      <c r="I9176" s="239"/>
    </row>
    <row r="9177" spans="6:9" x14ac:dyDescent="0.35">
      <c r="F9177" s="33"/>
      <c r="G9177" s="70"/>
      <c r="H9177" s="400"/>
      <c r="I9177" s="239"/>
    </row>
    <row r="9178" spans="6:9" x14ac:dyDescent="0.35">
      <c r="F9178" s="33"/>
      <c r="G9178" s="70"/>
      <c r="H9178" s="400"/>
      <c r="I9178" s="239"/>
    </row>
    <row r="9179" spans="6:9" x14ac:dyDescent="0.35">
      <c r="F9179" s="33"/>
      <c r="G9179" s="70"/>
      <c r="H9179" s="400"/>
      <c r="I9179" s="239"/>
    </row>
    <row r="9180" spans="6:9" x14ac:dyDescent="0.35">
      <c r="F9180" s="33"/>
      <c r="G9180" s="70"/>
      <c r="H9180" s="400"/>
      <c r="I9180" s="239"/>
    </row>
    <row r="9181" spans="6:9" x14ac:dyDescent="0.35">
      <c r="F9181" s="33"/>
      <c r="G9181" s="70"/>
      <c r="H9181" s="400"/>
      <c r="I9181" s="239"/>
    </row>
    <row r="9182" spans="6:9" x14ac:dyDescent="0.35">
      <c r="F9182" s="33"/>
      <c r="G9182" s="70"/>
      <c r="H9182" s="400"/>
      <c r="I9182" s="239"/>
    </row>
    <row r="9183" spans="6:9" x14ac:dyDescent="0.35">
      <c r="F9183" s="33"/>
      <c r="G9183" s="70"/>
      <c r="H9183" s="400"/>
      <c r="I9183" s="239"/>
    </row>
    <row r="9184" spans="6:9" x14ac:dyDescent="0.35">
      <c r="F9184" s="33"/>
      <c r="G9184" s="70"/>
      <c r="H9184" s="400"/>
      <c r="I9184" s="239"/>
    </row>
    <row r="9185" spans="6:9" x14ac:dyDescent="0.35">
      <c r="F9185" s="33"/>
      <c r="G9185" s="70"/>
      <c r="H9185" s="400"/>
      <c r="I9185" s="239"/>
    </row>
    <row r="9186" spans="6:9" x14ac:dyDescent="0.35">
      <c r="F9186" s="33"/>
      <c r="G9186" s="70"/>
      <c r="H9186" s="400"/>
      <c r="I9186" s="239"/>
    </row>
    <row r="9187" spans="6:9" x14ac:dyDescent="0.35">
      <c r="F9187" s="33"/>
      <c r="G9187" s="70"/>
      <c r="H9187" s="400"/>
      <c r="I9187" s="239"/>
    </row>
    <row r="9188" spans="6:9" x14ac:dyDescent="0.35">
      <c r="F9188" s="33"/>
      <c r="G9188" s="70"/>
      <c r="H9188" s="400"/>
      <c r="I9188" s="239"/>
    </row>
    <row r="9189" spans="6:9" x14ac:dyDescent="0.35">
      <c r="F9189" s="33"/>
      <c r="G9189" s="70"/>
      <c r="H9189" s="400"/>
      <c r="I9189" s="239"/>
    </row>
    <row r="9190" spans="6:9" x14ac:dyDescent="0.35">
      <c r="F9190" s="33"/>
      <c r="G9190" s="70"/>
      <c r="H9190" s="400"/>
      <c r="I9190" s="239"/>
    </row>
    <row r="9191" spans="6:9" x14ac:dyDescent="0.35">
      <c r="F9191" s="33"/>
      <c r="G9191" s="70"/>
      <c r="H9191" s="400"/>
      <c r="I9191" s="239"/>
    </row>
    <row r="9192" spans="6:9" x14ac:dyDescent="0.35">
      <c r="F9192" s="33"/>
      <c r="G9192" s="70"/>
      <c r="H9192" s="400"/>
      <c r="I9192" s="239"/>
    </row>
    <row r="9193" spans="6:9" x14ac:dyDescent="0.35">
      <c r="F9193" s="33"/>
      <c r="G9193" s="70"/>
      <c r="H9193" s="400"/>
      <c r="I9193" s="239"/>
    </row>
    <row r="9194" spans="6:9" x14ac:dyDescent="0.35">
      <c r="F9194" s="33"/>
      <c r="G9194" s="70"/>
      <c r="H9194" s="400"/>
      <c r="I9194" s="239"/>
    </row>
    <row r="9195" spans="6:9" x14ac:dyDescent="0.35">
      <c r="F9195" s="33"/>
      <c r="G9195" s="70"/>
      <c r="H9195" s="400"/>
      <c r="I9195" s="239"/>
    </row>
    <row r="9196" spans="6:9" x14ac:dyDescent="0.35">
      <c r="F9196" s="33"/>
      <c r="G9196" s="70"/>
      <c r="H9196" s="400"/>
      <c r="I9196" s="239"/>
    </row>
    <row r="9197" spans="6:9" x14ac:dyDescent="0.35">
      <c r="F9197" s="33"/>
      <c r="G9197" s="70"/>
      <c r="H9197" s="400"/>
      <c r="I9197" s="239"/>
    </row>
    <row r="9198" spans="6:9" x14ac:dyDescent="0.35">
      <c r="F9198" s="33"/>
      <c r="G9198" s="70"/>
      <c r="H9198" s="400"/>
      <c r="I9198" s="239"/>
    </row>
    <row r="9199" spans="6:9" x14ac:dyDescent="0.35">
      <c r="F9199" s="33"/>
      <c r="G9199" s="70"/>
      <c r="H9199" s="400"/>
      <c r="I9199" s="239"/>
    </row>
    <row r="9200" spans="6:9" x14ac:dyDescent="0.35">
      <c r="F9200" s="33"/>
      <c r="G9200" s="70"/>
      <c r="H9200" s="400"/>
      <c r="I9200" s="239"/>
    </row>
    <row r="9201" spans="6:9" x14ac:dyDescent="0.35">
      <c r="F9201" s="33"/>
      <c r="G9201" s="70"/>
      <c r="H9201" s="400"/>
      <c r="I9201" s="239"/>
    </row>
    <row r="9202" spans="6:9" x14ac:dyDescent="0.35">
      <c r="F9202" s="33"/>
      <c r="G9202" s="70"/>
      <c r="H9202" s="400"/>
      <c r="I9202" s="239"/>
    </row>
    <row r="9203" spans="6:9" x14ac:dyDescent="0.35">
      <c r="F9203" s="33"/>
      <c r="G9203" s="70"/>
      <c r="H9203" s="400"/>
      <c r="I9203" s="239"/>
    </row>
    <row r="9204" spans="6:9" x14ac:dyDescent="0.35">
      <c r="F9204" s="33"/>
      <c r="G9204" s="70"/>
      <c r="H9204" s="400"/>
      <c r="I9204" s="239"/>
    </row>
    <row r="9205" spans="6:9" x14ac:dyDescent="0.35">
      <c r="F9205" s="33"/>
      <c r="G9205" s="70"/>
      <c r="H9205" s="400"/>
      <c r="I9205" s="239"/>
    </row>
    <row r="9206" spans="6:9" x14ac:dyDescent="0.35">
      <c r="F9206" s="33"/>
      <c r="G9206" s="70"/>
      <c r="H9206" s="400"/>
      <c r="I9206" s="239"/>
    </row>
    <row r="9207" spans="6:9" x14ac:dyDescent="0.35">
      <c r="F9207" s="33"/>
      <c r="G9207" s="70"/>
      <c r="H9207" s="400"/>
      <c r="I9207" s="239"/>
    </row>
    <row r="9208" spans="6:9" x14ac:dyDescent="0.35">
      <c r="F9208" s="33"/>
      <c r="G9208" s="70"/>
      <c r="H9208" s="400"/>
      <c r="I9208" s="239"/>
    </row>
    <row r="9209" spans="6:9" x14ac:dyDescent="0.35">
      <c r="F9209" s="33"/>
      <c r="G9209" s="70"/>
      <c r="H9209" s="400"/>
      <c r="I9209" s="239"/>
    </row>
    <row r="9210" spans="6:9" x14ac:dyDescent="0.35">
      <c r="F9210" s="33"/>
      <c r="G9210" s="70"/>
      <c r="H9210" s="400"/>
      <c r="I9210" s="239"/>
    </row>
    <row r="9211" spans="6:9" x14ac:dyDescent="0.35">
      <c r="F9211" s="33"/>
      <c r="G9211" s="70"/>
      <c r="H9211" s="400"/>
      <c r="I9211" s="239"/>
    </row>
    <row r="9212" spans="6:9" x14ac:dyDescent="0.35">
      <c r="F9212" s="33"/>
      <c r="G9212" s="70"/>
      <c r="H9212" s="400"/>
      <c r="I9212" s="239"/>
    </row>
    <row r="9213" spans="6:9" x14ac:dyDescent="0.35">
      <c r="F9213" s="33"/>
      <c r="G9213" s="70"/>
      <c r="H9213" s="400"/>
      <c r="I9213" s="239"/>
    </row>
    <row r="9214" spans="6:9" x14ac:dyDescent="0.35">
      <c r="F9214" s="33"/>
      <c r="G9214" s="70"/>
      <c r="H9214" s="400"/>
      <c r="I9214" s="239"/>
    </row>
    <row r="9215" spans="6:9" x14ac:dyDescent="0.35">
      <c r="F9215" s="33"/>
      <c r="G9215" s="70"/>
      <c r="H9215" s="400"/>
      <c r="I9215" s="239"/>
    </row>
    <row r="9216" spans="6:9" x14ac:dyDescent="0.35">
      <c r="F9216" s="33"/>
      <c r="G9216" s="70"/>
      <c r="H9216" s="400"/>
      <c r="I9216" s="239"/>
    </row>
    <row r="9217" spans="6:9" x14ac:dyDescent="0.35">
      <c r="F9217" s="33"/>
      <c r="G9217" s="70"/>
      <c r="H9217" s="400"/>
      <c r="I9217" s="239"/>
    </row>
    <row r="9218" spans="6:9" x14ac:dyDescent="0.35">
      <c r="F9218" s="33"/>
      <c r="G9218" s="70"/>
      <c r="H9218" s="400"/>
      <c r="I9218" s="239"/>
    </row>
    <row r="9219" spans="6:9" x14ac:dyDescent="0.35">
      <c r="F9219" s="33"/>
      <c r="G9219" s="70"/>
      <c r="H9219" s="400"/>
      <c r="I9219" s="239"/>
    </row>
    <row r="9220" spans="6:9" x14ac:dyDescent="0.35">
      <c r="F9220" s="33"/>
      <c r="G9220" s="70"/>
      <c r="H9220" s="400"/>
      <c r="I9220" s="239"/>
    </row>
    <row r="9221" spans="6:9" x14ac:dyDescent="0.35">
      <c r="F9221" s="33"/>
      <c r="G9221" s="70"/>
      <c r="H9221" s="400"/>
      <c r="I9221" s="239"/>
    </row>
    <row r="9222" spans="6:9" x14ac:dyDescent="0.35">
      <c r="F9222" s="33"/>
      <c r="G9222" s="70"/>
      <c r="H9222" s="400"/>
      <c r="I9222" s="239"/>
    </row>
    <row r="9223" spans="6:9" x14ac:dyDescent="0.35">
      <c r="F9223" s="33"/>
      <c r="G9223" s="70"/>
      <c r="H9223" s="400"/>
      <c r="I9223" s="239"/>
    </row>
    <row r="9224" spans="6:9" x14ac:dyDescent="0.35">
      <c r="F9224" s="33"/>
      <c r="G9224" s="70"/>
      <c r="H9224" s="400"/>
      <c r="I9224" s="239"/>
    </row>
    <row r="9225" spans="6:9" x14ac:dyDescent="0.35">
      <c r="F9225" s="33"/>
      <c r="G9225" s="70"/>
      <c r="H9225" s="400"/>
      <c r="I9225" s="239"/>
    </row>
    <row r="9226" spans="6:9" x14ac:dyDescent="0.35">
      <c r="F9226" s="33"/>
      <c r="G9226" s="70"/>
      <c r="H9226" s="400"/>
      <c r="I9226" s="239"/>
    </row>
    <row r="9227" spans="6:9" x14ac:dyDescent="0.35">
      <c r="F9227" s="33"/>
      <c r="G9227" s="70"/>
      <c r="H9227" s="400"/>
      <c r="I9227" s="239"/>
    </row>
    <row r="9228" spans="6:9" x14ac:dyDescent="0.35">
      <c r="F9228" s="33"/>
      <c r="G9228" s="70"/>
      <c r="H9228" s="400"/>
      <c r="I9228" s="239"/>
    </row>
    <row r="9229" spans="6:9" x14ac:dyDescent="0.35">
      <c r="F9229" s="33"/>
      <c r="G9229" s="70"/>
      <c r="H9229" s="400"/>
      <c r="I9229" s="239"/>
    </row>
    <row r="9230" spans="6:9" x14ac:dyDescent="0.35">
      <c r="F9230" s="33"/>
      <c r="G9230" s="70"/>
      <c r="H9230" s="400"/>
      <c r="I9230" s="239"/>
    </row>
    <row r="9231" spans="6:9" x14ac:dyDescent="0.35">
      <c r="F9231" s="33"/>
      <c r="G9231" s="70"/>
      <c r="H9231" s="400"/>
      <c r="I9231" s="239"/>
    </row>
    <row r="9232" spans="6:9" x14ac:dyDescent="0.35">
      <c r="F9232" s="33"/>
      <c r="G9232" s="70"/>
      <c r="H9232" s="400"/>
      <c r="I9232" s="239"/>
    </row>
    <row r="9233" spans="6:9" x14ac:dyDescent="0.35">
      <c r="F9233" s="33"/>
      <c r="G9233" s="70"/>
      <c r="H9233" s="400"/>
      <c r="I9233" s="239"/>
    </row>
    <row r="9234" spans="6:9" x14ac:dyDescent="0.35">
      <c r="F9234" s="33"/>
      <c r="G9234" s="70"/>
      <c r="H9234" s="400"/>
      <c r="I9234" s="239"/>
    </row>
    <row r="9235" spans="6:9" x14ac:dyDescent="0.35">
      <c r="F9235" s="33"/>
      <c r="G9235" s="70"/>
      <c r="H9235" s="400"/>
      <c r="I9235" s="239"/>
    </row>
    <row r="9236" spans="6:9" x14ac:dyDescent="0.35">
      <c r="F9236" s="33"/>
      <c r="G9236" s="70"/>
      <c r="H9236" s="400"/>
      <c r="I9236" s="239"/>
    </row>
    <row r="9237" spans="6:9" x14ac:dyDescent="0.35">
      <c r="F9237" s="33"/>
      <c r="G9237" s="70"/>
      <c r="H9237" s="400"/>
      <c r="I9237" s="239"/>
    </row>
    <row r="9238" spans="6:9" x14ac:dyDescent="0.35">
      <c r="F9238" s="33"/>
      <c r="G9238" s="70"/>
      <c r="H9238" s="400"/>
      <c r="I9238" s="239"/>
    </row>
    <row r="9239" spans="6:9" x14ac:dyDescent="0.35">
      <c r="F9239" s="33"/>
      <c r="G9239" s="70"/>
      <c r="H9239" s="400"/>
      <c r="I9239" s="239"/>
    </row>
    <row r="9240" spans="6:9" x14ac:dyDescent="0.35">
      <c r="F9240" s="33"/>
      <c r="G9240" s="70"/>
      <c r="H9240" s="400"/>
      <c r="I9240" s="239"/>
    </row>
    <row r="9241" spans="6:9" x14ac:dyDescent="0.35">
      <c r="F9241" s="33"/>
      <c r="G9241" s="70"/>
      <c r="H9241" s="400"/>
      <c r="I9241" s="239"/>
    </row>
    <row r="9242" spans="6:9" x14ac:dyDescent="0.35">
      <c r="F9242" s="33"/>
      <c r="G9242" s="70"/>
      <c r="H9242" s="400"/>
      <c r="I9242" s="239"/>
    </row>
    <row r="9243" spans="6:9" x14ac:dyDescent="0.35">
      <c r="F9243" s="33"/>
      <c r="G9243" s="70"/>
      <c r="H9243" s="400"/>
      <c r="I9243" s="239"/>
    </row>
    <row r="9244" spans="6:9" x14ac:dyDescent="0.35">
      <c r="F9244" s="33"/>
      <c r="G9244" s="70"/>
      <c r="H9244" s="400"/>
      <c r="I9244" s="239"/>
    </row>
    <row r="9245" spans="6:9" x14ac:dyDescent="0.35">
      <c r="F9245" s="33"/>
      <c r="G9245" s="70"/>
      <c r="H9245" s="400"/>
      <c r="I9245" s="239"/>
    </row>
    <row r="9246" spans="6:9" x14ac:dyDescent="0.35">
      <c r="F9246" s="33"/>
      <c r="G9246" s="70"/>
      <c r="H9246" s="400"/>
      <c r="I9246" s="239"/>
    </row>
    <row r="9247" spans="6:9" x14ac:dyDescent="0.35">
      <c r="F9247" s="33"/>
      <c r="G9247" s="70"/>
      <c r="H9247" s="400"/>
      <c r="I9247" s="239"/>
    </row>
    <row r="9248" spans="6:9" x14ac:dyDescent="0.35">
      <c r="F9248" s="33"/>
      <c r="G9248" s="70"/>
      <c r="H9248" s="400"/>
      <c r="I9248" s="239"/>
    </row>
    <row r="9249" spans="6:9" x14ac:dyDescent="0.35">
      <c r="F9249" s="33"/>
      <c r="G9249" s="70"/>
      <c r="H9249" s="400"/>
      <c r="I9249" s="239"/>
    </row>
    <row r="9250" spans="6:9" x14ac:dyDescent="0.35">
      <c r="F9250" s="33"/>
      <c r="G9250" s="70"/>
      <c r="H9250" s="400"/>
      <c r="I9250" s="239"/>
    </row>
    <row r="9251" spans="6:9" x14ac:dyDescent="0.35">
      <c r="F9251" s="33"/>
      <c r="G9251" s="70"/>
      <c r="H9251" s="400"/>
      <c r="I9251" s="239"/>
    </row>
    <row r="9252" spans="6:9" x14ac:dyDescent="0.35">
      <c r="F9252" s="33"/>
      <c r="G9252" s="70"/>
      <c r="H9252" s="400"/>
      <c r="I9252" s="239"/>
    </row>
    <row r="9253" spans="6:9" x14ac:dyDescent="0.35">
      <c r="F9253" s="33"/>
      <c r="G9253" s="70"/>
      <c r="H9253" s="400"/>
      <c r="I9253" s="239"/>
    </row>
    <row r="9254" spans="6:9" x14ac:dyDescent="0.35">
      <c r="F9254" s="33"/>
      <c r="G9254" s="70"/>
      <c r="H9254" s="400"/>
      <c r="I9254" s="239"/>
    </row>
    <row r="9255" spans="6:9" x14ac:dyDescent="0.35">
      <c r="F9255" s="33"/>
      <c r="G9255" s="70"/>
      <c r="H9255" s="400"/>
      <c r="I9255" s="239"/>
    </row>
    <row r="9256" spans="6:9" x14ac:dyDescent="0.35">
      <c r="F9256" s="33"/>
      <c r="G9256" s="70"/>
      <c r="H9256" s="400"/>
      <c r="I9256" s="239"/>
    </row>
    <row r="9257" spans="6:9" x14ac:dyDescent="0.35">
      <c r="F9257" s="33"/>
      <c r="G9257" s="70"/>
      <c r="H9257" s="400"/>
      <c r="I9257" s="239"/>
    </row>
    <row r="9258" spans="6:9" x14ac:dyDescent="0.35">
      <c r="F9258" s="33"/>
      <c r="G9258" s="70"/>
      <c r="H9258" s="400"/>
      <c r="I9258" s="239"/>
    </row>
    <row r="9259" spans="6:9" x14ac:dyDescent="0.35">
      <c r="F9259" s="33"/>
      <c r="G9259" s="70"/>
      <c r="H9259" s="400"/>
      <c r="I9259" s="239"/>
    </row>
    <row r="9260" spans="6:9" x14ac:dyDescent="0.35">
      <c r="F9260" s="33"/>
      <c r="G9260" s="70"/>
      <c r="H9260" s="400"/>
      <c r="I9260" s="239"/>
    </row>
    <row r="9261" spans="6:9" x14ac:dyDescent="0.35">
      <c r="F9261" s="33"/>
      <c r="G9261" s="70"/>
      <c r="H9261" s="400"/>
      <c r="I9261" s="239"/>
    </row>
    <row r="9262" spans="6:9" x14ac:dyDescent="0.35">
      <c r="F9262" s="33"/>
      <c r="G9262" s="70"/>
      <c r="H9262" s="400"/>
      <c r="I9262" s="239"/>
    </row>
    <row r="9263" spans="6:9" x14ac:dyDescent="0.35">
      <c r="F9263" s="33"/>
      <c r="G9263" s="70"/>
      <c r="H9263" s="400"/>
      <c r="I9263" s="239"/>
    </row>
    <row r="9264" spans="6:9" x14ac:dyDescent="0.35">
      <c r="F9264" s="33"/>
      <c r="G9264" s="70"/>
      <c r="H9264" s="400"/>
      <c r="I9264" s="239"/>
    </row>
    <row r="9265" spans="6:9" x14ac:dyDescent="0.35">
      <c r="F9265" s="33"/>
      <c r="G9265" s="70"/>
      <c r="H9265" s="400"/>
      <c r="I9265" s="239"/>
    </row>
    <row r="9266" spans="6:9" x14ac:dyDescent="0.35">
      <c r="F9266" s="33"/>
      <c r="G9266" s="70"/>
      <c r="H9266" s="400"/>
      <c r="I9266" s="239"/>
    </row>
    <row r="9267" spans="6:9" x14ac:dyDescent="0.35">
      <c r="F9267" s="33"/>
      <c r="G9267" s="70"/>
      <c r="H9267" s="400"/>
      <c r="I9267" s="239"/>
    </row>
    <row r="9268" spans="6:9" x14ac:dyDescent="0.35">
      <c r="F9268" s="33"/>
      <c r="G9268" s="70"/>
      <c r="H9268" s="400"/>
      <c r="I9268" s="239"/>
    </row>
    <row r="9269" spans="6:9" x14ac:dyDescent="0.35">
      <c r="F9269" s="33"/>
      <c r="G9269" s="70"/>
      <c r="H9269" s="400"/>
      <c r="I9269" s="239"/>
    </row>
    <row r="9270" spans="6:9" x14ac:dyDescent="0.35">
      <c r="F9270" s="33"/>
      <c r="G9270" s="70"/>
      <c r="H9270" s="400"/>
      <c r="I9270" s="239"/>
    </row>
    <row r="9271" spans="6:9" x14ac:dyDescent="0.35">
      <c r="F9271" s="33"/>
      <c r="G9271" s="70"/>
      <c r="H9271" s="400"/>
      <c r="I9271" s="239"/>
    </row>
    <row r="9272" spans="6:9" x14ac:dyDescent="0.35">
      <c r="F9272" s="33"/>
      <c r="G9272" s="70"/>
      <c r="H9272" s="400"/>
      <c r="I9272" s="239"/>
    </row>
    <row r="9273" spans="6:9" x14ac:dyDescent="0.35">
      <c r="F9273" s="33"/>
      <c r="G9273" s="70"/>
      <c r="H9273" s="400"/>
      <c r="I9273" s="239"/>
    </row>
    <row r="9274" spans="6:9" x14ac:dyDescent="0.35">
      <c r="F9274" s="33"/>
      <c r="G9274" s="70"/>
      <c r="H9274" s="400"/>
      <c r="I9274" s="239"/>
    </row>
    <row r="9275" spans="6:9" x14ac:dyDescent="0.35">
      <c r="F9275" s="33"/>
      <c r="G9275" s="70"/>
      <c r="H9275" s="400"/>
      <c r="I9275" s="239"/>
    </row>
    <row r="9276" spans="6:9" x14ac:dyDescent="0.35">
      <c r="F9276" s="33"/>
      <c r="G9276" s="70"/>
      <c r="H9276" s="400"/>
      <c r="I9276" s="239"/>
    </row>
    <row r="9277" spans="6:9" x14ac:dyDescent="0.35">
      <c r="F9277" s="33"/>
      <c r="G9277" s="70"/>
      <c r="H9277" s="400"/>
      <c r="I9277" s="239"/>
    </row>
    <row r="9278" spans="6:9" x14ac:dyDescent="0.35">
      <c r="F9278" s="33"/>
      <c r="G9278" s="70"/>
      <c r="H9278" s="400"/>
      <c r="I9278" s="239"/>
    </row>
    <row r="9279" spans="6:9" x14ac:dyDescent="0.35">
      <c r="F9279" s="33"/>
      <c r="G9279" s="70"/>
      <c r="H9279" s="400"/>
      <c r="I9279" s="239"/>
    </row>
    <row r="9280" spans="6:9" x14ac:dyDescent="0.35">
      <c r="F9280" s="33"/>
      <c r="G9280" s="70"/>
      <c r="H9280" s="400"/>
      <c r="I9280" s="239"/>
    </row>
    <row r="9281" spans="6:9" x14ac:dyDescent="0.35">
      <c r="F9281" s="33"/>
      <c r="G9281" s="70"/>
      <c r="H9281" s="400"/>
      <c r="I9281" s="239"/>
    </row>
    <row r="9282" spans="6:9" x14ac:dyDescent="0.35">
      <c r="F9282" s="33"/>
      <c r="G9282" s="70"/>
      <c r="H9282" s="400"/>
      <c r="I9282" s="239"/>
    </row>
    <row r="9283" spans="6:9" x14ac:dyDescent="0.35">
      <c r="F9283" s="33"/>
      <c r="G9283" s="70"/>
      <c r="H9283" s="400"/>
      <c r="I9283" s="239"/>
    </row>
    <row r="9284" spans="6:9" x14ac:dyDescent="0.35">
      <c r="F9284" s="33"/>
      <c r="G9284" s="70"/>
      <c r="H9284" s="400"/>
      <c r="I9284" s="239"/>
    </row>
    <row r="9285" spans="6:9" x14ac:dyDescent="0.35">
      <c r="F9285" s="33"/>
      <c r="G9285" s="70"/>
      <c r="H9285" s="400"/>
      <c r="I9285" s="239"/>
    </row>
    <row r="9286" spans="6:9" x14ac:dyDescent="0.35">
      <c r="F9286" s="33"/>
      <c r="G9286" s="70"/>
      <c r="H9286" s="400"/>
      <c r="I9286" s="239"/>
    </row>
    <row r="9287" spans="6:9" x14ac:dyDescent="0.35">
      <c r="F9287" s="33"/>
      <c r="G9287" s="70"/>
      <c r="H9287" s="400"/>
      <c r="I9287" s="239"/>
    </row>
    <row r="9288" spans="6:9" x14ac:dyDescent="0.35">
      <c r="F9288" s="33"/>
      <c r="G9288" s="70"/>
      <c r="H9288" s="400"/>
      <c r="I9288" s="239"/>
    </row>
    <row r="9289" spans="6:9" x14ac:dyDescent="0.35">
      <c r="F9289" s="33"/>
      <c r="G9289" s="70"/>
      <c r="H9289" s="400"/>
      <c r="I9289" s="239"/>
    </row>
    <row r="9290" spans="6:9" x14ac:dyDescent="0.35">
      <c r="F9290" s="33"/>
      <c r="G9290" s="70"/>
      <c r="H9290" s="400"/>
      <c r="I9290" s="239"/>
    </row>
    <row r="9291" spans="6:9" x14ac:dyDescent="0.35">
      <c r="F9291" s="33"/>
      <c r="G9291" s="70"/>
      <c r="H9291" s="400"/>
      <c r="I9291" s="239"/>
    </row>
    <row r="9292" spans="6:9" x14ac:dyDescent="0.35">
      <c r="F9292" s="33"/>
      <c r="G9292" s="70"/>
      <c r="H9292" s="400"/>
      <c r="I9292" s="239"/>
    </row>
    <row r="9293" spans="6:9" x14ac:dyDescent="0.35">
      <c r="F9293" s="33"/>
      <c r="G9293" s="70"/>
      <c r="H9293" s="400"/>
      <c r="I9293" s="239"/>
    </row>
    <row r="9294" spans="6:9" x14ac:dyDescent="0.35">
      <c r="F9294" s="33"/>
      <c r="G9294" s="70"/>
      <c r="H9294" s="400"/>
      <c r="I9294" s="239"/>
    </row>
    <row r="9295" spans="6:9" x14ac:dyDescent="0.35">
      <c r="F9295" s="33"/>
      <c r="G9295" s="70"/>
      <c r="H9295" s="400"/>
      <c r="I9295" s="239"/>
    </row>
    <row r="9296" spans="6:9" x14ac:dyDescent="0.35">
      <c r="F9296" s="33"/>
      <c r="G9296" s="70"/>
      <c r="H9296" s="400"/>
      <c r="I9296" s="239"/>
    </row>
    <row r="9297" spans="6:9" x14ac:dyDescent="0.35">
      <c r="F9297" s="33"/>
      <c r="G9297" s="70"/>
      <c r="H9297" s="400"/>
      <c r="I9297" s="239"/>
    </row>
    <row r="9298" spans="6:9" x14ac:dyDescent="0.35">
      <c r="F9298" s="33"/>
      <c r="G9298" s="70"/>
      <c r="H9298" s="400"/>
      <c r="I9298" s="239"/>
    </row>
    <row r="9299" spans="6:9" x14ac:dyDescent="0.35">
      <c r="F9299" s="33"/>
      <c r="G9299" s="70"/>
      <c r="H9299" s="400"/>
      <c r="I9299" s="239"/>
    </row>
    <row r="9300" spans="6:9" x14ac:dyDescent="0.35">
      <c r="F9300" s="33"/>
      <c r="G9300" s="70"/>
      <c r="H9300" s="400"/>
      <c r="I9300" s="239"/>
    </row>
    <row r="9301" spans="6:9" x14ac:dyDescent="0.35">
      <c r="F9301" s="33"/>
      <c r="G9301" s="70"/>
      <c r="H9301" s="400"/>
      <c r="I9301" s="239"/>
    </row>
    <row r="9302" spans="6:9" x14ac:dyDescent="0.35">
      <c r="F9302" s="33"/>
      <c r="G9302" s="70"/>
      <c r="H9302" s="400"/>
      <c r="I9302" s="239"/>
    </row>
    <row r="9303" spans="6:9" x14ac:dyDescent="0.35">
      <c r="F9303" s="33"/>
      <c r="G9303" s="70"/>
      <c r="H9303" s="400"/>
      <c r="I9303" s="239"/>
    </row>
    <row r="9304" spans="6:9" x14ac:dyDescent="0.35">
      <c r="F9304" s="33"/>
      <c r="G9304" s="70"/>
      <c r="H9304" s="400"/>
      <c r="I9304" s="239"/>
    </row>
    <row r="9305" spans="6:9" x14ac:dyDescent="0.35">
      <c r="F9305" s="33"/>
      <c r="G9305" s="70"/>
      <c r="H9305" s="400"/>
      <c r="I9305" s="239"/>
    </row>
    <row r="9306" spans="6:9" x14ac:dyDescent="0.35">
      <c r="F9306" s="33"/>
      <c r="G9306" s="70"/>
      <c r="H9306" s="400"/>
      <c r="I9306" s="239"/>
    </row>
    <row r="9307" spans="6:9" x14ac:dyDescent="0.35">
      <c r="F9307" s="33"/>
      <c r="G9307" s="70"/>
      <c r="H9307" s="400"/>
      <c r="I9307" s="239"/>
    </row>
    <row r="9308" spans="6:9" x14ac:dyDescent="0.35">
      <c r="F9308" s="33"/>
      <c r="G9308" s="70"/>
      <c r="H9308" s="400"/>
      <c r="I9308" s="239"/>
    </row>
    <row r="9309" spans="6:9" x14ac:dyDescent="0.35">
      <c r="F9309" s="33"/>
      <c r="G9309" s="70"/>
      <c r="H9309" s="400"/>
      <c r="I9309" s="239"/>
    </row>
    <row r="9310" spans="6:9" x14ac:dyDescent="0.35">
      <c r="F9310" s="33"/>
      <c r="G9310" s="70"/>
      <c r="H9310" s="400"/>
      <c r="I9310" s="239"/>
    </row>
    <row r="9311" spans="6:9" x14ac:dyDescent="0.35">
      <c r="F9311" s="33"/>
      <c r="G9311" s="70"/>
      <c r="H9311" s="400"/>
      <c r="I9311" s="239"/>
    </row>
    <row r="9312" spans="6:9" x14ac:dyDescent="0.35">
      <c r="F9312" s="33"/>
      <c r="G9312" s="70"/>
      <c r="H9312" s="400"/>
      <c r="I9312" s="239"/>
    </row>
    <row r="9313" spans="6:9" x14ac:dyDescent="0.35">
      <c r="F9313" s="33"/>
      <c r="G9313" s="70"/>
      <c r="H9313" s="400"/>
      <c r="I9313" s="239"/>
    </row>
    <row r="9314" spans="6:9" x14ac:dyDescent="0.35">
      <c r="F9314" s="33"/>
      <c r="G9314" s="70"/>
      <c r="H9314" s="400"/>
      <c r="I9314" s="239"/>
    </row>
    <row r="9315" spans="6:9" x14ac:dyDescent="0.35">
      <c r="F9315" s="33"/>
      <c r="G9315" s="70"/>
      <c r="H9315" s="400"/>
      <c r="I9315" s="239"/>
    </row>
    <row r="9316" spans="6:9" x14ac:dyDescent="0.35">
      <c r="F9316" s="33"/>
      <c r="G9316" s="70"/>
      <c r="H9316" s="400"/>
      <c r="I9316" s="239"/>
    </row>
    <row r="9317" spans="6:9" x14ac:dyDescent="0.35">
      <c r="F9317" s="33"/>
      <c r="G9317" s="70"/>
      <c r="H9317" s="400"/>
      <c r="I9317" s="239"/>
    </row>
    <row r="9318" spans="6:9" x14ac:dyDescent="0.35">
      <c r="F9318" s="33"/>
      <c r="G9318" s="70"/>
      <c r="H9318" s="400"/>
      <c r="I9318" s="239"/>
    </row>
    <row r="9319" spans="6:9" x14ac:dyDescent="0.35">
      <c r="F9319" s="33"/>
      <c r="G9319" s="70"/>
      <c r="H9319" s="400"/>
      <c r="I9319" s="239"/>
    </row>
    <row r="9320" spans="6:9" x14ac:dyDescent="0.35">
      <c r="F9320" s="33"/>
      <c r="G9320" s="70"/>
      <c r="H9320" s="400"/>
      <c r="I9320" s="239"/>
    </row>
    <row r="9321" spans="6:9" x14ac:dyDescent="0.35">
      <c r="F9321" s="33"/>
      <c r="G9321" s="70"/>
      <c r="H9321" s="400"/>
      <c r="I9321" s="239"/>
    </row>
    <row r="9322" spans="6:9" x14ac:dyDescent="0.35">
      <c r="F9322" s="33"/>
      <c r="G9322" s="70"/>
      <c r="H9322" s="400"/>
      <c r="I9322" s="239"/>
    </row>
    <row r="9323" spans="6:9" x14ac:dyDescent="0.35">
      <c r="F9323" s="33"/>
      <c r="G9323" s="70"/>
      <c r="H9323" s="400"/>
      <c r="I9323" s="239"/>
    </row>
    <row r="9324" spans="6:9" x14ac:dyDescent="0.35">
      <c r="F9324" s="33"/>
      <c r="G9324" s="70"/>
      <c r="H9324" s="400"/>
      <c r="I9324" s="239"/>
    </row>
    <row r="9325" spans="6:9" x14ac:dyDescent="0.35">
      <c r="F9325" s="33"/>
      <c r="G9325" s="70"/>
      <c r="H9325" s="400"/>
      <c r="I9325" s="239"/>
    </row>
    <row r="9326" spans="6:9" x14ac:dyDescent="0.35">
      <c r="F9326" s="33"/>
      <c r="G9326" s="70"/>
      <c r="H9326" s="400"/>
      <c r="I9326" s="239"/>
    </row>
    <row r="9327" spans="6:9" x14ac:dyDescent="0.35">
      <c r="F9327" s="33"/>
      <c r="G9327" s="70"/>
      <c r="H9327" s="400"/>
      <c r="I9327" s="239"/>
    </row>
    <row r="9328" spans="6:9" x14ac:dyDescent="0.35">
      <c r="F9328" s="33"/>
      <c r="G9328" s="70"/>
      <c r="H9328" s="400"/>
      <c r="I9328" s="239"/>
    </row>
    <row r="9329" spans="6:9" x14ac:dyDescent="0.35">
      <c r="F9329" s="33"/>
      <c r="G9329" s="70"/>
      <c r="H9329" s="400"/>
      <c r="I9329" s="239"/>
    </row>
    <row r="9330" spans="6:9" x14ac:dyDescent="0.35">
      <c r="F9330" s="33"/>
      <c r="G9330" s="70"/>
      <c r="H9330" s="400"/>
      <c r="I9330" s="239"/>
    </row>
    <row r="9331" spans="6:9" x14ac:dyDescent="0.35">
      <c r="F9331" s="33"/>
      <c r="G9331" s="70"/>
      <c r="H9331" s="400"/>
      <c r="I9331" s="239"/>
    </row>
    <row r="9332" spans="6:9" x14ac:dyDescent="0.35">
      <c r="F9332" s="33"/>
      <c r="G9332" s="70"/>
      <c r="H9332" s="400"/>
      <c r="I9332" s="239"/>
    </row>
    <row r="9333" spans="6:9" x14ac:dyDescent="0.35">
      <c r="F9333" s="33"/>
      <c r="G9333" s="70"/>
      <c r="H9333" s="400"/>
      <c r="I9333" s="239"/>
    </row>
    <row r="9334" spans="6:9" x14ac:dyDescent="0.35">
      <c r="F9334" s="33"/>
      <c r="G9334" s="70"/>
      <c r="H9334" s="400"/>
      <c r="I9334" s="239"/>
    </row>
    <row r="9335" spans="6:9" x14ac:dyDescent="0.35">
      <c r="F9335" s="33"/>
      <c r="G9335" s="70"/>
      <c r="H9335" s="400"/>
      <c r="I9335" s="239"/>
    </row>
    <row r="9336" spans="6:9" x14ac:dyDescent="0.35">
      <c r="F9336" s="33"/>
      <c r="G9336" s="70"/>
      <c r="H9336" s="400"/>
      <c r="I9336" s="239"/>
    </row>
    <row r="9337" spans="6:9" x14ac:dyDescent="0.35">
      <c r="F9337" s="33"/>
      <c r="G9337" s="70"/>
      <c r="H9337" s="400"/>
      <c r="I9337" s="239"/>
    </row>
    <row r="9338" spans="6:9" x14ac:dyDescent="0.35">
      <c r="F9338" s="33"/>
      <c r="G9338" s="70"/>
      <c r="H9338" s="400"/>
      <c r="I9338" s="239"/>
    </row>
    <row r="9339" spans="6:9" x14ac:dyDescent="0.35">
      <c r="F9339" s="33"/>
      <c r="G9339" s="70"/>
      <c r="H9339" s="400"/>
      <c r="I9339" s="239"/>
    </row>
    <row r="9340" spans="6:9" x14ac:dyDescent="0.35">
      <c r="F9340" s="33"/>
      <c r="G9340" s="70"/>
      <c r="H9340" s="400"/>
      <c r="I9340" s="239"/>
    </row>
    <row r="9341" spans="6:9" x14ac:dyDescent="0.35">
      <c r="F9341" s="33"/>
      <c r="G9341" s="70"/>
      <c r="H9341" s="400"/>
      <c r="I9341" s="239"/>
    </row>
    <row r="9342" spans="6:9" x14ac:dyDescent="0.35">
      <c r="F9342" s="33"/>
      <c r="G9342" s="70"/>
      <c r="H9342" s="400"/>
      <c r="I9342" s="239"/>
    </row>
    <row r="9343" spans="6:9" x14ac:dyDescent="0.35">
      <c r="F9343" s="33"/>
      <c r="G9343" s="70"/>
      <c r="H9343" s="400"/>
      <c r="I9343" s="239"/>
    </row>
    <row r="9344" spans="6:9" x14ac:dyDescent="0.35">
      <c r="F9344" s="33"/>
      <c r="G9344" s="70"/>
      <c r="H9344" s="400"/>
      <c r="I9344" s="239"/>
    </row>
    <row r="9345" spans="6:9" x14ac:dyDescent="0.35">
      <c r="F9345" s="33"/>
      <c r="G9345" s="70"/>
      <c r="H9345" s="400"/>
      <c r="I9345" s="239"/>
    </row>
    <row r="9346" spans="6:9" x14ac:dyDescent="0.35">
      <c r="F9346" s="33"/>
      <c r="G9346" s="70"/>
      <c r="H9346" s="400"/>
      <c r="I9346" s="239"/>
    </row>
    <row r="9347" spans="6:9" x14ac:dyDescent="0.35">
      <c r="F9347" s="33"/>
      <c r="G9347" s="70"/>
      <c r="H9347" s="400"/>
      <c r="I9347" s="239"/>
    </row>
    <row r="9348" spans="6:9" x14ac:dyDescent="0.35">
      <c r="F9348" s="33"/>
      <c r="G9348" s="70"/>
      <c r="H9348" s="400"/>
      <c r="I9348" s="239"/>
    </row>
    <row r="9349" spans="6:9" x14ac:dyDescent="0.35">
      <c r="F9349" s="33"/>
      <c r="G9349" s="70"/>
      <c r="H9349" s="400"/>
      <c r="I9349" s="239"/>
    </row>
    <row r="9350" spans="6:9" x14ac:dyDescent="0.35">
      <c r="F9350" s="33"/>
      <c r="G9350" s="70"/>
      <c r="H9350" s="400"/>
      <c r="I9350" s="239"/>
    </row>
    <row r="9351" spans="6:9" x14ac:dyDescent="0.35">
      <c r="F9351" s="33"/>
      <c r="G9351" s="70"/>
      <c r="H9351" s="400"/>
      <c r="I9351" s="239"/>
    </row>
    <row r="9352" spans="6:9" x14ac:dyDescent="0.35">
      <c r="F9352" s="33"/>
      <c r="G9352" s="70"/>
      <c r="H9352" s="400"/>
      <c r="I9352" s="239"/>
    </row>
    <row r="9353" spans="6:9" x14ac:dyDescent="0.35">
      <c r="F9353" s="33"/>
      <c r="G9353" s="70"/>
      <c r="H9353" s="400"/>
      <c r="I9353" s="239"/>
    </row>
    <row r="9354" spans="6:9" x14ac:dyDescent="0.35">
      <c r="F9354" s="33"/>
      <c r="G9354" s="70"/>
      <c r="H9354" s="400"/>
      <c r="I9354" s="239"/>
    </row>
    <row r="9355" spans="6:9" x14ac:dyDescent="0.35">
      <c r="F9355" s="33"/>
      <c r="G9355" s="70"/>
      <c r="H9355" s="400"/>
      <c r="I9355" s="239"/>
    </row>
    <row r="9356" spans="6:9" x14ac:dyDescent="0.35">
      <c r="F9356" s="33"/>
      <c r="G9356" s="70"/>
      <c r="H9356" s="400"/>
      <c r="I9356" s="239"/>
    </row>
    <row r="9357" spans="6:9" x14ac:dyDescent="0.35">
      <c r="F9357" s="33"/>
      <c r="G9357" s="70"/>
      <c r="H9357" s="400"/>
      <c r="I9357" s="239"/>
    </row>
    <row r="9358" spans="6:9" x14ac:dyDescent="0.35">
      <c r="F9358" s="33"/>
      <c r="G9358" s="70"/>
      <c r="H9358" s="400"/>
      <c r="I9358" s="239"/>
    </row>
    <row r="9359" spans="6:9" x14ac:dyDescent="0.35">
      <c r="F9359" s="33"/>
      <c r="G9359" s="70"/>
      <c r="H9359" s="400"/>
      <c r="I9359" s="239"/>
    </row>
    <row r="9360" spans="6:9" x14ac:dyDescent="0.35">
      <c r="F9360" s="33"/>
      <c r="G9360" s="70"/>
      <c r="H9360" s="400"/>
      <c r="I9360" s="239"/>
    </row>
    <row r="9361" spans="6:9" x14ac:dyDescent="0.35">
      <c r="F9361" s="33"/>
      <c r="G9361" s="70"/>
      <c r="H9361" s="400"/>
      <c r="I9361" s="239"/>
    </row>
    <row r="9362" spans="6:9" x14ac:dyDescent="0.35">
      <c r="F9362" s="33"/>
      <c r="G9362" s="70"/>
      <c r="H9362" s="400"/>
      <c r="I9362" s="239"/>
    </row>
    <row r="9363" spans="6:9" x14ac:dyDescent="0.35">
      <c r="F9363" s="33"/>
      <c r="G9363" s="70"/>
      <c r="H9363" s="400"/>
      <c r="I9363" s="239"/>
    </row>
    <row r="9364" spans="6:9" x14ac:dyDescent="0.35">
      <c r="F9364" s="33"/>
      <c r="G9364" s="70"/>
      <c r="H9364" s="400"/>
      <c r="I9364" s="239"/>
    </row>
    <row r="9365" spans="6:9" x14ac:dyDescent="0.35">
      <c r="F9365" s="33"/>
      <c r="G9365" s="70"/>
      <c r="H9365" s="400"/>
      <c r="I9365" s="239"/>
    </row>
    <row r="9366" spans="6:9" x14ac:dyDescent="0.35">
      <c r="F9366" s="33"/>
      <c r="G9366" s="70"/>
      <c r="H9366" s="400"/>
      <c r="I9366" s="239"/>
    </row>
    <row r="9367" spans="6:9" x14ac:dyDescent="0.35">
      <c r="F9367" s="33"/>
      <c r="G9367" s="70"/>
      <c r="H9367" s="400"/>
      <c r="I9367" s="239"/>
    </row>
    <row r="9368" spans="6:9" x14ac:dyDescent="0.35">
      <c r="F9368" s="33"/>
      <c r="G9368" s="70"/>
      <c r="H9368" s="400"/>
      <c r="I9368" s="239"/>
    </row>
    <row r="9369" spans="6:9" x14ac:dyDescent="0.35">
      <c r="F9369" s="33"/>
      <c r="G9369" s="70"/>
      <c r="H9369" s="400"/>
      <c r="I9369" s="239"/>
    </row>
    <row r="9370" spans="6:9" x14ac:dyDescent="0.35">
      <c r="F9370" s="33"/>
      <c r="G9370" s="70"/>
      <c r="H9370" s="400"/>
      <c r="I9370" s="239"/>
    </row>
    <row r="9371" spans="6:9" x14ac:dyDescent="0.35">
      <c r="F9371" s="33"/>
      <c r="G9371" s="70"/>
      <c r="H9371" s="400"/>
      <c r="I9371" s="239"/>
    </row>
    <row r="9372" spans="6:9" x14ac:dyDescent="0.35">
      <c r="F9372" s="33"/>
      <c r="G9372" s="70"/>
      <c r="H9372" s="400"/>
      <c r="I9372" s="239"/>
    </row>
    <row r="9373" spans="6:9" x14ac:dyDescent="0.35">
      <c r="F9373" s="33"/>
      <c r="G9373" s="70"/>
      <c r="H9373" s="400"/>
      <c r="I9373" s="239"/>
    </row>
    <row r="9374" spans="6:9" x14ac:dyDescent="0.35">
      <c r="F9374" s="33"/>
      <c r="G9374" s="70"/>
      <c r="H9374" s="400"/>
      <c r="I9374" s="239"/>
    </row>
    <row r="9375" spans="6:9" x14ac:dyDescent="0.35">
      <c r="F9375" s="33"/>
      <c r="G9375" s="70"/>
      <c r="H9375" s="400"/>
      <c r="I9375" s="239"/>
    </row>
    <row r="9376" spans="6:9" x14ac:dyDescent="0.35">
      <c r="F9376" s="33"/>
      <c r="G9376" s="70"/>
      <c r="H9376" s="400"/>
      <c r="I9376" s="239"/>
    </row>
    <row r="9377" spans="6:9" x14ac:dyDescent="0.35">
      <c r="F9377" s="33"/>
      <c r="G9377" s="70"/>
      <c r="H9377" s="400"/>
      <c r="I9377" s="239"/>
    </row>
    <row r="9378" spans="6:9" x14ac:dyDescent="0.35">
      <c r="F9378" s="33"/>
      <c r="G9378" s="70"/>
      <c r="H9378" s="400"/>
      <c r="I9378" s="239"/>
    </row>
    <row r="9379" spans="6:9" x14ac:dyDescent="0.35">
      <c r="F9379" s="33"/>
      <c r="G9379" s="70"/>
      <c r="H9379" s="400"/>
      <c r="I9379" s="239"/>
    </row>
    <row r="9380" spans="6:9" x14ac:dyDescent="0.35">
      <c r="F9380" s="33"/>
      <c r="G9380" s="70"/>
      <c r="H9380" s="400"/>
      <c r="I9380" s="239"/>
    </row>
    <row r="9381" spans="6:9" x14ac:dyDescent="0.35">
      <c r="F9381" s="33"/>
      <c r="G9381" s="70"/>
      <c r="H9381" s="400"/>
      <c r="I9381" s="239"/>
    </row>
    <row r="9382" spans="6:9" x14ac:dyDescent="0.35">
      <c r="F9382" s="33"/>
      <c r="G9382" s="70"/>
      <c r="H9382" s="400"/>
      <c r="I9382" s="239"/>
    </row>
    <row r="9383" spans="6:9" x14ac:dyDescent="0.35">
      <c r="F9383" s="33"/>
      <c r="G9383" s="70"/>
      <c r="H9383" s="400"/>
      <c r="I9383" s="239"/>
    </row>
    <row r="9384" spans="6:9" x14ac:dyDescent="0.35">
      <c r="F9384" s="33"/>
      <c r="G9384" s="70"/>
      <c r="H9384" s="400"/>
      <c r="I9384" s="239"/>
    </row>
    <row r="9385" spans="6:9" x14ac:dyDescent="0.35">
      <c r="F9385" s="33"/>
      <c r="G9385" s="70"/>
      <c r="H9385" s="400"/>
      <c r="I9385" s="239"/>
    </row>
    <row r="9386" spans="6:9" x14ac:dyDescent="0.35">
      <c r="F9386" s="33"/>
      <c r="G9386" s="70"/>
      <c r="H9386" s="400"/>
      <c r="I9386" s="239"/>
    </row>
    <row r="9387" spans="6:9" x14ac:dyDescent="0.35">
      <c r="F9387" s="33"/>
      <c r="G9387" s="70"/>
      <c r="H9387" s="400"/>
      <c r="I9387" s="239"/>
    </row>
    <row r="9388" spans="6:9" x14ac:dyDescent="0.35">
      <c r="F9388" s="33"/>
      <c r="G9388" s="70"/>
      <c r="H9388" s="400"/>
      <c r="I9388" s="239"/>
    </row>
    <row r="9389" spans="6:9" x14ac:dyDescent="0.35">
      <c r="F9389" s="33"/>
      <c r="G9389" s="70"/>
      <c r="H9389" s="400"/>
      <c r="I9389" s="239"/>
    </row>
    <row r="9390" spans="6:9" x14ac:dyDescent="0.35">
      <c r="F9390" s="33"/>
      <c r="G9390" s="70"/>
      <c r="H9390" s="400"/>
      <c r="I9390" s="239"/>
    </row>
    <row r="9391" spans="6:9" x14ac:dyDescent="0.35">
      <c r="F9391" s="33"/>
      <c r="G9391" s="70"/>
      <c r="H9391" s="400"/>
      <c r="I9391" s="239"/>
    </row>
    <row r="9392" spans="6:9" x14ac:dyDescent="0.35">
      <c r="F9392" s="33"/>
      <c r="G9392" s="70"/>
      <c r="H9392" s="400"/>
      <c r="I9392" s="239"/>
    </row>
    <row r="9393" spans="6:9" x14ac:dyDescent="0.35">
      <c r="F9393" s="33"/>
      <c r="G9393" s="70"/>
      <c r="H9393" s="400"/>
      <c r="I9393" s="239"/>
    </row>
    <row r="9394" spans="6:9" x14ac:dyDescent="0.35">
      <c r="F9394" s="33"/>
      <c r="G9394" s="70"/>
      <c r="H9394" s="400"/>
      <c r="I9394" s="239"/>
    </row>
    <row r="9395" spans="6:9" x14ac:dyDescent="0.35">
      <c r="F9395" s="33"/>
      <c r="G9395" s="70"/>
      <c r="H9395" s="400"/>
      <c r="I9395" s="239"/>
    </row>
    <row r="9396" spans="6:9" x14ac:dyDescent="0.35">
      <c r="F9396" s="33"/>
      <c r="G9396" s="70"/>
      <c r="H9396" s="400"/>
      <c r="I9396" s="239"/>
    </row>
    <row r="9397" spans="6:9" x14ac:dyDescent="0.35">
      <c r="F9397" s="33"/>
      <c r="G9397" s="70"/>
      <c r="H9397" s="400"/>
      <c r="I9397" s="239"/>
    </row>
    <row r="9398" spans="6:9" x14ac:dyDescent="0.35">
      <c r="F9398" s="33"/>
      <c r="G9398" s="70"/>
      <c r="H9398" s="400"/>
      <c r="I9398" s="239"/>
    </row>
    <row r="9399" spans="6:9" x14ac:dyDescent="0.35">
      <c r="F9399" s="33"/>
      <c r="G9399" s="70"/>
      <c r="H9399" s="400"/>
      <c r="I9399" s="239"/>
    </row>
    <row r="9400" spans="6:9" x14ac:dyDescent="0.35">
      <c r="F9400" s="33"/>
      <c r="G9400" s="70"/>
      <c r="H9400" s="400"/>
      <c r="I9400" s="239"/>
    </row>
    <row r="9401" spans="6:9" x14ac:dyDescent="0.35">
      <c r="F9401" s="33"/>
      <c r="G9401" s="70"/>
      <c r="H9401" s="400"/>
      <c r="I9401" s="239"/>
    </row>
    <row r="9402" spans="6:9" x14ac:dyDescent="0.35">
      <c r="F9402" s="33"/>
      <c r="G9402" s="70"/>
      <c r="H9402" s="400"/>
      <c r="I9402" s="239"/>
    </row>
    <row r="9403" spans="6:9" x14ac:dyDescent="0.35">
      <c r="F9403" s="33"/>
      <c r="G9403" s="70"/>
      <c r="H9403" s="400"/>
      <c r="I9403" s="239"/>
    </row>
    <row r="9404" spans="6:9" x14ac:dyDescent="0.35">
      <c r="F9404" s="33"/>
      <c r="G9404" s="70"/>
      <c r="H9404" s="400"/>
      <c r="I9404" s="239"/>
    </row>
    <row r="9405" spans="6:9" x14ac:dyDescent="0.35">
      <c r="F9405" s="33"/>
      <c r="G9405" s="70"/>
      <c r="H9405" s="400"/>
      <c r="I9405" s="239"/>
    </row>
    <row r="9406" spans="6:9" x14ac:dyDescent="0.35">
      <c r="F9406" s="33"/>
      <c r="G9406" s="70"/>
      <c r="H9406" s="400"/>
      <c r="I9406" s="239"/>
    </row>
    <row r="9407" spans="6:9" x14ac:dyDescent="0.35">
      <c r="F9407" s="33"/>
      <c r="G9407" s="70"/>
      <c r="H9407" s="400"/>
      <c r="I9407" s="239"/>
    </row>
    <row r="9408" spans="6:9" x14ac:dyDescent="0.35">
      <c r="F9408" s="33"/>
      <c r="G9408" s="70"/>
      <c r="H9408" s="400"/>
      <c r="I9408" s="239"/>
    </row>
    <row r="9409" spans="6:9" x14ac:dyDescent="0.35">
      <c r="F9409" s="33"/>
      <c r="G9409" s="70"/>
      <c r="H9409" s="400"/>
      <c r="I9409" s="239"/>
    </row>
    <row r="9410" spans="6:9" x14ac:dyDescent="0.35">
      <c r="F9410" s="33"/>
      <c r="G9410" s="70"/>
      <c r="H9410" s="400"/>
      <c r="I9410" s="239"/>
    </row>
    <row r="9411" spans="6:9" x14ac:dyDescent="0.35">
      <c r="F9411" s="33"/>
      <c r="G9411" s="70"/>
      <c r="H9411" s="400"/>
      <c r="I9411" s="239"/>
    </row>
    <row r="9412" spans="6:9" x14ac:dyDescent="0.35">
      <c r="F9412" s="33"/>
      <c r="G9412" s="70"/>
      <c r="H9412" s="400"/>
      <c r="I9412" s="239"/>
    </row>
    <row r="9413" spans="6:9" x14ac:dyDescent="0.35">
      <c r="F9413" s="33"/>
      <c r="G9413" s="70"/>
      <c r="H9413" s="400"/>
      <c r="I9413" s="239"/>
    </row>
    <row r="9414" spans="6:9" x14ac:dyDescent="0.35">
      <c r="F9414" s="33"/>
      <c r="G9414" s="70"/>
      <c r="H9414" s="400"/>
      <c r="I9414" s="239"/>
    </row>
    <row r="9415" spans="6:9" x14ac:dyDescent="0.35">
      <c r="F9415" s="33"/>
      <c r="G9415" s="70"/>
      <c r="H9415" s="400"/>
      <c r="I9415" s="239"/>
    </row>
    <row r="9416" spans="6:9" x14ac:dyDescent="0.35">
      <c r="F9416" s="33"/>
      <c r="G9416" s="70"/>
      <c r="H9416" s="400"/>
      <c r="I9416" s="239"/>
    </row>
    <row r="9417" spans="6:9" x14ac:dyDescent="0.35">
      <c r="F9417" s="33"/>
      <c r="G9417" s="70"/>
      <c r="H9417" s="400"/>
      <c r="I9417" s="239"/>
    </row>
    <row r="9418" spans="6:9" x14ac:dyDescent="0.35">
      <c r="F9418" s="33"/>
      <c r="G9418" s="70"/>
      <c r="H9418" s="400"/>
      <c r="I9418" s="239"/>
    </row>
    <row r="9419" spans="6:9" x14ac:dyDescent="0.35">
      <c r="F9419" s="33"/>
      <c r="G9419" s="70"/>
      <c r="H9419" s="400"/>
      <c r="I9419" s="239"/>
    </row>
    <row r="9420" spans="6:9" x14ac:dyDescent="0.35">
      <c r="F9420" s="33"/>
      <c r="G9420" s="70"/>
      <c r="H9420" s="400"/>
      <c r="I9420" s="239"/>
    </row>
    <row r="9421" spans="6:9" x14ac:dyDescent="0.35">
      <c r="F9421" s="33"/>
      <c r="G9421" s="70"/>
      <c r="H9421" s="400"/>
      <c r="I9421" s="239"/>
    </row>
    <row r="9422" spans="6:9" x14ac:dyDescent="0.35">
      <c r="F9422" s="33"/>
      <c r="G9422" s="70"/>
      <c r="H9422" s="400"/>
      <c r="I9422" s="239"/>
    </row>
    <row r="9423" spans="6:9" x14ac:dyDescent="0.35">
      <c r="F9423" s="33"/>
      <c r="G9423" s="70"/>
      <c r="H9423" s="400"/>
      <c r="I9423" s="239"/>
    </row>
    <row r="9424" spans="6:9" x14ac:dyDescent="0.35">
      <c r="F9424" s="33"/>
      <c r="G9424" s="70"/>
      <c r="H9424" s="400"/>
      <c r="I9424" s="239"/>
    </row>
    <row r="9425" spans="6:9" x14ac:dyDescent="0.35">
      <c r="F9425" s="33"/>
      <c r="G9425" s="70"/>
      <c r="H9425" s="400"/>
      <c r="I9425" s="239"/>
    </row>
    <row r="9426" spans="6:9" x14ac:dyDescent="0.35">
      <c r="F9426" s="33"/>
      <c r="G9426" s="70"/>
      <c r="H9426" s="400"/>
      <c r="I9426" s="239"/>
    </row>
    <row r="9427" spans="6:9" x14ac:dyDescent="0.35">
      <c r="F9427" s="33"/>
      <c r="G9427" s="70"/>
      <c r="H9427" s="400"/>
      <c r="I9427" s="239"/>
    </row>
    <row r="9428" spans="6:9" x14ac:dyDescent="0.35">
      <c r="F9428" s="33"/>
      <c r="G9428" s="70"/>
      <c r="H9428" s="400"/>
      <c r="I9428" s="239"/>
    </row>
    <row r="9429" spans="6:9" x14ac:dyDescent="0.35">
      <c r="F9429" s="33"/>
      <c r="G9429" s="70"/>
      <c r="H9429" s="400"/>
      <c r="I9429" s="239"/>
    </row>
    <row r="9430" spans="6:9" x14ac:dyDescent="0.35">
      <c r="F9430" s="33"/>
      <c r="G9430" s="70"/>
      <c r="H9430" s="400"/>
      <c r="I9430" s="239"/>
    </row>
    <row r="9431" spans="6:9" x14ac:dyDescent="0.35">
      <c r="F9431" s="33"/>
      <c r="G9431" s="70"/>
      <c r="H9431" s="400"/>
      <c r="I9431" s="239"/>
    </row>
    <row r="9432" spans="6:9" x14ac:dyDescent="0.35">
      <c r="F9432" s="33"/>
      <c r="G9432" s="70"/>
      <c r="H9432" s="400"/>
      <c r="I9432" s="239"/>
    </row>
    <row r="9433" spans="6:9" x14ac:dyDescent="0.35">
      <c r="F9433" s="33"/>
      <c r="G9433" s="70"/>
      <c r="H9433" s="400"/>
      <c r="I9433" s="239"/>
    </row>
    <row r="9434" spans="6:9" x14ac:dyDescent="0.35">
      <c r="F9434" s="33"/>
      <c r="G9434" s="70"/>
      <c r="H9434" s="400"/>
      <c r="I9434" s="239"/>
    </row>
    <row r="9435" spans="6:9" x14ac:dyDescent="0.35">
      <c r="F9435" s="33"/>
      <c r="G9435" s="70"/>
      <c r="H9435" s="400"/>
      <c r="I9435" s="239"/>
    </row>
    <row r="9436" spans="6:9" x14ac:dyDescent="0.35">
      <c r="F9436" s="33"/>
      <c r="G9436" s="70"/>
      <c r="H9436" s="400"/>
      <c r="I9436" s="239"/>
    </row>
    <row r="9437" spans="6:9" x14ac:dyDescent="0.35">
      <c r="F9437" s="33"/>
      <c r="G9437" s="70"/>
      <c r="H9437" s="400"/>
      <c r="I9437" s="239"/>
    </row>
    <row r="9438" spans="6:9" x14ac:dyDescent="0.35">
      <c r="F9438" s="33"/>
      <c r="G9438" s="70"/>
      <c r="H9438" s="400"/>
      <c r="I9438" s="239"/>
    </row>
    <row r="9439" spans="6:9" x14ac:dyDescent="0.35">
      <c r="F9439" s="33"/>
      <c r="G9439" s="70"/>
      <c r="H9439" s="400"/>
      <c r="I9439" s="239"/>
    </row>
    <row r="9440" spans="6:9" x14ac:dyDescent="0.35">
      <c r="F9440" s="33"/>
      <c r="G9440" s="70"/>
      <c r="H9440" s="400"/>
      <c r="I9440" s="239"/>
    </row>
    <row r="9441" spans="6:9" x14ac:dyDescent="0.35">
      <c r="F9441" s="33"/>
      <c r="G9441" s="70"/>
      <c r="H9441" s="400"/>
      <c r="I9441" s="239"/>
    </row>
    <row r="9442" spans="6:9" x14ac:dyDescent="0.35">
      <c r="F9442" s="33"/>
      <c r="G9442" s="70"/>
      <c r="H9442" s="400"/>
      <c r="I9442" s="239"/>
    </row>
    <row r="9443" spans="6:9" x14ac:dyDescent="0.35">
      <c r="F9443" s="33"/>
      <c r="G9443" s="70"/>
      <c r="H9443" s="400"/>
      <c r="I9443" s="239"/>
    </row>
    <row r="9444" spans="6:9" x14ac:dyDescent="0.35">
      <c r="F9444" s="33"/>
      <c r="G9444" s="70"/>
      <c r="H9444" s="400"/>
      <c r="I9444" s="239"/>
    </row>
    <row r="9445" spans="6:9" x14ac:dyDescent="0.35">
      <c r="F9445" s="33"/>
      <c r="G9445" s="70"/>
      <c r="H9445" s="400"/>
      <c r="I9445" s="239"/>
    </row>
    <row r="9446" spans="6:9" x14ac:dyDescent="0.35">
      <c r="F9446" s="33"/>
      <c r="G9446" s="70"/>
      <c r="H9446" s="400"/>
      <c r="I9446" s="239"/>
    </row>
    <row r="9447" spans="6:9" x14ac:dyDescent="0.35">
      <c r="F9447" s="33"/>
      <c r="G9447" s="70"/>
      <c r="H9447" s="400"/>
      <c r="I9447" s="239"/>
    </row>
    <row r="9448" spans="6:9" x14ac:dyDescent="0.35">
      <c r="F9448" s="33"/>
      <c r="G9448" s="70"/>
      <c r="H9448" s="400"/>
      <c r="I9448" s="239"/>
    </row>
    <row r="9449" spans="6:9" x14ac:dyDescent="0.35">
      <c r="F9449" s="33"/>
      <c r="G9449" s="70"/>
      <c r="H9449" s="400"/>
      <c r="I9449" s="239"/>
    </row>
    <row r="9450" spans="6:9" x14ac:dyDescent="0.35">
      <c r="F9450" s="33"/>
      <c r="G9450" s="70"/>
      <c r="H9450" s="400"/>
      <c r="I9450" s="239"/>
    </row>
    <row r="9451" spans="6:9" x14ac:dyDescent="0.35">
      <c r="F9451" s="33"/>
      <c r="G9451" s="70"/>
      <c r="H9451" s="400"/>
      <c r="I9451" s="239"/>
    </row>
    <row r="9452" spans="6:9" x14ac:dyDescent="0.35">
      <c r="F9452" s="33"/>
      <c r="G9452" s="70"/>
      <c r="H9452" s="400"/>
      <c r="I9452" s="239"/>
    </row>
    <row r="9453" spans="6:9" x14ac:dyDescent="0.35">
      <c r="F9453" s="33"/>
      <c r="G9453" s="70"/>
      <c r="H9453" s="400"/>
      <c r="I9453" s="239"/>
    </row>
    <row r="9454" spans="6:9" x14ac:dyDescent="0.35">
      <c r="F9454" s="33"/>
      <c r="G9454" s="70"/>
      <c r="H9454" s="400"/>
      <c r="I9454" s="239"/>
    </row>
    <row r="9455" spans="6:9" x14ac:dyDescent="0.35">
      <c r="F9455" s="33"/>
      <c r="G9455" s="70"/>
      <c r="H9455" s="400"/>
      <c r="I9455" s="239"/>
    </row>
    <row r="9456" spans="6:9" x14ac:dyDescent="0.35">
      <c r="F9456" s="33"/>
      <c r="G9456" s="70"/>
      <c r="H9456" s="400"/>
      <c r="I9456" s="239"/>
    </row>
    <row r="9457" spans="6:9" x14ac:dyDescent="0.35">
      <c r="F9457" s="33"/>
      <c r="G9457" s="70"/>
      <c r="H9457" s="400"/>
      <c r="I9457" s="239"/>
    </row>
    <row r="9458" spans="6:9" x14ac:dyDescent="0.35">
      <c r="F9458" s="33"/>
      <c r="G9458" s="70"/>
      <c r="H9458" s="400"/>
      <c r="I9458" s="239"/>
    </row>
    <row r="9459" spans="6:9" x14ac:dyDescent="0.35">
      <c r="F9459" s="33"/>
      <c r="G9459" s="70"/>
      <c r="H9459" s="400"/>
      <c r="I9459" s="239"/>
    </row>
    <row r="9460" spans="6:9" x14ac:dyDescent="0.35">
      <c r="F9460" s="33"/>
      <c r="G9460" s="70"/>
      <c r="H9460" s="400"/>
      <c r="I9460" s="239"/>
    </row>
    <row r="9461" spans="6:9" x14ac:dyDescent="0.35">
      <c r="F9461" s="33"/>
      <c r="G9461" s="70"/>
      <c r="H9461" s="400"/>
      <c r="I9461" s="239"/>
    </row>
    <row r="9462" spans="6:9" x14ac:dyDescent="0.35">
      <c r="F9462" s="33"/>
      <c r="G9462" s="70"/>
      <c r="H9462" s="400"/>
      <c r="I9462" s="239"/>
    </row>
    <row r="9463" spans="6:9" x14ac:dyDescent="0.35">
      <c r="F9463" s="33"/>
      <c r="G9463" s="70"/>
      <c r="H9463" s="400"/>
      <c r="I9463" s="239"/>
    </row>
    <row r="9464" spans="6:9" x14ac:dyDescent="0.35">
      <c r="F9464" s="33"/>
      <c r="G9464" s="70"/>
      <c r="H9464" s="400"/>
      <c r="I9464" s="239"/>
    </row>
    <row r="9465" spans="6:9" x14ac:dyDescent="0.35">
      <c r="F9465" s="33"/>
      <c r="G9465" s="70"/>
      <c r="H9465" s="400"/>
      <c r="I9465" s="239"/>
    </row>
    <row r="9466" spans="6:9" x14ac:dyDescent="0.35">
      <c r="F9466" s="33"/>
      <c r="G9466" s="70"/>
      <c r="H9466" s="400"/>
      <c r="I9466" s="239"/>
    </row>
    <row r="9467" spans="6:9" x14ac:dyDescent="0.35">
      <c r="F9467" s="33"/>
      <c r="G9467" s="70"/>
      <c r="H9467" s="400"/>
      <c r="I9467" s="239"/>
    </row>
    <row r="9468" spans="6:9" x14ac:dyDescent="0.35">
      <c r="F9468" s="33"/>
      <c r="G9468" s="70"/>
      <c r="H9468" s="400"/>
      <c r="I9468" s="239"/>
    </row>
    <row r="9469" spans="6:9" x14ac:dyDescent="0.35">
      <c r="F9469" s="33"/>
      <c r="G9469" s="70"/>
      <c r="H9469" s="400"/>
      <c r="I9469" s="239"/>
    </row>
    <row r="9470" spans="6:9" x14ac:dyDescent="0.35">
      <c r="F9470" s="33"/>
      <c r="G9470" s="70"/>
      <c r="H9470" s="400"/>
      <c r="I9470" s="239"/>
    </row>
    <row r="9471" spans="6:9" x14ac:dyDescent="0.35">
      <c r="F9471" s="33"/>
      <c r="G9471" s="70"/>
      <c r="H9471" s="400"/>
      <c r="I9471" s="239"/>
    </row>
    <row r="9472" spans="6:9" x14ac:dyDescent="0.35">
      <c r="F9472" s="33"/>
      <c r="G9472" s="70"/>
      <c r="H9472" s="400"/>
      <c r="I9472" s="239"/>
    </row>
    <row r="9473" spans="6:9" x14ac:dyDescent="0.35">
      <c r="F9473" s="33"/>
      <c r="G9473" s="70"/>
      <c r="H9473" s="400"/>
      <c r="I9473" s="239"/>
    </row>
    <row r="9474" spans="6:9" x14ac:dyDescent="0.35">
      <c r="F9474" s="33"/>
      <c r="G9474" s="70"/>
      <c r="H9474" s="400"/>
      <c r="I9474" s="239"/>
    </row>
    <row r="9475" spans="6:9" x14ac:dyDescent="0.35">
      <c r="F9475" s="33"/>
      <c r="G9475" s="70"/>
      <c r="H9475" s="400"/>
      <c r="I9475" s="239"/>
    </row>
    <row r="9476" spans="6:9" x14ac:dyDescent="0.35">
      <c r="F9476" s="33"/>
      <c r="G9476" s="70"/>
      <c r="H9476" s="400"/>
      <c r="I9476" s="239"/>
    </row>
    <row r="9477" spans="6:9" x14ac:dyDescent="0.35">
      <c r="F9477" s="33"/>
      <c r="G9477" s="70"/>
      <c r="H9477" s="400"/>
      <c r="I9477" s="239"/>
    </row>
    <row r="9478" spans="6:9" x14ac:dyDescent="0.35">
      <c r="F9478" s="33"/>
      <c r="G9478" s="70"/>
      <c r="H9478" s="400"/>
      <c r="I9478" s="239"/>
    </row>
    <row r="9479" spans="6:9" x14ac:dyDescent="0.35">
      <c r="F9479" s="33"/>
      <c r="G9479" s="70"/>
      <c r="H9479" s="400"/>
      <c r="I9479" s="239"/>
    </row>
    <row r="9480" spans="6:9" x14ac:dyDescent="0.35">
      <c r="F9480" s="33"/>
      <c r="G9480" s="70"/>
      <c r="H9480" s="400"/>
      <c r="I9480" s="239"/>
    </row>
    <row r="9481" spans="6:9" x14ac:dyDescent="0.35">
      <c r="F9481" s="33"/>
      <c r="G9481" s="70"/>
      <c r="H9481" s="400"/>
      <c r="I9481" s="239"/>
    </row>
    <row r="9482" spans="6:9" x14ac:dyDescent="0.35">
      <c r="F9482" s="33"/>
      <c r="G9482" s="70"/>
      <c r="H9482" s="400"/>
      <c r="I9482" s="239"/>
    </row>
    <row r="9483" spans="6:9" x14ac:dyDescent="0.35">
      <c r="F9483" s="33"/>
      <c r="G9483" s="70"/>
      <c r="H9483" s="400"/>
      <c r="I9483" s="239"/>
    </row>
    <row r="9484" spans="6:9" x14ac:dyDescent="0.35">
      <c r="F9484" s="33"/>
      <c r="G9484" s="70"/>
      <c r="H9484" s="400"/>
      <c r="I9484" s="239"/>
    </row>
    <row r="9485" spans="6:9" x14ac:dyDescent="0.35">
      <c r="F9485" s="33"/>
      <c r="G9485" s="70"/>
      <c r="H9485" s="400"/>
      <c r="I9485" s="239"/>
    </row>
    <row r="9486" spans="6:9" x14ac:dyDescent="0.35">
      <c r="F9486" s="33"/>
      <c r="G9486" s="70"/>
      <c r="H9486" s="400"/>
      <c r="I9486" s="239"/>
    </row>
    <row r="9487" spans="6:9" x14ac:dyDescent="0.35">
      <c r="F9487" s="33"/>
      <c r="G9487" s="70"/>
      <c r="H9487" s="400"/>
      <c r="I9487" s="239"/>
    </row>
    <row r="9488" spans="6:9" x14ac:dyDescent="0.35">
      <c r="F9488" s="33"/>
      <c r="G9488" s="70"/>
      <c r="H9488" s="400"/>
      <c r="I9488" s="239"/>
    </row>
    <row r="9489" spans="6:9" x14ac:dyDescent="0.35">
      <c r="F9489" s="33"/>
      <c r="G9489" s="70"/>
      <c r="H9489" s="400"/>
      <c r="I9489" s="239"/>
    </row>
    <row r="9490" spans="6:9" x14ac:dyDescent="0.35">
      <c r="F9490" s="33"/>
      <c r="G9490" s="70"/>
      <c r="H9490" s="400"/>
      <c r="I9490" s="239"/>
    </row>
    <row r="9491" spans="6:9" x14ac:dyDescent="0.35">
      <c r="F9491" s="33"/>
      <c r="G9491" s="70"/>
      <c r="H9491" s="400"/>
      <c r="I9491" s="239"/>
    </row>
    <row r="9492" spans="6:9" x14ac:dyDescent="0.35">
      <c r="F9492" s="33"/>
      <c r="G9492" s="70"/>
      <c r="H9492" s="400"/>
      <c r="I9492" s="239"/>
    </row>
    <row r="9493" spans="6:9" x14ac:dyDescent="0.35">
      <c r="F9493" s="33"/>
      <c r="G9493" s="70"/>
      <c r="H9493" s="400"/>
      <c r="I9493" s="239"/>
    </row>
    <row r="9494" spans="6:9" x14ac:dyDescent="0.35">
      <c r="F9494" s="33"/>
      <c r="G9494" s="70"/>
      <c r="H9494" s="400"/>
      <c r="I9494" s="239"/>
    </row>
    <row r="9495" spans="6:9" x14ac:dyDescent="0.35">
      <c r="F9495" s="33"/>
      <c r="G9495" s="70"/>
      <c r="H9495" s="400"/>
      <c r="I9495" s="239"/>
    </row>
    <row r="9496" spans="6:9" x14ac:dyDescent="0.35">
      <c r="F9496" s="33"/>
      <c r="G9496" s="70"/>
      <c r="H9496" s="400"/>
      <c r="I9496" s="239"/>
    </row>
    <row r="9497" spans="6:9" x14ac:dyDescent="0.35">
      <c r="F9497" s="33"/>
      <c r="G9497" s="70"/>
      <c r="H9497" s="400"/>
      <c r="I9497" s="239"/>
    </row>
    <row r="9498" spans="6:9" x14ac:dyDescent="0.35">
      <c r="F9498" s="33"/>
      <c r="G9498" s="70"/>
      <c r="H9498" s="400"/>
      <c r="I9498" s="239"/>
    </row>
    <row r="9499" spans="6:9" x14ac:dyDescent="0.35">
      <c r="F9499" s="33"/>
      <c r="G9499" s="70"/>
      <c r="H9499" s="400"/>
      <c r="I9499" s="239"/>
    </row>
    <row r="9500" spans="6:9" x14ac:dyDescent="0.35">
      <c r="F9500" s="33"/>
      <c r="G9500" s="70"/>
      <c r="H9500" s="400"/>
      <c r="I9500" s="239"/>
    </row>
    <row r="9501" spans="6:9" x14ac:dyDescent="0.35">
      <c r="F9501" s="33"/>
      <c r="G9501" s="70"/>
      <c r="H9501" s="400"/>
      <c r="I9501" s="239"/>
    </row>
    <row r="9502" spans="6:9" x14ac:dyDescent="0.35">
      <c r="F9502" s="33"/>
      <c r="G9502" s="70"/>
      <c r="H9502" s="400"/>
      <c r="I9502" s="239"/>
    </row>
    <row r="9503" spans="6:9" x14ac:dyDescent="0.35">
      <c r="F9503" s="33"/>
      <c r="G9503" s="70"/>
      <c r="H9503" s="400"/>
      <c r="I9503" s="239"/>
    </row>
    <row r="9504" spans="6:9" x14ac:dyDescent="0.35">
      <c r="F9504" s="33"/>
      <c r="G9504" s="70"/>
      <c r="H9504" s="400"/>
      <c r="I9504" s="239"/>
    </row>
    <row r="9505" spans="6:9" x14ac:dyDescent="0.35">
      <c r="F9505" s="33"/>
      <c r="G9505" s="70"/>
      <c r="H9505" s="400"/>
      <c r="I9505" s="239"/>
    </row>
    <row r="9506" spans="6:9" x14ac:dyDescent="0.35">
      <c r="F9506" s="33"/>
      <c r="G9506" s="70"/>
      <c r="H9506" s="400"/>
      <c r="I9506" s="239"/>
    </row>
    <row r="9507" spans="6:9" x14ac:dyDescent="0.35">
      <c r="F9507" s="33"/>
      <c r="G9507" s="70"/>
      <c r="H9507" s="400"/>
      <c r="I9507" s="239"/>
    </row>
    <row r="9508" spans="6:9" x14ac:dyDescent="0.35">
      <c r="F9508" s="33"/>
      <c r="G9508" s="70"/>
      <c r="H9508" s="400"/>
      <c r="I9508" s="239"/>
    </row>
    <row r="9509" spans="6:9" x14ac:dyDescent="0.35">
      <c r="F9509" s="33"/>
      <c r="G9509" s="70"/>
      <c r="H9509" s="400"/>
      <c r="I9509" s="239"/>
    </row>
    <row r="9510" spans="6:9" x14ac:dyDescent="0.35">
      <c r="F9510" s="33"/>
      <c r="G9510" s="70"/>
      <c r="H9510" s="400"/>
      <c r="I9510" s="239"/>
    </row>
    <row r="9511" spans="6:9" x14ac:dyDescent="0.35">
      <c r="F9511" s="33"/>
      <c r="G9511" s="70"/>
      <c r="H9511" s="400"/>
      <c r="I9511" s="239"/>
    </row>
    <row r="9512" spans="6:9" x14ac:dyDescent="0.35">
      <c r="F9512" s="33"/>
      <c r="G9512" s="70"/>
      <c r="H9512" s="400"/>
      <c r="I9512" s="239"/>
    </row>
    <row r="9513" spans="6:9" x14ac:dyDescent="0.35">
      <c r="F9513" s="33"/>
      <c r="G9513" s="70"/>
      <c r="H9513" s="400"/>
      <c r="I9513" s="239"/>
    </row>
    <row r="9514" spans="6:9" x14ac:dyDescent="0.35">
      <c r="F9514" s="33"/>
      <c r="G9514" s="70"/>
      <c r="H9514" s="400"/>
      <c r="I9514" s="239"/>
    </row>
    <row r="9515" spans="6:9" x14ac:dyDescent="0.35">
      <c r="F9515" s="33"/>
      <c r="G9515" s="70"/>
      <c r="H9515" s="400"/>
      <c r="I9515" s="239"/>
    </row>
    <row r="9516" spans="6:9" x14ac:dyDescent="0.35">
      <c r="F9516" s="33"/>
      <c r="G9516" s="70"/>
      <c r="H9516" s="400"/>
      <c r="I9516" s="239"/>
    </row>
    <row r="9517" spans="6:9" x14ac:dyDescent="0.35">
      <c r="F9517" s="33"/>
      <c r="G9517" s="70"/>
      <c r="H9517" s="400"/>
      <c r="I9517" s="239"/>
    </row>
    <row r="9518" spans="6:9" x14ac:dyDescent="0.35">
      <c r="F9518" s="33"/>
      <c r="G9518" s="70"/>
      <c r="H9518" s="400"/>
      <c r="I9518" s="239"/>
    </row>
    <row r="9519" spans="6:9" x14ac:dyDescent="0.35">
      <c r="F9519" s="33"/>
      <c r="G9519" s="70"/>
      <c r="H9519" s="400"/>
      <c r="I9519" s="239"/>
    </row>
    <row r="9520" spans="6:9" x14ac:dyDescent="0.35">
      <c r="F9520" s="33"/>
      <c r="G9520" s="70"/>
      <c r="H9520" s="400"/>
      <c r="I9520" s="239"/>
    </row>
    <row r="9521" spans="6:9" x14ac:dyDescent="0.35">
      <c r="F9521" s="33"/>
      <c r="G9521" s="70"/>
      <c r="H9521" s="400"/>
      <c r="I9521" s="239"/>
    </row>
    <row r="9522" spans="6:9" x14ac:dyDescent="0.35">
      <c r="F9522" s="33"/>
      <c r="G9522" s="70"/>
      <c r="H9522" s="400"/>
      <c r="I9522" s="239"/>
    </row>
    <row r="9523" spans="6:9" x14ac:dyDescent="0.35">
      <c r="F9523" s="33"/>
      <c r="G9523" s="70"/>
      <c r="H9523" s="400"/>
      <c r="I9523" s="239"/>
    </row>
    <row r="9524" spans="6:9" x14ac:dyDescent="0.35">
      <c r="F9524" s="33"/>
      <c r="G9524" s="70"/>
      <c r="H9524" s="400"/>
      <c r="I9524" s="239"/>
    </row>
    <row r="9525" spans="6:9" x14ac:dyDescent="0.35">
      <c r="F9525" s="33"/>
      <c r="G9525" s="70"/>
      <c r="H9525" s="400"/>
      <c r="I9525" s="239"/>
    </row>
    <row r="9526" spans="6:9" x14ac:dyDescent="0.35">
      <c r="F9526" s="33"/>
      <c r="G9526" s="70"/>
      <c r="H9526" s="400"/>
      <c r="I9526" s="239"/>
    </row>
    <row r="9527" spans="6:9" x14ac:dyDescent="0.35">
      <c r="F9527" s="33"/>
      <c r="G9527" s="70"/>
      <c r="H9527" s="400"/>
      <c r="I9527" s="239"/>
    </row>
    <row r="9528" spans="6:9" x14ac:dyDescent="0.35">
      <c r="F9528" s="33"/>
      <c r="G9528" s="70"/>
      <c r="H9528" s="400"/>
      <c r="I9528" s="239"/>
    </row>
    <row r="9529" spans="6:9" x14ac:dyDescent="0.35">
      <c r="F9529" s="33"/>
      <c r="G9529" s="70"/>
      <c r="H9529" s="400"/>
      <c r="I9529" s="239"/>
    </row>
    <row r="9530" spans="6:9" x14ac:dyDescent="0.35">
      <c r="F9530" s="33"/>
      <c r="G9530" s="70"/>
      <c r="H9530" s="400"/>
      <c r="I9530" s="239"/>
    </row>
    <row r="9531" spans="6:9" x14ac:dyDescent="0.35">
      <c r="F9531" s="33"/>
      <c r="G9531" s="70"/>
      <c r="H9531" s="400"/>
      <c r="I9531" s="239"/>
    </row>
    <row r="9532" spans="6:9" x14ac:dyDescent="0.35">
      <c r="F9532" s="33"/>
      <c r="G9532" s="70"/>
      <c r="H9532" s="400"/>
      <c r="I9532" s="239"/>
    </row>
    <row r="9533" spans="6:9" x14ac:dyDescent="0.35">
      <c r="F9533" s="33"/>
      <c r="G9533" s="70"/>
      <c r="H9533" s="400"/>
      <c r="I9533" s="239"/>
    </row>
    <row r="9534" spans="6:9" x14ac:dyDescent="0.35">
      <c r="F9534" s="33"/>
      <c r="G9534" s="70"/>
      <c r="H9534" s="400"/>
      <c r="I9534" s="239"/>
    </row>
    <row r="9535" spans="6:9" x14ac:dyDescent="0.35">
      <c r="F9535" s="33"/>
      <c r="G9535" s="70"/>
      <c r="H9535" s="400"/>
      <c r="I9535" s="239"/>
    </row>
    <row r="9536" spans="6:9" x14ac:dyDescent="0.35">
      <c r="F9536" s="33"/>
      <c r="G9536" s="70"/>
      <c r="H9536" s="400"/>
      <c r="I9536" s="239"/>
    </row>
    <row r="9537" spans="6:9" x14ac:dyDescent="0.35">
      <c r="F9537" s="33"/>
      <c r="G9537" s="70"/>
      <c r="H9537" s="400"/>
      <c r="I9537" s="239"/>
    </row>
    <row r="9538" spans="6:9" x14ac:dyDescent="0.35">
      <c r="F9538" s="33"/>
      <c r="G9538" s="70"/>
      <c r="H9538" s="400"/>
      <c r="I9538" s="239"/>
    </row>
    <row r="9539" spans="6:9" x14ac:dyDescent="0.35">
      <c r="F9539" s="33"/>
      <c r="G9539" s="70"/>
      <c r="H9539" s="400"/>
      <c r="I9539" s="239"/>
    </row>
    <row r="9540" spans="6:9" x14ac:dyDescent="0.35">
      <c r="F9540" s="33"/>
      <c r="G9540" s="70"/>
      <c r="H9540" s="400"/>
      <c r="I9540" s="239"/>
    </row>
    <row r="9541" spans="6:9" x14ac:dyDescent="0.35">
      <c r="F9541" s="33"/>
      <c r="G9541" s="70"/>
      <c r="H9541" s="400"/>
      <c r="I9541" s="239"/>
    </row>
    <row r="9542" spans="6:9" x14ac:dyDescent="0.35">
      <c r="F9542" s="33"/>
      <c r="G9542" s="70"/>
      <c r="H9542" s="400"/>
      <c r="I9542" s="239"/>
    </row>
    <row r="9543" spans="6:9" x14ac:dyDescent="0.35">
      <c r="F9543" s="33"/>
      <c r="G9543" s="70"/>
      <c r="H9543" s="400"/>
      <c r="I9543" s="239"/>
    </row>
    <row r="9544" spans="6:9" x14ac:dyDescent="0.35">
      <c r="F9544" s="33"/>
      <c r="G9544" s="70"/>
      <c r="H9544" s="400"/>
      <c r="I9544" s="239"/>
    </row>
    <row r="9545" spans="6:9" x14ac:dyDescent="0.35">
      <c r="F9545" s="33"/>
      <c r="G9545" s="70"/>
      <c r="H9545" s="400"/>
      <c r="I9545" s="239"/>
    </row>
    <row r="9546" spans="6:9" x14ac:dyDescent="0.35">
      <c r="F9546" s="33"/>
      <c r="G9546" s="70"/>
      <c r="H9546" s="400"/>
      <c r="I9546" s="239"/>
    </row>
    <row r="9547" spans="6:9" x14ac:dyDescent="0.35">
      <c r="F9547" s="33"/>
      <c r="G9547" s="70"/>
      <c r="H9547" s="400"/>
      <c r="I9547" s="239"/>
    </row>
    <row r="9548" spans="6:9" x14ac:dyDescent="0.35">
      <c r="F9548" s="33"/>
      <c r="G9548" s="70"/>
      <c r="H9548" s="400"/>
      <c r="I9548" s="239"/>
    </row>
    <row r="9549" spans="6:9" x14ac:dyDescent="0.35">
      <c r="F9549" s="33"/>
      <c r="G9549" s="70"/>
      <c r="H9549" s="400"/>
      <c r="I9549" s="239"/>
    </row>
    <row r="9550" spans="6:9" x14ac:dyDescent="0.35">
      <c r="F9550" s="33"/>
      <c r="G9550" s="70"/>
      <c r="H9550" s="400"/>
      <c r="I9550" s="239"/>
    </row>
    <row r="9551" spans="6:9" x14ac:dyDescent="0.35">
      <c r="F9551" s="33"/>
      <c r="G9551" s="70"/>
      <c r="H9551" s="400"/>
      <c r="I9551" s="239"/>
    </row>
    <row r="9552" spans="6:9" x14ac:dyDescent="0.35">
      <c r="F9552" s="33"/>
      <c r="G9552" s="70"/>
      <c r="H9552" s="400"/>
      <c r="I9552" s="239"/>
    </row>
    <row r="9553" spans="6:9" x14ac:dyDescent="0.35">
      <c r="F9553" s="33"/>
      <c r="G9553" s="70"/>
      <c r="H9553" s="400"/>
      <c r="I9553" s="239"/>
    </row>
    <row r="9554" spans="6:9" x14ac:dyDescent="0.35">
      <c r="F9554" s="33"/>
      <c r="G9554" s="70"/>
      <c r="H9554" s="400"/>
      <c r="I9554" s="239"/>
    </row>
    <row r="9555" spans="6:9" x14ac:dyDescent="0.35">
      <c r="F9555" s="33"/>
      <c r="G9555" s="70"/>
      <c r="H9555" s="400"/>
      <c r="I9555" s="239"/>
    </row>
    <row r="9556" spans="6:9" x14ac:dyDescent="0.35">
      <c r="F9556" s="33"/>
      <c r="G9556" s="70"/>
      <c r="H9556" s="400"/>
      <c r="I9556" s="239"/>
    </row>
    <row r="9557" spans="6:9" x14ac:dyDescent="0.35">
      <c r="F9557" s="33"/>
      <c r="G9557" s="70"/>
      <c r="H9557" s="400"/>
      <c r="I9557" s="239"/>
    </row>
    <row r="9558" spans="6:9" x14ac:dyDescent="0.35">
      <c r="F9558" s="33"/>
      <c r="G9558" s="70"/>
      <c r="H9558" s="400"/>
      <c r="I9558" s="239"/>
    </row>
    <row r="9559" spans="6:9" x14ac:dyDescent="0.35">
      <c r="F9559" s="33"/>
      <c r="G9559" s="70"/>
      <c r="H9559" s="400"/>
      <c r="I9559" s="239"/>
    </row>
    <row r="9560" spans="6:9" x14ac:dyDescent="0.35">
      <c r="F9560" s="33"/>
      <c r="G9560" s="70"/>
      <c r="H9560" s="400"/>
      <c r="I9560" s="239"/>
    </row>
    <row r="9561" spans="6:9" x14ac:dyDescent="0.35">
      <c r="F9561" s="33"/>
      <c r="G9561" s="70"/>
      <c r="H9561" s="400"/>
      <c r="I9561" s="239"/>
    </row>
    <row r="9562" spans="6:9" x14ac:dyDescent="0.35">
      <c r="F9562" s="33"/>
      <c r="G9562" s="70"/>
      <c r="H9562" s="400"/>
      <c r="I9562" s="239"/>
    </row>
    <row r="9563" spans="6:9" x14ac:dyDescent="0.35">
      <c r="F9563" s="33"/>
      <c r="G9563" s="70"/>
      <c r="H9563" s="400"/>
      <c r="I9563" s="239"/>
    </row>
    <row r="9564" spans="6:9" x14ac:dyDescent="0.35">
      <c r="F9564" s="33"/>
      <c r="G9564" s="70"/>
      <c r="H9564" s="400"/>
      <c r="I9564" s="239"/>
    </row>
    <row r="9565" spans="6:9" x14ac:dyDescent="0.35">
      <c r="F9565" s="33"/>
      <c r="G9565" s="70"/>
      <c r="H9565" s="400"/>
      <c r="I9565" s="239"/>
    </row>
    <row r="9566" spans="6:9" x14ac:dyDescent="0.35">
      <c r="F9566" s="33"/>
      <c r="G9566" s="70"/>
      <c r="H9566" s="400"/>
      <c r="I9566" s="239"/>
    </row>
    <row r="9567" spans="6:9" x14ac:dyDescent="0.35">
      <c r="F9567" s="33"/>
      <c r="G9567" s="70"/>
      <c r="H9567" s="400"/>
      <c r="I9567" s="239"/>
    </row>
    <row r="9568" spans="6:9" x14ac:dyDescent="0.35">
      <c r="F9568" s="33"/>
      <c r="G9568" s="70"/>
      <c r="H9568" s="400"/>
      <c r="I9568" s="239"/>
    </row>
    <row r="9569" spans="6:9" x14ac:dyDescent="0.35">
      <c r="F9569" s="33"/>
      <c r="G9569" s="70"/>
      <c r="H9569" s="400"/>
      <c r="I9569" s="239"/>
    </row>
    <row r="9570" spans="6:9" x14ac:dyDescent="0.35">
      <c r="F9570" s="33"/>
      <c r="G9570" s="70"/>
      <c r="H9570" s="400"/>
      <c r="I9570" s="239"/>
    </row>
    <row r="9571" spans="6:9" x14ac:dyDescent="0.35">
      <c r="F9571" s="33"/>
      <c r="G9571" s="70"/>
      <c r="H9571" s="400"/>
      <c r="I9571" s="239"/>
    </row>
    <row r="9572" spans="6:9" x14ac:dyDescent="0.35">
      <c r="F9572" s="33"/>
      <c r="G9572" s="70"/>
      <c r="H9572" s="400"/>
      <c r="I9572" s="239"/>
    </row>
    <row r="9573" spans="6:9" x14ac:dyDescent="0.35">
      <c r="F9573" s="33"/>
      <c r="G9573" s="70"/>
      <c r="H9573" s="400"/>
      <c r="I9573" s="239"/>
    </row>
    <row r="9574" spans="6:9" x14ac:dyDescent="0.35">
      <c r="F9574" s="33"/>
      <c r="G9574" s="70"/>
      <c r="H9574" s="400"/>
      <c r="I9574" s="239"/>
    </row>
    <row r="9575" spans="6:9" x14ac:dyDescent="0.35">
      <c r="F9575" s="33"/>
      <c r="G9575" s="70"/>
      <c r="H9575" s="400"/>
      <c r="I9575" s="239"/>
    </row>
    <row r="9576" spans="6:9" x14ac:dyDescent="0.35">
      <c r="F9576" s="33"/>
      <c r="G9576" s="70"/>
      <c r="H9576" s="400"/>
      <c r="I9576" s="239"/>
    </row>
    <row r="9577" spans="6:9" x14ac:dyDescent="0.35">
      <c r="F9577" s="33"/>
      <c r="G9577" s="70"/>
      <c r="H9577" s="400"/>
      <c r="I9577" s="239"/>
    </row>
    <row r="9578" spans="6:9" x14ac:dyDescent="0.35">
      <c r="F9578" s="33"/>
      <c r="G9578" s="70"/>
      <c r="H9578" s="400"/>
      <c r="I9578" s="239"/>
    </row>
    <row r="9579" spans="6:9" x14ac:dyDescent="0.35">
      <c r="F9579" s="33"/>
      <c r="G9579" s="70"/>
      <c r="H9579" s="400"/>
      <c r="I9579" s="239"/>
    </row>
    <row r="9580" spans="6:9" x14ac:dyDescent="0.35">
      <c r="F9580" s="33"/>
      <c r="G9580" s="70"/>
      <c r="H9580" s="400"/>
      <c r="I9580" s="239"/>
    </row>
    <row r="9581" spans="6:9" x14ac:dyDescent="0.35">
      <c r="F9581" s="33"/>
      <c r="G9581" s="70"/>
      <c r="H9581" s="400"/>
      <c r="I9581" s="239"/>
    </row>
    <row r="9582" spans="6:9" x14ac:dyDescent="0.35">
      <c r="F9582" s="33"/>
      <c r="G9582" s="70"/>
      <c r="H9582" s="400"/>
      <c r="I9582" s="239"/>
    </row>
    <row r="9583" spans="6:9" x14ac:dyDescent="0.35">
      <c r="F9583" s="33"/>
      <c r="G9583" s="70"/>
      <c r="H9583" s="400"/>
      <c r="I9583" s="239"/>
    </row>
    <row r="9584" spans="6:9" x14ac:dyDescent="0.35">
      <c r="F9584" s="33"/>
      <c r="G9584" s="70"/>
      <c r="H9584" s="400"/>
      <c r="I9584" s="239"/>
    </row>
    <row r="9585" spans="6:9" x14ac:dyDescent="0.35">
      <c r="F9585" s="33"/>
      <c r="G9585" s="70"/>
      <c r="H9585" s="400"/>
      <c r="I9585" s="239"/>
    </row>
    <row r="9586" spans="6:9" x14ac:dyDescent="0.35">
      <c r="F9586" s="33"/>
      <c r="G9586" s="70"/>
      <c r="H9586" s="400"/>
      <c r="I9586" s="239"/>
    </row>
    <row r="9587" spans="6:9" x14ac:dyDescent="0.35">
      <c r="F9587" s="33"/>
      <c r="G9587" s="70"/>
      <c r="H9587" s="400"/>
      <c r="I9587" s="239"/>
    </row>
    <row r="9588" spans="6:9" x14ac:dyDescent="0.35">
      <c r="F9588" s="33"/>
      <c r="G9588" s="70"/>
      <c r="H9588" s="400"/>
      <c r="I9588" s="239"/>
    </row>
    <row r="9589" spans="6:9" x14ac:dyDescent="0.35">
      <c r="F9589" s="33"/>
      <c r="G9589" s="70"/>
      <c r="H9589" s="400"/>
      <c r="I9589" s="239"/>
    </row>
    <row r="9590" spans="6:9" x14ac:dyDescent="0.35">
      <c r="F9590" s="33"/>
      <c r="G9590" s="70"/>
      <c r="H9590" s="400"/>
      <c r="I9590" s="239"/>
    </row>
    <row r="9591" spans="6:9" x14ac:dyDescent="0.35">
      <c r="F9591" s="33"/>
      <c r="G9591" s="70"/>
      <c r="H9591" s="400"/>
      <c r="I9591" s="239"/>
    </row>
    <row r="9592" spans="6:9" x14ac:dyDescent="0.35">
      <c r="F9592" s="33"/>
      <c r="G9592" s="70"/>
      <c r="H9592" s="400"/>
      <c r="I9592" s="239"/>
    </row>
    <row r="9593" spans="6:9" x14ac:dyDescent="0.35">
      <c r="F9593" s="33"/>
      <c r="G9593" s="70"/>
      <c r="H9593" s="400"/>
      <c r="I9593" s="239"/>
    </row>
    <row r="9594" spans="6:9" x14ac:dyDescent="0.35">
      <c r="F9594" s="33"/>
      <c r="G9594" s="70"/>
      <c r="H9594" s="400"/>
      <c r="I9594" s="239"/>
    </row>
    <row r="9595" spans="6:9" x14ac:dyDescent="0.35">
      <c r="F9595" s="33"/>
      <c r="G9595" s="70"/>
      <c r="H9595" s="400"/>
      <c r="I9595" s="239"/>
    </row>
    <row r="9596" spans="6:9" x14ac:dyDescent="0.35">
      <c r="F9596" s="33"/>
      <c r="G9596" s="70"/>
      <c r="H9596" s="400"/>
      <c r="I9596" s="239"/>
    </row>
    <row r="9597" spans="6:9" x14ac:dyDescent="0.35">
      <c r="F9597" s="33"/>
      <c r="G9597" s="70"/>
      <c r="H9597" s="400"/>
      <c r="I9597" s="239"/>
    </row>
    <row r="9598" spans="6:9" x14ac:dyDescent="0.35">
      <c r="F9598" s="33"/>
      <c r="G9598" s="70"/>
      <c r="H9598" s="400"/>
      <c r="I9598" s="239"/>
    </row>
    <row r="9599" spans="6:9" x14ac:dyDescent="0.35">
      <c r="F9599" s="33"/>
      <c r="G9599" s="70"/>
      <c r="H9599" s="400"/>
      <c r="I9599" s="239"/>
    </row>
    <row r="9600" spans="6:9" x14ac:dyDescent="0.35">
      <c r="F9600" s="33"/>
      <c r="G9600" s="70"/>
      <c r="H9600" s="400"/>
      <c r="I9600" s="239"/>
    </row>
    <row r="9601" spans="6:9" x14ac:dyDescent="0.35">
      <c r="F9601" s="33"/>
      <c r="G9601" s="70"/>
      <c r="H9601" s="400"/>
      <c r="I9601" s="239"/>
    </row>
    <row r="9602" spans="6:9" x14ac:dyDescent="0.35">
      <c r="F9602" s="33"/>
      <c r="G9602" s="70"/>
      <c r="H9602" s="400"/>
      <c r="I9602" s="239"/>
    </row>
    <row r="9603" spans="6:9" x14ac:dyDescent="0.35">
      <c r="F9603" s="33"/>
      <c r="G9603" s="70"/>
      <c r="H9603" s="400"/>
      <c r="I9603" s="239"/>
    </row>
    <row r="9604" spans="6:9" x14ac:dyDescent="0.35">
      <c r="F9604" s="33"/>
      <c r="G9604" s="70"/>
      <c r="H9604" s="400"/>
      <c r="I9604" s="239"/>
    </row>
    <row r="9605" spans="6:9" x14ac:dyDescent="0.35">
      <c r="F9605" s="33"/>
      <c r="G9605" s="70"/>
      <c r="H9605" s="400"/>
      <c r="I9605" s="239"/>
    </row>
    <row r="9606" spans="6:9" x14ac:dyDescent="0.35">
      <c r="F9606" s="33"/>
      <c r="G9606" s="70"/>
      <c r="H9606" s="400"/>
      <c r="I9606" s="239"/>
    </row>
    <row r="9607" spans="6:9" x14ac:dyDescent="0.35">
      <c r="F9607" s="33"/>
      <c r="G9607" s="70"/>
      <c r="H9607" s="400"/>
      <c r="I9607" s="239"/>
    </row>
    <row r="9608" spans="6:9" x14ac:dyDescent="0.35">
      <c r="F9608" s="33"/>
      <c r="G9608" s="70"/>
      <c r="H9608" s="400"/>
      <c r="I9608" s="239"/>
    </row>
    <row r="9609" spans="6:9" x14ac:dyDescent="0.35">
      <c r="F9609" s="33"/>
      <c r="G9609" s="70"/>
      <c r="H9609" s="400"/>
      <c r="I9609" s="239"/>
    </row>
    <row r="9610" spans="6:9" x14ac:dyDescent="0.35">
      <c r="F9610" s="33"/>
      <c r="G9610" s="70"/>
      <c r="H9610" s="400"/>
      <c r="I9610" s="239"/>
    </row>
    <row r="9611" spans="6:9" x14ac:dyDescent="0.35">
      <c r="F9611" s="33"/>
      <c r="G9611" s="70"/>
      <c r="H9611" s="400"/>
      <c r="I9611" s="239"/>
    </row>
    <row r="9612" spans="6:9" x14ac:dyDescent="0.35">
      <c r="F9612" s="33"/>
      <c r="G9612" s="70"/>
      <c r="H9612" s="400"/>
      <c r="I9612" s="239"/>
    </row>
    <row r="9613" spans="6:9" x14ac:dyDescent="0.35">
      <c r="F9613" s="33"/>
      <c r="G9613" s="70"/>
      <c r="H9613" s="400"/>
      <c r="I9613" s="239"/>
    </row>
    <row r="9614" spans="6:9" x14ac:dyDescent="0.35">
      <c r="F9614" s="33"/>
      <c r="G9614" s="70"/>
      <c r="H9614" s="400"/>
      <c r="I9614" s="239"/>
    </row>
    <row r="9615" spans="6:9" x14ac:dyDescent="0.35">
      <c r="F9615" s="33"/>
      <c r="G9615" s="70"/>
      <c r="H9615" s="400"/>
      <c r="I9615" s="239"/>
    </row>
    <row r="9616" spans="6:9" x14ac:dyDescent="0.35">
      <c r="F9616" s="33"/>
      <c r="G9616" s="70"/>
      <c r="H9616" s="400"/>
      <c r="I9616" s="239"/>
    </row>
    <row r="9617" spans="6:9" x14ac:dyDescent="0.35">
      <c r="F9617" s="33"/>
      <c r="G9617" s="70"/>
      <c r="H9617" s="400"/>
      <c r="I9617" s="239"/>
    </row>
    <row r="9618" spans="6:9" x14ac:dyDescent="0.35">
      <c r="F9618" s="33"/>
      <c r="G9618" s="70"/>
      <c r="H9618" s="400"/>
      <c r="I9618" s="239"/>
    </row>
    <row r="9619" spans="6:9" x14ac:dyDescent="0.35">
      <c r="F9619" s="33"/>
      <c r="G9619" s="70"/>
      <c r="H9619" s="400"/>
      <c r="I9619" s="239"/>
    </row>
    <row r="9620" spans="6:9" x14ac:dyDescent="0.35">
      <c r="F9620" s="33"/>
      <c r="G9620" s="70"/>
      <c r="H9620" s="400"/>
      <c r="I9620" s="239"/>
    </row>
    <row r="9621" spans="6:9" x14ac:dyDescent="0.35">
      <c r="F9621" s="33"/>
      <c r="G9621" s="70"/>
      <c r="H9621" s="400"/>
      <c r="I9621" s="239"/>
    </row>
    <row r="9622" spans="6:9" x14ac:dyDescent="0.35">
      <c r="F9622" s="33"/>
      <c r="G9622" s="70"/>
      <c r="H9622" s="400"/>
      <c r="I9622" s="239"/>
    </row>
    <row r="9623" spans="6:9" x14ac:dyDescent="0.35">
      <c r="F9623" s="33"/>
      <c r="G9623" s="70"/>
      <c r="H9623" s="400"/>
      <c r="I9623" s="239"/>
    </row>
    <row r="9624" spans="6:9" x14ac:dyDescent="0.35">
      <c r="F9624" s="33"/>
      <c r="G9624" s="70"/>
      <c r="H9624" s="400"/>
      <c r="I9624" s="239"/>
    </row>
    <row r="9625" spans="6:9" x14ac:dyDescent="0.35">
      <c r="F9625" s="33"/>
      <c r="G9625" s="70"/>
      <c r="H9625" s="400"/>
      <c r="I9625" s="239"/>
    </row>
    <row r="9626" spans="6:9" x14ac:dyDescent="0.35">
      <c r="F9626" s="33"/>
      <c r="G9626" s="70"/>
      <c r="H9626" s="400"/>
      <c r="I9626" s="239"/>
    </row>
    <row r="9627" spans="6:9" x14ac:dyDescent="0.35">
      <c r="F9627" s="33"/>
      <c r="G9627" s="70"/>
      <c r="H9627" s="400"/>
      <c r="I9627" s="239"/>
    </row>
    <row r="9628" spans="6:9" x14ac:dyDescent="0.35">
      <c r="F9628" s="33"/>
      <c r="G9628" s="70"/>
      <c r="H9628" s="400"/>
      <c r="I9628" s="239"/>
    </row>
    <row r="9629" spans="6:9" x14ac:dyDescent="0.35">
      <c r="F9629" s="33"/>
      <c r="G9629" s="70"/>
      <c r="H9629" s="400"/>
      <c r="I9629" s="239"/>
    </row>
    <row r="9630" spans="6:9" x14ac:dyDescent="0.35">
      <c r="F9630" s="33"/>
      <c r="G9630" s="70"/>
      <c r="H9630" s="400"/>
      <c r="I9630" s="239"/>
    </row>
    <row r="9631" spans="6:9" x14ac:dyDescent="0.35">
      <c r="F9631" s="33"/>
      <c r="G9631" s="70"/>
      <c r="H9631" s="400"/>
      <c r="I9631" s="239"/>
    </row>
    <row r="9632" spans="6:9" x14ac:dyDescent="0.35">
      <c r="F9632" s="33"/>
      <c r="G9632" s="70"/>
      <c r="H9632" s="400"/>
      <c r="I9632" s="239"/>
    </row>
    <row r="9633" spans="6:9" x14ac:dyDescent="0.35">
      <c r="F9633" s="33"/>
      <c r="G9633" s="70"/>
      <c r="H9633" s="400"/>
      <c r="I9633" s="239"/>
    </row>
    <row r="9634" spans="6:9" x14ac:dyDescent="0.35">
      <c r="F9634" s="33"/>
      <c r="G9634" s="70"/>
      <c r="H9634" s="400"/>
      <c r="I9634" s="239"/>
    </row>
    <row r="9635" spans="6:9" x14ac:dyDescent="0.35">
      <c r="F9635" s="33"/>
      <c r="G9635" s="70"/>
      <c r="H9635" s="400"/>
      <c r="I9635" s="239"/>
    </row>
    <row r="9636" spans="6:9" x14ac:dyDescent="0.35">
      <c r="F9636" s="33"/>
      <c r="G9636" s="70"/>
      <c r="H9636" s="400"/>
      <c r="I9636" s="239"/>
    </row>
    <row r="9637" spans="6:9" x14ac:dyDescent="0.35">
      <c r="F9637" s="33"/>
      <c r="G9637" s="70"/>
      <c r="H9637" s="400"/>
      <c r="I9637" s="239"/>
    </row>
    <row r="9638" spans="6:9" x14ac:dyDescent="0.35">
      <c r="F9638" s="33"/>
      <c r="G9638" s="70"/>
      <c r="H9638" s="400"/>
      <c r="I9638" s="239"/>
    </row>
    <row r="9639" spans="6:9" x14ac:dyDescent="0.35">
      <c r="F9639" s="33"/>
      <c r="G9639" s="70"/>
      <c r="H9639" s="400"/>
      <c r="I9639" s="239"/>
    </row>
    <row r="9640" spans="6:9" x14ac:dyDescent="0.35">
      <c r="F9640" s="33"/>
      <c r="G9640" s="70"/>
      <c r="H9640" s="400"/>
      <c r="I9640" s="239"/>
    </row>
    <row r="9641" spans="6:9" x14ac:dyDescent="0.35">
      <c r="F9641" s="33"/>
      <c r="G9641" s="70"/>
      <c r="H9641" s="400"/>
      <c r="I9641" s="239"/>
    </row>
    <row r="9642" spans="6:9" x14ac:dyDescent="0.35">
      <c r="F9642" s="33"/>
      <c r="G9642" s="70"/>
      <c r="H9642" s="400"/>
      <c r="I9642" s="239"/>
    </row>
    <row r="9643" spans="6:9" x14ac:dyDescent="0.35">
      <c r="F9643" s="33"/>
      <c r="G9643" s="70"/>
      <c r="H9643" s="400"/>
      <c r="I9643" s="239"/>
    </row>
    <row r="9644" spans="6:9" x14ac:dyDescent="0.35">
      <c r="F9644" s="33"/>
      <c r="G9644" s="70"/>
      <c r="H9644" s="400"/>
      <c r="I9644" s="239"/>
    </row>
    <row r="9645" spans="6:9" x14ac:dyDescent="0.35">
      <c r="F9645" s="33"/>
      <c r="G9645" s="70"/>
      <c r="H9645" s="400"/>
      <c r="I9645" s="239"/>
    </row>
    <row r="9646" spans="6:9" x14ac:dyDescent="0.35">
      <c r="F9646" s="33"/>
      <c r="G9646" s="70"/>
      <c r="H9646" s="400"/>
      <c r="I9646" s="239"/>
    </row>
    <row r="9647" spans="6:9" x14ac:dyDescent="0.35">
      <c r="F9647" s="33"/>
      <c r="G9647" s="70"/>
      <c r="H9647" s="400"/>
      <c r="I9647" s="239"/>
    </row>
    <row r="9648" spans="6:9" x14ac:dyDescent="0.35">
      <c r="F9648" s="33"/>
      <c r="G9648" s="70"/>
      <c r="H9648" s="400"/>
      <c r="I9648" s="239"/>
    </row>
    <row r="9649" spans="6:9" x14ac:dyDescent="0.35">
      <c r="F9649" s="33"/>
      <c r="G9649" s="70"/>
      <c r="H9649" s="400"/>
      <c r="I9649" s="239"/>
    </row>
    <row r="9650" spans="6:9" x14ac:dyDescent="0.35">
      <c r="F9650" s="33"/>
      <c r="G9650" s="70"/>
      <c r="H9650" s="400"/>
      <c r="I9650" s="239"/>
    </row>
    <row r="9651" spans="6:9" x14ac:dyDescent="0.35">
      <c r="F9651" s="33"/>
      <c r="G9651" s="70"/>
      <c r="H9651" s="400"/>
      <c r="I9651" s="239"/>
    </row>
    <row r="9652" spans="6:9" x14ac:dyDescent="0.35">
      <c r="F9652" s="33"/>
      <c r="G9652" s="70"/>
      <c r="H9652" s="400"/>
      <c r="I9652" s="239"/>
    </row>
    <row r="9653" spans="6:9" x14ac:dyDescent="0.35">
      <c r="F9653" s="33"/>
      <c r="G9653" s="70"/>
      <c r="H9653" s="400"/>
      <c r="I9653" s="239"/>
    </row>
    <row r="9654" spans="6:9" x14ac:dyDescent="0.35">
      <c r="F9654" s="33"/>
      <c r="G9654" s="70"/>
      <c r="H9654" s="400"/>
      <c r="I9654" s="239"/>
    </row>
    <row r="9655" spans="6:9" x14ac:dyDescent="0.35">
      <c r="F9655" s="33"/>
      <c r="G9655" s="70"/>
      <c r="H9655" s="400"/>
      <c r="I9655" s="239"/>
    </row>
    <row r="9656" spans="6:9" x14ac:dyDescent="0.35">
      <c r="F9656" s="33"/>
      <c r="G9656" s="70"/>
      <c r="H9656" s="400"/>
      <c r="I9656" s="239"/>
    </row>
    <row r="9657" spans="6:9" x14ac:dyDescent="0.35">
      <c r="F9657" s="33"/>
      <c r="G9657" s="70"/>
      <c r="H9657" s="400"/>
      <c r="I9657" s="239"/>
    </row>
    <row r="9658" spans="6:9" x14ac:dyDescent="0.35">
      <c r="F9658" s="33"/>
      <c r="G9658" s="70"/>
      <c r="H9658" s="400"/>
      <c r="I9658" s="239"/>
    </row>
    <row r="9659" spans="6:9" x14ac:dyDescent="0.35">
      <c r="F9659" s="33"/>
      <c r="G9659" s="70"/>
      <c r="H9659" s="400"/>
      <c r="I9659" s="239"/>
    </row>
    <row r="9660" spans="6:9" x14ac:dyDescent="0.35">
      <c r="F9660" s="33"/>
      <c r="G9660" s="70"/>
      <c r="H9660" s="400"/>
      <c r="I9660" s="239"/>
    </row>
    <row r="9661" spans="6:9" x14ac:dyDescent="0.35">
      <c r="F9661" s="33"/>
      <c r="G9661" s="70"/>
      <c r="H9661" s="400"/>
      <c r="I9661" s="239"/>
    </row>
    <row r="9662" spans="6:9" x14ac:dyDescent="0.35">
      <c r="F9662" s="33"/>
      <c r="G9662" s="70"/>
      <c r="H9662" s="400"/>
      <c r="I9662" s="239"/>
    </row>
    <row r="9663" spans="6:9" x14ac:dyDescent="0.35">
      <c r="F9663" s="33"/>
      <c r="G9663" s="70"/>
      <c r="H9663" s="400"/>
      <c r="I9663" s="239"/>
    </row>
    <row r="9664" spans="6:9" x14ac:dyDescent="0.35">
      <c r="F9664" s="33"/>
      <c r="G9664" s="70"/>
      <c r="H9664" s="400"/>
      <c r="I9664" s="239"/>
    </row>
    <row r="9665" spans="6:9" x14ac:dyDescent="0.35">
      <c r="F9665" s="33"/>
      <c r="G9665" s="70"/>
      <c r="H9665" s="400"/>
      <c r="I9665" s="239"/>
    </row>
    <row r="9666" spans="6:9" x14ac:dyDescent="0.35">
      <c r="F9666" s="33"/>
      <c r="G9666" s="70"/>
      <c r="H9666" s="400"/>
      <c r="I9666" s="239"/>
    </row>
    <row r="9667" spans="6:9" x14ac:dyDescent="0.35">
      <c r="F9667" s="33"/>
      <c r="G9667" s="70"/>
      <c r="H9667" s="400"/>
      <c r="I9667" s="239"/>
    </row>
    <row r="9668" spans="6:9" x14ac:dyDescent="0.35">
      <c r="F9668" s="33"/>
      <c r="G9668" s="70"/>
      <c r="H9668" s="400"/>
      <c r="I9668" s="239"/>
    </row>
    <row r="9669" spans="6:9" x14ac:dyDescent="0.35">
      <c r="F9669" s="33"/>
      <c r="G9669" s="70"/>
      <c r="H9669" s="400"/>
      <c r="I9669" s="239"/>
    </row>
    <row r="9670" spans="6:9" x14ac:dyDescent="0.35">
      <c r="F9670" s="33"/>
      <c r="G9670" s="70"/>
      <c r="H9670" s="400"/>
      <c r="I9670" s="239"/>
    </row>
    <row r="9671" spans="6:9" x14ac:dyDescent="0.35">
      <c r="F9671" s="33"/>
      <c r="G9671" s="70"/>
      <c r="H9671" s="400"/>
      <c r="I9671" s="239"/>
    </row>
    <row r="9672" spans="6:9" x14ac:dyDescent="0.35">
      <c r="F9672" s="33"/>
      <c r="G9672" s="70"/>
      <c r="H9672" s="400"/>
      <c r="I9672" s="239"/>
    </row>
    <row r="9673" spans="6:9" x14ac:dyDescent="0.35">
      <c r="F9673" s="33"/>
      <c r="G9673" s="70"/>
      <c r="H9673" s="400"/>
      <c r="I9673" s="239"/>
    </row>
    <row r="9674" spans="6:9" x14ac:dyDescent="0.35">
      <c r="F9674" s="33"/>
      <c r="G9674" s="70"/>
      <c r="H9674" s="400"/>
      <c r="I9674" s="239"/>
    </row>
    <row r="9675" spans="6:9" x14ac:dyDescent="0.35">
      <c r="F9675" s="33"/>
      <c r="G9675" s="70"/>
      <c r="H9675" s="400"/>
      <c r="I9675" s="239"/>
    </row>
    <row r="9676" spans="6:9" x14ac:dyDescent="0.35">
      <c r="F9676" s="33"/>
      <c r="G9676" s="70"/>
      <c r="H9676" s="400"/>
      <c r="I9676" s="239"/>
    </row>
    <row r="9677" spans="6:9" x14ac:dyDescent="0.35">
      <c r="F9677" s="33"/>
      <c r="G9677" s="70"/>
      <c r="H9677" s="400"/>
      <c r="I9677" s="239"/>
    </row>
    <row r="9678" spans="6:9" x14ac:dyDescent="0.35">
      <c r="F9678" s="33"/>
      <c r="G9678" s="70"/>
      <c r="H9678" s="400"/>
      <c r="I9678" s="239"/>
    </row>
    <row r="9679" spans="6:9" x14ac:dyDescent="0.35">
      <c r="F9679" s="33"/>
      <c r="G9679" s="70"/>
      <c r="H9679" s="400"/>
      <c r="I9679" s="239"/>
    </row>
    <row r="9680" spans="6:9" x14ac:dyDescent="0.35">
      <c r="F9680" s="33"/>
      <c r="G9680" s="70"/>
      <c r="H9680" s="400"/>
      <c r="I9680" s="239"/>
    </row>
    <row r="9681" spans="6:9" x14ac:dyDescent="0.35">
      <c r="F9681" s="33"/>
      <c r="G9681" s="70"/>
      <c r="H9681" s="400"/>
      <c r="I9681" s="239"/>
    </row>
    <row r="9682" spans="6:9" x14ac:dyDescent="0.35">
      <c r="F9682" s="33"/>
      <c r="G9682" s="70"/>
      <c r="H9682" s="400"/>
      <c r="I9682" s="239"/>
    </row>
    <row r="9683" spans="6:9" x14ac:dyDescent="0.35">
      <c r="F9683" s="33"/>
      <c r="G9683" s="70"/>
      <c r="H9683" s="400"/>
      <c r="I9683" s="239"/>
    </row>
    <row r="9684" spans="6:9" x14ac:dyDescent="0.35">
      <c r="F9684" s="33"/>
      <c r="G9684" s="70"/>
      <c r="H9684" s="400"/>
      <c r="I9684" s="239"/>
    </row>
    <row r="9685" spans="6:9" x14ac:dyDescent="0.35">
      <c r="F9685" s="33"/>
      <c r="G9685" s="70"/>
      <c r="H9685" s="400"/>
      <c r="I9685" s="239"/>
    </row>
    <row r="9686" spans="6:9" x14ac:dyDescent="0.35">
      <c r="F9686" s="33"/>
      <c r="G9686" s="70"/>
      <c r="H9686" s="400"/>
      <c r="I9686" s="239"/>
    </row>
    <row r="9687" spans="6:9" x14ac:dyDescent="0.35">
      <c r="F9687" s="33"/>
      <c r="G9687" s="70"/>
      <c r="H9687" s="400"/>
      <c r="I9687" s="239"/>
    </row>
    <row r="9688" spans="6:9" x14ac:dyDescent="0.35">
      <c r="F9688" s="33"/>
      <c r="G9688" s="70"/>
      <c r="H9688" s="400"/>
      <c r="I9688" s="239"/>
    </row>
    <row r="9689" spans="6:9" x14ac:dyDescent="0.35">
      <c r="F9689" s="33"/>
      <c r="G9689" s="70"/>
      <c r="H9689" s="400"/>
      <c r="I9689" s="239"/>
    </row>
    <row r="9690" spans="6:9" x14ac:dyDescent="0.35">
      <c r="F9690" s="33"/>
      <c r="G9690" s="70"/>
      <c r="H9690" s="400"/>
      <c r="I9690" s="239"/>
    </row>
    <row r="9691" spans="6:9" x14ac:dyDescent="0.35">
      <c r="F9691" s="33"/>
      <c r="G9691" s="70"/>
      <c r="H9691" s="400"/>
      <c r="I9691" s="239"/>
    </row>
    <row r="9692" spans="6:9" x14ac:dyDescent="0.35">
      <c r="F9692" s="33"/>
      <c r="G9692" s="70"/>
      <c r="H9692" s="400"/>
      <c r="I9692" s="239"/>
    </row>
    <row r="9693" spans="6:9" x14ac:dyDescent="0.35">
      <c r="F9693" s="33"/>
      <c r="G9693" s="70"/>
      <c r="H9693" s="400"/>
      <c r="I9693" s="239"/>
    </row>
    <row r="9694" spans="6:9" x14ac:dyDescent="0.35">
      <c r="F9694" s="33"/>
      <c r="G9694" s="70"/>
      <c r="H9694" s="400"/>
      <c r="I9694" s="239"/>
    </row>
    <row r="9695" spans="6:9" x14ac:dyDescent="0.35">
      <c r="F9695" s="33"/>
      <c r="G9695" s="70"/>
      <c r="H9695" s="400"/>
      <c r="I9695" s="239"/>
    </row>
    <row r="9696" spans="6:9" x14ac:dyDescent="0.35">
      <c r="F9696" s="33"/>
      <c r="G9696" s="70"/>
      <c r="H9696" s="400"/>
      <c r="I9696" s="239"/>
    </row>
    <row r="9697" spans="6:9" x14ac:dyDescent="0.35">
      <c r="F9697" s="33"/>
      <c r="G9697" s="70"/>
      <c r="H9697" s="400"/>
      <c r="I9697" s="239"/>
    </row>
    <row r="9698" spans="6:9" x14ac:dyDescent="0.35">
      <c r="F9698" s="33"/>
      <c r="G9698" s="70"/>
      <c r="H9698" s="400"/>
      <c r="I9698" s="239"/>
    </row>
    <row r="9699" spans="6:9" x14ac:dyDescent="0.35">
      <c r="F9699" s="33"/>
      <c r="G9699" s="70"/>
      <c r="H9699" s="400"/>
      <c r="I9699" s="239"/>
    </row>
    <row r="9700" spans="6:9" x14ac:dyDescent="0.35">
      <c r="F9700" s="33"/>
      <c r="G9700" s="70"/>
      <c r="H9700" s="400"/>
      <c r="I9700" s="239"/>
    </row>
    <row r="9701" spans="6:9" x14ac:dyDescent="0.35">
      <c r="F9701" s="33"/>
      <c r="G9701" s="70"/>
      <c r="H9701" s="400"/>
      <c r="I9701" s="239"/>
    </row>
    <row r="9702" spans="6:9" x14ac:dyDescent="0.35">
      <c r="F9702" s="33"/>
      <c r="G9702" s="70"/>
      <c r="H9702" s="400"/>
      <c r="I9702" s="239"/>
    </row>
    <row r="9703" spans="6:9" x14ac:dyDescent="0.35">
      <c r="F9703" s="33"/>
      <c r="G9703" s="70"/>
      <c r="H9703" s="400"/>
      <c r="I9703" s="239"/>
    </row>
    <row r="9704" spans="6:9" x14ac:dyDescent="0.35">
      <c r="F9704" s="33"/>
      <c r="G9704" s="70"/>
      <c r="H9704" s="400"/>
      <c r="I9704" s="239"/>
    </row>
    <row r="9705" spans="6:9" x14ac:dyDescent="0.35">
      <c r="F9705" s="33"/>
      <c r="G9705" s="70"/>
      <c r="H9705" s="400"/>
      <c r="I9705" s="239"/>
    </row>
    <row r="9706" spans="6:9" x14ac:dyDescent="0.35">
      <c r="F9706" s="33"/>
      <c r="G9706" s="70"/>
      <c r="H9706" s="400"/>
      <c r="I9706" s="239"/>
    </row>
    <row r="9707" spans="6:9" x14ac:dyDescent="0.35">
      <c r="F9707" s="33"/>
      <c r="G9707" s="70"/>
      <c r="H9707" s="400"/>
      <c r="I9707" s="239"/>
    </row>
    <row r="9708" spans="6:9" x14ac:dyDescent="0.35">
      <c r="F9708" s="33"/>
      <c r="G9708" s="70"/>
      <c r="H9708" s="400"/>
      <c r="I9708" s="239"/>
    </row>
    <row r="9709" spans="6:9" x14ac:dyDescent="0.35">
      <c r="F9709" s="33"/>
      <c r="G9709" s="70"/>
      <c r="H9709" s="400"/>
      <c r="I9709" s="239"/>
    </row>
    <row r="9710" spans="6:9" x14ac:dyDescent="0.35">
      <c r="F9710" s="33"/>
      <c r="G9710" s="70"/>
      <c r="H9710" s="400"/>
      <c r="I9710" s="239"/>
    </row>
    <row r="9711" spans="6:9" x14ac:dyDescent="0.35">
      <c r="F9711" s="33"/>
      <c r="G9711" s="70"/>
      <c r="H9711" s="400"/>
      <c r="I9711" s="239"/>
    </row>
    <row r="9712" spans="6:9" x14ac:dyDescent="0.35">
      <c r="F9712" s="33"/>
      <c r="G9712" s="70"/>
      <c r="H9712" s="400"/>
      <c r="I9712" s="239"/>
    </row>
    <row r="9713" spans="6:9" x14ac:dyDescent="0.35">
      <c r="F9713" s="33"/>
      <c r="G9713" s="70"/>
      <c r="H9713" s="400"/>
      <c r="I9713" s="239"/>
    </row>
    <row r="9714" spans="6:9" x14ac:dyDescent="0.35">
      <c r="F9714" s="33"/>
      <c r="G9714" s="70"/>
      <c r="H9714" s="400"/>
      <c r="I9714" s="239"/>
    </row>
    <row r="9715" spans="6:9" x14ac:dyDescent="0.35">
      <c r="F9715" s="33"/>
      <c r="G9715" s="70"/>
      <c r="H9715" s="400"/>
      <c r="I9715" s="239"/>
    </row>
    <row r="9716" spans="6:9" x14ac:dyDescent="0.35">
      <c r="F9716" s="33"/>
      <c r="G9716" s="70"/>
      <c r="H9716" s="400"/>
      <c r="I9716" s="239"/>
    </row>
    <row r="9717" spans="6:9" x14ac:dyDescent="0.35">
      <c r="F9717" s="33"/>
      <c r="G9717" s="70"/>
      <c r="H9717" s="400"/>
      <c r="I9717" s="239"/>
    </row>
    <row r="9718" spans="6:9" x14ac:dyDescent="0.35">
      <c r="F9718" s="33"/>
      <c r="G9718" s="70"/>
      <c r="H9718" s="400"/>
      <c r="I9718" s="239"/>
    </row>
    <row r="9719" spans="6:9" x14ac:dyDescent="0.35">
      <c r="F9719" s="33"/>
      <c r="G9719" s="70"/>
      <c r="H9719" s="400"/>
      <c r="I9719" s="239"/>
    </row>
    <row r="9720" spans="6:9" x14ac:dyDescent="0.35">
      <c r="F9720" s="33"/>
      <c r="G9720" s="70"/>
      <c r="H9720" s="400"/>
      <c r="I9720" s="239"/>
    </row>
    <row r="9721" spans="6:9" x14ac:dyDescent="0.35">
      <c r="F9721" s="33"/>
      <c r="G9721" s="70"/>
      <c r="H9721" s="400"/>
      <c r="I9721" s="239"/>
    </row>
    <row r="9722" spans="6:9" x14ac:dyDescent="0.35">
      <c r="F9722" s="33"/>
      <c r="G9722" s="70"/>
      <c r="H9722" s="400"/>
      <c r="I9722" s="239"/>
    </row>
    <row r="9723" spans="6:9" x14ac:dyDescent="0.35">
      <c r="F9723" s="33"/>
      <c r="G9723" s="70"/>
      <c r="H9723" s="400"/>
      <c r="I9723" s="239"/>
    </row>
    <row r="9724" spans="6:9" x14ac:dyDescent="0.35">
      <c r="F9724" s="33"/>
      <c r="G9724" s="70"/>
      <c r="H9724" s="400"/>
      <c r="I9724" s="239"/>
    </row>
    <row r="9725" spans="6:9" x14ac:dyDescent="0.35">
      <c r="F9725" s="33"/>
      <c r="G9725" s="70"/>
      <c r="H9725" s="400"/>
      <c r="I9725" s="239"/>
    </row>
    <row r="9726" spans="6:9" x14ac:dyDescent="0.35">
      <c r="F9726" s="33"/>
      <c r="G9726" s="70"/>
      <c r="H9726" s="400"/>
      <c r="I9726" s="239"/>
    </row>
    <row r="9727" spans="6:9" x14ac:dyDescent="0.35">
      <c r="F9727" s="33"/>
      <c r="G9727" s="70"/>
      <c r="H9727" s="400"/>
      <c r="I9727" s="239"/>
    </row>
    <row r="9728" spans="6:9" x14ac:dyDescent="0.35">
      <c r="F9728" s="33"/>
      <c r="G9728" s="70"/>
      <c r="H9728" s="400"/>
      <c r="I9728" s="239"/>
    </row>
    <row r="9729" spans="6:9" x14ac:dyDescent="0.35">
      <c r="F9729" s="33"/>
      <c r="G9729" s="70"/>
      <c r="H9729" s="400"/>
      <c r="I9729" s="239"/>
    </row>
    <row r="9730" spans="6:9" x14ac:dyDescent="0.35">
      <c r="F9730" s="33"/>
      <c r="G9730" s="70"/>
      <c r="H9730" s="400"/>
      <c r="I9730" s="239"/>
    </row>
    <row r="9731" spans="6:9" x14ac:dyDescent="0.35">
      <c r="F9731" s="33"/>
      <c r="G9731" s="70"/>
      <c r="H9731" s="400"/>
      <c r="I9731" s="239"/>
    </row>
    <row r="9732" spans="6:9" x14ac:dyDescent="0.35">
      <c r="F9732" s="33"/>
      <c r="G9732" s="70"/>
      <c r="H9732" s="400"/>
      <c r="I9732" s="239"/>
    </row>
    <row r="9733" spans="6:9" x14ac:dyDescent="0.35">
      <c r="F9733" s="33"/>
      <c r="G9733" s="70"/>
      <c r="H9733" s="400"/>
      <c r="I9733" s="239"/>
    </row>
    <row r="9734" spans="6:9" x14ac:dyDescent="0.35">
      <c r="F9734" s="33"/>
      <c r="G9734" s="70"/>
      <c r="H9734" s="400"/>
      <c r="I9734" s="239"/>
    </row>
    <row r="9735" spans="6:9" x14ac:dyDescent="0.35">
      <c r="F9735" s="33"/>
      <c r="G9735" s="70"/>
      <c r="H9735" s="400"/>
      <c r="I9735" s="239"/>
    </row>
    <row r="9736" spans="6:9" x14ac:dyDescent="0.35">
      <c r="F9736" s="33"/>
      <c r="G9736" s="70"/>
      <c r="H9736" s="400"/>
      <c r="I9736" s="239"/>
    </row>
    <row r="9737" spans="6:9" x14ac:dyDescent="0.35">
      <c r="F9737" s="33"/>
      <c r="G9737" s="70"/>
      <c r="H9737" s="400"/>
      <c r="I9737" s="239"/>
    </row>
    <row r="9738" spans="6:9" x14ac:dyDescent="0.35">
      <c r="F9738" s="33"/>
      <c r="G9738" s="70"/>
      <c r="H9738" s="400"/>
      <c r="I9738" s="239"/>
    </row>
    <row r="9739" spans="6:9" x14ac:dyDescent="0.35">
      <c r="F9739" s="33"/>
      <c r="G9739" s="70"/>
      <c r="H9739" s="400"/>
      <c r="I9739" s="239"/>
    </row>
    <row r="9740" spans="6:9" x14ac:dyDescent="0.35">
      <c r="F9740" s="33"/>
      <c r="G9740" s="70"/>
      <c r="H9740" s="400"/>
      <c r="I9740" s="239"/>
    </row>
    <row r="9741" spans="6:9" x14ac:dyDescent="0.35">
      <c r="F9741" s="33"/>
      <c r="G9741" s="70"/>
      <c r="H9741" s="400"/>
      <c r="I9741" s="239"/>
    </row>
    <row r="9742" spans="6:9" x14ac:dyDescent="0.35">
      <c r="F9742" s="33"/>
      <c r="G9742" s="70"/>
      <c r="H9742" s="400"/>
      <c r="I9742" s="239"/>
    </row>
    <row r="9743" spans="6:9" x14ac:dyDescent="0.35">
      <c r="F9743" s="33"/>
      <c r="G9743" s="70"/>
      <c r="H9743" s="400"/>
      <c r="I9743" s="239"/>
    </row>
    <row r="9744" spans="6:9" x14ac:dyDescent="0.35">
      <c r="F9744" s="33"/>
      <c r="G9744" s="70"/>
      <c r="H9744" s="400"/>
      <c r="I9744" s="239"/>
    </row>
    <row r="9745" spans="6:9" x14ac:dyDescent="0.35">
      <c r="F9745" s="33"/>
      <c r="G9745" s="70"/>
      <c r="H9745" s="400"/>
      <c r="I9745" s="239"/>
    </row>
    <row r="9746" spans="6:9" x14ac:dyDescent="0.35">
      <c r="F9746" s="33"/>
      <c r="G9746" s="70"/>
      <c r="H9746" s="400"/>
      <c r="I9746" s="239"/>
    </row>
    <row r="9747" spans="6:9" x14ac:dyDescent="0.35">
      <c r="F9747" s="33"/>
      <c r="G9747" s="70"/>
      <c r="H9747" s="400"/>
      <c r="I9747" s="239"/>
    </row>
    <row r="9748" spans="6:9" x14ac:dyDescent="0.35">
      <c r="F9748" s="33"/>
      <c r="G9748" s="70"/>
      <c r="H9748" s="400"/>
      <c r="I9748" s="239"/>
    </row>
    <row r="9749" spans="6:9" x14ac:dyDescent="0.35">
      <c r="F9749" s="33"/>
      <c r="G9749" s="70"/>
      <c r="H9749" s="400"/>
      <c r="I9749" s="239"/>
    </row>
    <row r="9750" spans="6:9" x14ac:dyDescent="0.35">
      <c r="F9750" s="33"/>
      <c r="G9750" s="70"/>
      <c r="H9750" s="400"/>
      <c r="I9750" s="239"/>
    </row>
    <row r="9751" spans="6:9" x14ac:dyDescent="0.35">
      <c r="F9751" s="33"/>
      <c r="G9751" s="70"/>
      <c r="H9751" s="400"/>
      <c r="I9751" s="239"/>
    </row>
    <row r="9752" spans="6:9" x14ac:dyDescent="0.35">
      <c r="F9752" s="33"/>
      <c r="G9752" s="70"/>
      <c r="H9752" s="400"/>
      <c r="I9752" s="239"/>
    </row>
    <row r="9753" spans="6:9" x14ac:dyDescent="0.35">
      <c r="F9753" s="33"/>
      <c r="G9753" s="70"/>
      <c r="H9753" s="400"/>
      <c r="I9753" s="239"/>
    </row>
    <row r="9754" spans="6:9" x14ac:dyDescent="0.35">
      <c r="F9754" s="33"/>
      <c r="G9754" s="70"/>
      <c r="H9754" s="400"/>
      <c r="I9754" s="239"/>
    </row>
    <row r="9755" spans="6:9" x14ac:dyDescent="0.35">
      <c r="F9755" s="33"/>
      <c r="G9755" s="70"/>
      <c r="H9755" s="400"/>
      <c r="I9755" s="239"/>
    </row>
    <row r="9756" spans="6:9" x14ac:dyDescent="0.35">
      <c r="F9756" s="33"/>
      <c r="G9756" s="70"/>
      <c r="H9756" s="400"/>
      <c r="I9756" s="239"/>
    </row>
    <row r="9757" spans="6:9" x14ac:dyDescent="0.35">
      <c r="F9757" s="33"/>
      <c r="G9757" s="70"/>
      <c r="H9757" s="400"/>
      <c r="I9757" s="239"/>
    </row>
    <row r="9758" spans="6:9" x14ac:dyDescent="0.35">
      <c r="F9758" s="33"/>
      <c r="G9758" s="70"/>
      <c r="H9758" s="400"/>
      <c r="I9758" s="239"/>
    </row>
    <row r="9759" spans="6:9" x14ac:dyDescent="0.35">
      <c r="F9759" s="33"/>
      <c r="G9759" s="70"/>
      <c r="H9759" s="400"/>
      <c r="I9759" s="239"/>
    </row>
    <row r="9760" spans="6:9" x14ac:dyDescent="0.35">
      <c r="F9760" s="33"/>
      <c r="G9760" s="70"/>
      <c r="H9760" s="400"/>
      <c r="I9760" s="239"/>
    </row>
    <row r="9761" spans="6:9" x14ac:dyDescent="0.35">
      <c r="F9761" s="33"/>
      <c r="G9761" s="70"/>
      <c r="H9761" s="400"/>
      <c r="I9761" s="239"/>
    </row>
    <row r="9762" spans="6:9" x14ac:dyDescent="0.35">
      <c r="F9762" s="33"/>
      <c r="G9762" s="70"/>
      <c r="H9762" s="400"/>
      <c r="I9762" s="239"/>
    </row>
    <row r="9763" spans="6:9" x14ac:dyDescent="0.35">
      <c r="F9763" s="33"/>
      <c r="G9763" s="70"/>
      <c r="H9763" s="400"/>
      <c r="I9763" s="239"/>
    </row>
    <row r="9764" spans="6:9" x14ac:dyDescent="0.35">
      <c r="F9764" s="33"/>
      <c r="G9764" s="70"/>
      <c r="H9764" s="400"/>
      <c r="I9764" s="239"/>
    </row>
    <row r="9765" spans="6:9" x14ac:dyDescent="0.35">
      <c r="F9765" s="33"/>
      <c r="G9765" s="70"/>
      <c r="H9765" s="400"/>
      <c r="I9765" s="239"/>
    </row>
    <row r="9766" spans="6:9" x14ac:dyDescent="0.35">
      <c r="F9766" s="33"/>
      <c r="G9766" s="70"/>
      <c r="H9766" s="400"/>
      <c r="I9766" s="239"/>
    </row>
    <row r="9767" spans="6:9" x14ac:dyDescent="0.35">
      <c r="F9767" s="33"/>
      <c r="G9767" s="70"/>
      <c r="H9767" s="400"/>
      <c r="I9767" s="239"/>
    </row>
    <row r="9768" spans="6:9" x14ac:dyDescent="0.35">
      <c r="F9768" s="33"/>
      <c r="G9768" s="70"/>
      <c r="H9768" s="400"/>
      <c r="I9768" s="239"/>
    </row>
    <row r="9769" spans="6:9" x14ac:dyDescent="0.35">
      <c r="F9769" s="33"/>
      <c r="G9769" s="70"/>
      <c r="H9769" s="400"/>
      <c r="I9769" s="239"/>
    </row>
    <row r="9770" spans="6:9" x14ac:dyDescent="0.35">
      <c r="F9770" s="33"/>
      <c r="G9770" s="70"/>
      <c r="H9770" s="400"/>
      <c r="I9770" s="239"/>
    </row>
    <row r="9771" spans="6:9" x14ac:dyDescent="0.35">
      <c r="F9771" s="33"/>
      <c r="G9771" s="70"/>
      <c r="H9771" s="400"/>
      <c r="I9771" s="239"/>
    </row>
    <row r="9772" spans="6:9" x14ac:dyDescent="0.35">
      <c r="F9772" s="33"/>
      <c r="G9772" s="70"/>
      <c r="H9772" s="400"/>
      <c r="I9772" s="239"/>
    </row>
    <row r="9773" spans="6:9" x14ac:dyDescent="0.35">
      <c r="F9773" s="33"/>
      <c r="G9773" s="70"/>
      <c r="H9773" s="400"/>
      <c r="I9773" s="239"/>
    </row>
    <row r="9774" spans="6:9" x14ac:dyDescent="0.35">
      <c r="F9774" s="33"/>
      <c r="G9774" s="70"/>
      <c r="H9774" s="400"/>
      <c r="I9774" s="239"/>
    </row>
    <row r="9775" spans="6:9" x14ac:dyDescent="0.35">
      <c r="F9775" s="33"/>
      <c r="G9775" s="70"/>
      <c r="H9775" s="400"/>
      <c r="I9775" s="239"/>
    </row>
    <row r="9776" spans="6:9" x14ac:dyDescent="0.35">
      <c r="F9776" s="33"/>
      <c r="G9776" s="70"/>
      <c r="H9776" s="400"/>
      <c r="I9776" s="239"/>
    </row>
    <row r="9777" spans="6:9" x14ac:dyDescent="0.35">
      <c r="F9777" s="33"/>
      <c r="G9777" s="70"/>
      <c r="H9777" s="400"/>
      <c r="I9777" s="239"/>
    </row>
    <row r="9778" spans="6:9" x14ac:dyDescent="0.35">
      <c r="F9778" s="33"/>
      <c r="G9778" s="70"/>
      <c r="H9778" s="400"/>
      <c r="I9778" s="239"/>
    </row>
    <row r="9779" spans="6:9" x14ac:dyDescent="0.35">
      <c r="F9779" s="33"/>
      <c r="G9779" s="70"/>
      <c r="H9779" s="400"/>
      <c r="I9779" s="239"/>
    </row>
    <row r="9780" spans="6:9" x14ac:dyDescent="0.35">
      <c r="F9780" s="33"/>
      <c r="G9780" s="70"/>
      <c r="H9780" s="400"/>
      <c r="I9780" s="239"/>
    </row>
    <row r="9781" spans="6:9" x14ac:dyDescent="0.35">
      <c r="F9781" s="33"/>
      <c r="G9781" s="70"/>
      <c r="H9781" s="400"/>
      <c r="I9781" s="239"/>
    </row>
    <row r="9782" spans="6:9" x14ac:dyDescent="0.35">
      <c r="F9782" s="33"/>
      <c r="G9782" s="70"/>
      <c r="H9782" s="400"/>
      <c r="I9782" s="239"/>
    </row>
    <row r="9783" spans="6:9" x14ac:dyDescent="0.35">
      <c r="F9783" s="33"/>
      <c r="G9783" s="70"/>
      <c r="H9783" s="400"/>
      <c r="I9783" s="239"/>
    </row>
    <row r="9784" spans="6:9" x14ac:dyDescent="0.35">
      <c r="F9784" s="33"/>
      <c r="G9784" s="70"/>
      <c r="H9784" s="400"/>
      <c r="I9784" s="239"/>
    </row>
    <row r="9785" spans="6:9" x14ac:dyDescent="0.35">
      <c r="F9785" s="33"/>
      <c r="G9785" s="70"/>
      <c r="H9785" s="400"/>
      <c r="I9785" s="239"/>
    </row>
    <row r="9786" spans="6:9" x14ac:dyDescent="0.35">
      <c r="F9786" s="33"/>
      <c r="G9786" s="70"/>
      <c r="H9786" s="400"/>
      <c r="I9786" s="239"/>
    </row>
    <row r="9787" spans="6:9" x14ac:dyDescent="0.35">
      <c r="F9787" s="33"/>
      <c r="G9787" s="70"/>
      <c r="H9787" s="400"/>
      <c r="I9787" s="239"/>
    </row>
    <row r="9788" spans="6:9" x14ac:dyDescent="0.35">
      <c r="F9788" s="33"/>
      <c r="G9788" s="70"/>
      <c r="H9788" s="400"/>
      <c r="I9788" s="239"/>
    </row>
    <row r="9789" spans="6:9" x14ac:dyDescent="0.35">
      <c r="F9789" s="33"/>
      <c r="G9789" s="70"/>
      <c r="H9789" s="400"/>
      <c r="I9789" s="239"/>
    </row>
    <row r="9790" spans="6:9" x14ac:dyDescent="0.35">
      <c r="F9790" s="33"/>
      <c r="G9790" s="70"/>
      <c r="H9790" s="400"/>
      <c r="I9790" s="239"/>
    </row>
    <row r="9791" spans="6:9" x14ac:dyDescent="0.35">
      <c r="F9791" s="33"/>
      <c r="G9791" s="70"/>
      <c r="H9791" s="400"/>
      <c r="I9791" s="239"/>
    </row>
    <row r="9792" spans="6:9" x14ac:dyDescent="0.35">
      <c r="F9792" s="33"/>
      <c r="G9792" s="70"/>
      <c r="H9792" s="400"/>
      <c r="I9792" s="239"/>
    </row>
    <row r="9793" spans="6:9" x14ac:dyDescent="0.35">
      <c r="F9793" s="33"/>
      <c r="G9793" s="70"/>
      <c r="H9793" s="400"/>
      <c r="I9793" s="239"/>
    </row>
    <row r="9794" spans="6:9" x14ac:dyDescent="0.35">
      <c r="F9794" s="33"/>
      <c r="G9794" s="70"/>
      <c r="H9794" s="400"/>
      <c r="I9794" s="239"/>
    </row>
    <row r="9795" spans="6:9" x14ac:dyDescent="0.35">
      <c r="F9795" s="33"/>
      <c r="G9795" s="70"/>
      <c r="H9795" s="400"/>
      <c r="I9795" s="239"/>
    </row>
    <row r="9796" spans="6:9" x14ac:dyDescent="0.35">
      <c r="F9796" s="33"/>
      <c r="G9796" s="70"/>
      <c r="H9796" s="400"/>
      <c r="I9796" s="239"/>
    </row>
    <row r="9797" spans="6:9" x14ac:dyDescent="0.35">
      <c r="F9797" s="33"/>
      <c r="G9797" s="70"/>
      <c r="H9797" s="400"/>
      <c r="I9797" s="239"/>
    </row>
    <row r="9798" spans="6:9" x14ac:dyDescent="0.35">
      <c r="F9798" s="33"/>
      <c r="G9798" s="70"/>
      <c r="H9798" s="400"/>
      <c r="I9798" s="239"/>
    </row>
    <row r="9799" spans="6:9" x14ac:dyDescent="0.35">
      <c r="F9799" s="33"/>
      <c r="G9799" s="70"/>
      <c r="H9799" s="400"/>
      <c r="I9799" s="239"/>
    </row>
    <row r="9800" spans="6:9" x14ac:dyDescent="0.35">
      <c r="F9800" s="33"/>
      <c r="G9800" s="70"/>
      <c r="H9800" s="400"/>
      <c r="I9800" s="239"/>
    </row>
    <row r="9801" spans="6:9" x14ac:dyDescent="0.35">
      <c r="F9801" s="33"/>
      <c r="G9801" s="70"/>
      <c r="H9801" s="400"/>
      <c r="I9801" s="239"/>
    </row>
    <row r="9802" spans="6:9" x14ac:dyDescent="0.35">
      <c r="F9802" s="33"/>
      <c r="G9802" s="70"/>
      <c r="H9802" s="400"/>
      <c r="I9802" s="239"/>
    </row>
    <row r="9803" spans="6:9" x14ac:dyDescent="0.35">
      <c r="F9803" s="33"/>
      <c r="G9803" s="70"/>
      <c r="H9803" s="400"/>
      <c r="I9803" s="239"/>
    </row>
    <row r="9804" spans="6:9" x14ac:dyDescent="0.35">
      <c r="F9804" s="33"/>
      <c r="G9804" s="70"/>
      <c r="H9804" s="400"/>
      <c r="I9804" s="239"/>
    </row>
    <row r="9805" spans="6:9" x14ac:dyDescent="0.35">
      <c r="F9805" s="33"/>
      <c r="G9805" s="70"/>
      <c r="H9805" s="400"/>
      <c r="I9805" s="239"/>
    </row>
    <row r="9806" spans="6:9" x14ac:dyDescent="0.35">
      <c r="F9806" s="33"/>
      <c r="G9806" s="70"/>
      <c r="H9806" s="400"/>
      <c r="I9806" s="239"/>
    </row>
    <row r="9807" spans="6:9" x14ac:dyDescent="0.35">
      <c r="F9807" s="33"/>
      <c r="G9807" s="70"/>
      <c r="H9807" s="400"/>
      <c r="I9807" s="239"/>
    </row>
    <row r="9808" spans="6:9" x14ac:dyDescent="0.35">
      <c r="F9808" s="33"/>
      <c r="G9808" s="70"/>
      <c r="H9808" s="400"/>
      <c r="I9808" s="239"/>
    </row>
    <row r="9809" spans="6:9" x14ac:dyDescent="0.35">
      <c r="F9809" s="33"/>
      <c r="G9809" s="70"/>
      <c r="H9809" s="400"/>
      <c r="I9809" s="239"/>
    </row>
    <row r="9810" spans="6:9" x14ac:dyDescent="0.35">
      <c r="F9810" s="33"/>
      <c r="G9810" s="70"/>
      <c r="H9810" s="400"/>
      <c r="I9810" s="239"/>
    </row>
    <row r="9811" spans="6:9" x14ac:dyDescent="0.35">
      <c r="F9811" s="33"/>
      <c r="G9811" s="70"/>
      <c r="H9811" s="400"/>
      <c r="I9811" s="239"/>
    </row>
    <row r="9812" spans="6:9" x14ac:dyDescent="0.35">
      <c r="F9812" s="33"/>
      <c r="G9812" s="70"/>
      <c r="H9812" s="400"/>
      <c r="I9812" s="239"/>
    </row>
    <row r="9813" spans="6:9" x14ac:dyDescent="0.35">
      <c r="F9813" s="33"/>
      <c r="G9813" s="70"/>
      <c r="H9813" s="400"/>
      <c r="I9813" s="239"/>
    </row>
    <row r="9814" spans="6:9" x14ac:dyDescent="0.35">
      <c r="F9814" s="33"/>
      <c r="G9814" s="70"/>
      <c r="H9814" s="400"/>
      <c r="I9814" s="239"/>
    </row>
    <row r="9815" spans="6:9" x14ac:dyDescent="0.35">
      <c r="F9815" s="33"/>
      <c r="G9815" s="70"/>
      <c r="H9815" s="400"/>
      <c r="I9815" s="239"/>
    </row>
    <row r="9816" spans="6:9" x14ac:dyDescent="0.35">
      <c r="F9816" s="33"/>
      <c r="G9816" s="70"/>
      <c r="H9816" s="400"/>
      <c r="I9816" s="239"/>
    </row>
    <row r="9817" spans="6:9" x14ac:dyDescent="0.35">
      <c r="F9817" s="33"/>
      <c r="G9817" s="70"/>
      <c r="H9817" s="400"/>
      <c r="I9817" s="239"/>
    </row>
    <row r="9818" spans="6:9" x14ac:dyDescent="0.35">
      <c r="F9818" s="33"/>
      <c r="G9818" s="70"/>
      <c r="H9818" s="400"/>
      <c r="I9818" s="239"/>
    </row>
    <row r="9819" spans="6:9" x14ac:dyDescent="0.35">
      <c r="F9819" s="33"/>
      <c r="G9819" s="70"/>
      <c r="H9819" s="400"/>
      <c r="I9819" s="239"/>
    </row>
    <row r="9820" spans="6:9" x14ac:dyDescent="0.35">
      <c r="F9820" s="33"/>
      <c r="G9820" s="70"/>
      <c r="H9820" s="400"/>
      <c r="I9820" s="239"/>
    </row>
    <row r="9821" spans="6:9" x14ac:dyDescent="0.35">
      <c r="F9821" s="33"/>
      <c r="G9821" s="70"/>
      <c r="H9821" s="400"/>
      <c r="I9821" s="239"/>
    </row>
    <row r="9822" spans="6:9" x14ac:dyDescent="0.35">
      <c r="F9822" s="33"/>
      <c r="G9822" s="70"/>
      <c r="H9822" s="400"/>
      <c r="I9822" s="239"/>
    </row>
    <row r="9823" spans="6:9" x14ac:dyDescent="0.35">
      <c r="F9823" s="33"/>
      <c r="G9823" s="70"/>
      <c r="H9823" s="400"/>
      <c r="I9823" s="239"/>
    </row>
    <row r="9824" spans="6:9" x14ac:dyDescent="0.35">
      <c r="F9824" s="33"/>
      <c r="G9824" s="70"/>
      <c r="H9824" s="400"/>
      <c r="I9824" s="239"/>
    </row>
    <row r="9825" spans="6:9" x14ac:dyDescent="0.35">
      <c r="F9825" s="33"/>
      <c r="G9825" s="70"/>
      <c r="H9825" s="400"/>
      <c r="I9825" s="239"/>
    </row>
    <row r="9826" spans="6:9" x14ac:dyDescent="0.35">
      <c r="F9826" s="33"/>
      <c r="G9826" s="70"/>
      <c r="H9826" s="400"/>
      <c r="I9826" s="239"/>
    </row>
    <row r="9827" spans="6:9" x14ac:dyDescent="0.35">
      <c r="F9827" s="33"/>
      <c r="G9827" s="70"/>
      <c r="H9827" s="400"/>
      <c r="I9827" s="239"/>
    </row>
    <row r="9828" spans="6:9" x14ac:dyDescent="0.35">
      <c r="F9828" s="33"/>
      <c r="G9828" s="70"/>
      <c r="H9828" s="400"/>
      <c r="I9828" s="239"/>
    </row>
    <row r="9829" spans="6:9" x14ac:dyDescent="0.35">
      <c r="F9829" s="33"/>
      <c r="G9829" s="70"/>
      <c r="H9829" s="400"/>
      <c r="I9829" s="239"/>
    </row>
    <row r="9830" spans="6:9" x14ac:dyDescent="0.35">
      <c r="F9830" s="33"/>
      <c r="G9830" s="70"/>
      <c r="H9830" s="400"/>
      <c r="I9830" s="239"/>
    </row>
    <row r="9831" spans="6:9" x14ac:dyDescent="0.35">
      <c r="F9831" s="33"/>
      <c r="G9831" s="70"/>
      <c r="H9831" s="400"/>
      <c r="I9831" s="239"/>
    </row>
    <row r="9832" spans="6:9" x14ac:dyDescent="0.35">
      <c r="F9832" s="33"/>
      <c r="G9832" s="70"/>
      <c r="H9832" s="400"/>
      <c r="I9832" s="239"/>
    </row>
    <row r="9833" spans="6:9" x14ac:dyDescent="0.35">
      <c r="F9833" s="33"/>
      <c r="G9833" s="70"/>
      <c r="H9833" s="400"/>
      <c r="I9833" s="239"/>
    </row>
    <row r="9834" spans="6:9" x14ac:dyDescent="0.35">
      <c r="F9834" s="33"/>
      <c r="G9834" s="70"/>
      <c r="H9834" s="400"/>
      <c r="I9834" s="239"/>
    </row>
    <row r="9835" spans="6:9" x14ac:dyDescent="0.35">
      <c r="F9835" s="33"/>
      <c r="G9835" s="70"/>
      <c r="H9835" s="400"/>
      <c r="I9835" s="239"/>
    </row>
    <row r="9836" spans="6:9" x14ac:dyDescent="0.35">
      <c r="F9836" s="33"/>
      <c r="G9836" s="70"/>
      <c r="H9836" s="400"/>
      <c r="I9836" s="239"/>
    </row>
    <row r="9837" spans="6:9" x14ac:dyDescent="0.35">
      <c r="F9837" s="33"/>
      <c r="G9837" s="70"/>
      <c r="H9837" s="400"/>
      <c r="I9837" s="239"/>
    </row>
    <row r="9838" spans="6:9" x14ac:dyDescent="0.35">
      <c r="F9838" s="33"/>
      <c r="G9838" s="70"/>
      <c r="H9838" s="400"/>
      <c r="I9838" s="239"/>
    </row>
    <row r="9839" spans="6:9" x14ac:dyDescent="0.35">
      <c r="F9839" s="33"/>
      <c r="G9839" s="70"/>
      <c r="H9839" s="400"/>
      <c r="I9839" s="239"/>
    </row>
    <row r="9840" spans="6:9" x14ac:dyDescent="0.35">
      <c r="F9840" s="33"/>
      <c r="G9840" s="70"/>
      <c r="H9840" s="400"/>
      <c r="I9840" s="239"/>
    </row>
    <row r="9841" spans="6:9" x14ac:dyDescent="0.35">
      <c r="F9841" s="33"/>
      <c r="G9841" s="70"/>
      <c r="H9841" s="400"/>
      <c r="I9841" s="239"/>
    </row>
    <row r="9842" spans="6:9" x14ac:dyDescent="0.35">
      <c r="F9842" s="33"/>
      <c r="G9842" s="70"/>
      <c r="H9842" s="400"/>
      <c r="I9842" s="239"/>
    </row>
    <row r="9843" spans="6:9" x14ac:dyDescent="0.35">
      <c r="F9843" s="33"/>
      <c r="G9843" s="70"/>
      <c r="H9843" s="400"/>
      <c r="I9843" s="239"/>
    </row>
    <row r="9844" spans="6:9" x14ac:dyDescent="0.35">
      <c r="F9844" s="33"/>
      <c r="G9844" s="70"/>
      <c r="H9844" s="400"/>
      <c r="I9844" s="239"/>
    </row>
    <row r="9845" spans="6:9" x14ac:dyDescent="0.35">
      <c r="F9845" s="33"/>
      <c r="G9845" s="70"/>
      <c r="H9845" s="400"/>
      <c r="I9845" s="239"/>
    </row>
    <row r="9846" spans="6:9" x14ac:dyDescent="0.35">
      <c r="F9846" s="33"/>
      <c r="G9846" s="70"/>
      <c r="H9846" s="400"/>
      <c r="I9846" s="239"/>
    </row>
    <row r="9847" spans="6:9" x14ac:dyDescent="0.35">
      <c r="F9847" s="33"/>
      <c r="G9847" s="70"/>
      <c r="H9847" s="400"/>
      <c r="I9847" s="239"/>
    </row>
    <row r="9848" spans="6:9" x14ac:dyDescent="0.35">
      <c r="F9848" s="33"/>
      <c r="G9848" s="70"/>
      <c r="H9848" s="400"/>
      <c r="I9848" s="239"/>
    </row>
    <row r="9849" spans="6:9" x14ac:dyDescent="0.35">
      <c r="F9849" s="33"/>
      <c r="G9849" s="70"/>
      <c r="H9849" s="400"/>
      <c r="I9849" s="239"/>
    </row>
    <row r="9850" spans="6:9" x14ac:dyDescent="0.35">
      <c r="F9850" s="33"/>
      <c r="G9850" s="70"/>
      <c r="H9850" s="400"/>
      <c r="I9850" s="239"/>
    </row>
    <row r="9851" spans="6:9" x14ac:dyDescent="0.35">
      <c r="F9851" s="33"/>
      <c r="G9851" s="70"/>
      <c r="H9851" s="400"/>
      <c r="I9851" s="239"/>
    </row>
    <row r="9852" spans="6:9" x14ac:dyDescent="0.35">
      <c r="F9852" s="33"/>
      <c r="G9852" s="70"/>
      <c r="H9852" s="400"/>
      <c r="I9852" s="239"/>
    </row>
    <row r="9853" spans="6:9" x14ac:dyDescent="0.35">
      <c r="F9853" s="33"/>
      <c r="G9853" s="70"/>
      <c r="H9853" s="400"/>
      <c r="I9853" s="239"/>
    </row>
    <row r="9854" spans="6:9" x14ac:dyDescent="0.35">
      <c r="F9854" s="33"/>
      <c r="G9854" s="70"/>
      <c r="H9854" s="400"/>
      <c r="I9854" s="239"/>
    </row>
    <row r="9855" spans="6:9" x14ac:dyDescent="0.35">
      <c r="F9855" s="33"/>
      <c r="G9855" s="70"/>
      <c r="H9855" s="400"/>
      <c r="I9855" s="239"/>
    </row>
    <row r="9856" spans="6:9" x14ac:dyDescent="0.35">
      <c r="F9856" s="33"/>
      <c r="G9856" s="70"/>
      <c r="H9856" s="400"/>
      <c r="I9856" s="239"/>
    </row>
    <row r="9857" spans="6:9" x14ac:dyDescent="0.35">
      <c r="F9857" s="33"/>
      <c r="G9857" s="70"/>
      <c r="H9857" s="400"/>
      <c r="I9857" s="239"/>
    </row>
    <row r="9858" spans="6:9" x14ac:dyDescent="0.35">
      <c r="F9858" s="33"/>
      <c r="G9858" s="70"/>
      <c r="H9858" s="400"/>
      <c r="I9858" s="239"/>
    </row>
    <row r="9859" spans="6:9" x14ac:dyDescent="0.35">
      <c r="F9859" s="33"/>
      <c r="G9859" s="70"/>
      <c r="H9859" s="400"/>
      <c r="I9859" s="239"/>
    </row>
    <row r="9860" spans="6:9" x14ac:dyDescent="0.35">
      <c r="F9860" s="33"/>
      <c r="G9860" s="70"/>
      <c r="H9860" s="400"/>
      <c r="I9860" s="239"/>
    </row>
    <row r="9861" spans="6:9" x14ac:dyDescent="0.35">
      <c r="F9861" s="33"/>
      <c r="G9861" s="70"/>
      <c r="H9861" s="400"/>
      <c r="I9861" s="239"/>
    </row>
    <row r="9862" spans="6:9" x14ac:dyDescent="0.35">
      <c r="F9862" s="33"/>
      <c r="G9862" s="70"/>
      <c r="H9862" s="400"/>
      <c r="I9862" s="239"/>
    </row>
    <row r="9863" spans="6:9" x14ac:dyDescent="0.35">
      <c r="F9863" s="33"/>
      <c r="G9863" s="70"/>
      <c r="H9863" s="400"/>
      <c r="I9863" s="239"/>
    </row>
    <row r="9864" spans="6:9" x14ac:dyDescent="0.35">
      <c r="F9864" s="33"/>
      <c r="G9864" s="70"/>
      <c r="H9864" s="400"/>
      <c r="I9864" s="239"/>
    </row>
    <row r="9865" spans="6:9" x14ac:dyDescent="0.35">
      <c r="F9865" s="33"/>
      <c r="G9865" s="70"/>
      <c r="H9865" s="400"/>
      <c r="I9865" s="239"/>
    </row>
    <row r="9866" spans="6:9" x14ac:dyDescent="0.35">
      <c r="F9866" s="33"/>
      <c r="G9866" s="70"/>
      <c r="H9866" s="400"/>
      <c r="I9866" s="239"/>
    </row>
    <row r="9867" spans="6:9" x14ac:dyDescent="0.35">
      <c r="F9867" s="33"/>
      <c r="G9867" s="70"/>
      <c r="H9867" s="400"/>
      <c r="I9867" s="239"/>
    </row>
    <row r="9868" spans="6:9" x14ac:dyDescent="0.35">
      <c r="F9868" s="33"/>
      <c r="G9868" s="70"/>
      <c r="H9868" s="400"/>
      <c r="I9868" s="239"/>
    </row>
    <row r="9869" spans="6:9" x14ac:dyDescent="0.35">
      <c r="F9869" s="33"/>
      <c r="G9869" s="70"/>
      <c r="H9869" s="400"/>
      <c r="I9869" s="239"/>
    </row>
    <row r="9870" spans="6:9" x14ac:dyDescent="0.35">
      <c r="F9870" s="33"/>
      <c r="G9870" s="70"/>
      <c r="H9870" s="400"/>
      <c r="I9870" s="239"/>
    </row>
    <row r="9871" spans="6:9" x14ac:dyDescent="0.35">
      <c r="F9871" s="33"/>
      <c r="G9871" s="70"/>
      <c r="H9871" s="400"/>
      <c r="I9871" s="239"/>
    </row>
    <row r="9872" spans="6:9" x14ac:dyDescent="0.35">
      <c r="F9872" s="33"/>
      <c r="G9872" s="70"/>
      <c r="H9872" s="400"/>
      <c r="I9872" s="239"/>
    </row>
    <row r="9873" spans="6:9" x14ac:dyDescent="0.35">
      <c r="F9873" s="33"/>
      <c r="G9873" s="70"/>
      <c r="H9873" s="400"/>
      <c r="I9873" s="239"/>
    </row>
    <row r="9874" spans="6:9" x14ac:dyDescent="0.35">
      <c r="F9874" s="33"/>
      <c r="G9874" s="70"/>
      <c r="H9874" s="400"/>
      <c r="I9874" s="239"/>
    </row>
    <row r="9875" spans="6:9" x14ac:dyDescent="0.35">
      <c r="F9875" s="33"/>
      <c r="G9875" s="70"/>
      <c r="H9875" s="400"/>
      <c r="I9875" s="239"/>
    </row>
    <row r="9876" spans="6:9" x14ac:dyDescent="0.35">
      <c r="F9876" s="33"/>
      <c r="G9876" s="70"/>
      <c r="H9876" s="400"/>
      <c r="I9876" s="239"/>
    </row>
    <row r="9877" spans="6:9" x14ac:dyDescent="0.35">
      <c r="F9877" s="33"/>
      <c r="G9877" s="70"/>
      <c r="H9877" s="400"/>
      <c r="I9877" s="239"/>
    </row>
    <row r="9878" spans="6:9" x14ac:dyDescent="0.35">
      <c r="F9878" s="33"/>
      <c r="G9878" s="70"/>
      <c r="H9878" s="400"/>
      <c r="I9878" s="239"/>
    </row>
    <row r="9879" spans="6:9" x14ac:dyDescent="0.35">
      <c r="F9879" s="33"/>
      <c r="G9879" s="70"/>
      <c r="H9879" s="400"/>
      <c r="I9879" s="239"/>
    </row>
    <row r="9880" spans="6:9" x14ac:dyDescent="0.35">
      <c r="F9880" s="33"/>
      <c r="G9880" s="70"/>
      <c r="H9880" s="400"/>
      <c r="I9880" s="239"/>
    </row>
    <row r="9881" spans="6:9" x14ac:dyDescent="0.35">
      <c r="F9881" s="33"/>
      <c r="G9881" s="70"/>
      <c r="H9881" s="400"/>
      <c r="I9881" s="239"/>
    </row>
    <row r="9882" spans="6:9" x14ac:dyDescent="0.35">
      <c r="F9882" s="33"/>
      <c r="G9882" s="70"/>
      <c r="H9882" s="400"/>
      <c r="I9882" s="239"/>
    </row>
    <row r="9883" spans="6:9" x14ac:dyDescent="0.35">
      <c r="F9883" s="33"/>
      <c r="G9883" s="70"/>
      <c r="H9883" s="400"/>
      <c r="I9883" s="239"/>
    </row>
    <row r="9884" spans="6:9" x14ac:dyDescent="0.35">
      <c r="F9884" s="33"/>
      <c r="G9884" s="70"/>
      <c r="H9884" s="400"/>
      <c r="I9884" s="239"/>
    </row>
    <row r="9885" spans="6:9" x14ac:dyDescent="0.35">
      <c r="F9885" s="33"/>
      <c r="G9885" s="70"/>
      <c r="H9885" s="400"/>
      <c r="I9885" s="239"/>
    </row>
    <row r="9886" spans="6:9" x14ac:dyDescent="0.35">
      <c r="F9886" s="33"/>
      <c r="G9886" s="70"/>
      <c r="H9886" s="400"/>
      <c r="I9886" s="239"/>
    </row>
    <row r="9887" spans="6:9" x14ac:dyDescent="0.35">
      <c r="F9887" s="33"/>
      <c r="G9887" s="70"/>
      <c r="H9887" s="400"/>
      <c r="I9887" s="239"/>
    </row>
    <row r="9888" spans="6:9" x14ac:dyDescent="0.35">
      <c r="F9888" s="33"/>
      <c r="G9888" s="70"/>
      <c r="H9888" s="400"/>
      <c r="I9888" s="239"/>
    </row>
    <row r="9889" spans="6:9" x14ac:dyDescent="0.35">
      <c r="F9889" s="33"/>
      <c r="G9889" s="70"/>
      <c r="H9889" s="400"/>
      <c r="I9889" s="239"/>
    </row>
    <row r="9890" spans="6:9" x14ac:dyDescent="0.35">
      <c r="F9890" s="33"/>
      <c r="G9890" s="70"/>
      <c r="H9890" s="400"/>
      <c r="I9890" s="239"/>
    </row>
    <row r="9891" spans="6:9" x14ac:dyDescent="0.35">
      <c r="F9891" s="33"/>
      <c r="G9891" s="70"/>
      <c r="H9891" s="400"/>
      <c r="I9891" s="239"/>
    </row>
    <row r="9892" spans="6:9" x14ac:dyDescent="0.35">
      <c r="F9892" s="33"/>
      <c r="G9892" s="70"/>
      <c r="H9892" s="400"/>
      <c r="I9892" s="239"/>
    </row>
    <row r="9893" spans="6:9" x14ac:dyDescent="0.35">
      <c r="F9893" s="33"/>
      <c r="G9893" s="70"/>
      <c r="H9893" s="400"/>
      <c r="I9893" s="239"/>
    </row>
    <row r="9894" spans="6:9" x14ac:dyDescent="0.35">
      <c r="F9894" s="33"/>
      <c r="G9894" s="70"/>
      <c r="H9894" s="400"/>
      <c r="I9894" s="239"/>
    </row>
    <row r="9895" spans="6:9" x14ac:dyDescent="0.35">
      <c r="F9895" s="33"/>
      <c r="G9895" s="70"/>
      <c r="H9895" s="400"/>
      <c r="I9895" s="239"/>
    </row>
    <row r="9896" spans="6:9" x14ac:dyDescent="0.35">
      <c r="F9896" s="33"/>
      <c r="G9896" s="70"/>
      <c r="H9896" s="400"/>
      <c r="I9896" s="239"/>
    </row>
    <row r="9897" spans="6:9" x14ac:dyDescent="0.35">
      <c r="F9897" s="33"/>
      <c r="G9897" s="70"/>
      <c r="H9897" s="400"/>
      <c r="I9897" s="239"/>
    </row>
    <row r="9898" spans="6:9" x14ac:dyDescent="0.35">
      <c r="F9898" s="33"/>
      <c r="G9898" s="70"/>
      <c r="H9898" s="400"/>
      <c r="I9898" s="239"/>
    </row>
    <row r="9899" spans="6:9" x14ac:dyDescent="0.35">
      <c r="F9899" s="33"/>
      <c r="G9899" s="70"/>
      <c r="H9899" s="400"/>
      <c r="I9899" s="239"/>
    </row>
    <row r="9900" spans="6:9" x14ac:dyDescent="0.35">
      <c r="F9900" s="33"/>
      <c r="G9900" s="70"/>
      <c r="H9900" s="400"/>
      <c r="I9900" s="239"/>
    </row>
    <row r="9901" spans="6:9" x14ac:dyDescent="0.35">
      <c r="F9901" s="33"/>
      <c r="G9901" s="70"/>
      <c r="H9901" s="400"/>
      <c r="I9901" s="239"/>
    </row>
    <row r="9902" spans="6:9" x14ac:dyDescent="0.35">
      <c r="F9902" s="33"/>
      <c r="G9902" s="70"/>
      <c r="H9902" s="400"/>
      <c r="I9902" s="239"/>
    </row>
    <row r="9903" spans="6:9" x14ac:dyDescent="0.35">
      <c r="F9903" s="33"/>
      <c r="G9903" s="70"/>
      <c r="H9903" s="400"/>
      <c r="I9903" s="239"/>
    </row>
    <row r="9904" spans="6:9" x14ac:dyDescent="0.35">
      <c r="F9904" s="33"/>
      <c r="G9904" s="70"/>
      <c r="H9904" s="400"/>
      <c r="I9904" s="239"/>
    </row>
    <row r="9905" spans="6:9" x14ac:dyDescent="0.35">
      <c r="F9905" s="33"/>
      <c r="G9905" s="70"/>
      <c r="H9905" s="400"/>
      <c r="I9905" s="239"/>
    </row>
    <row r="9906" spans="6:9" x14ac:dyDescent="0.35">
      <c r="F9906" s="33"/>
      <c r="G9906" s="70"/>
      <c r="H9906" s="400"/>
      <c r="I9906" s="239"/>
    </row>
    <row r="9907" spans="6:9" x14ac:dyDescent="0.35">
      <c r="F9907" s="33"/>
      <c r="G9907" s="70"/>
      <c r="H9907" s="400"/>
      <c r="I9907" s="239"/>
    </row>
    <row r="9908" spans="6:9" x14ac:dyDescent="0.35">
      <c r="F9908" s="33"/>
      <c r="G9908" s="70"/>
      <c r="H9908" s="400"/>
      <c r="I9908" s="239"/>
    </row>
    <row r="9909" spans="6:9" x14ac:dyDescent="0.35">
      <c r="F9909" s="33"/>
      <c r="G9909" s="70"/>
      <c r="H9909" s="400"/>
      <c r="I9909" s="239"/>
    </row>
    <row r="9910" spans="6:9" x14ac:dyDescent="0.35">
      <c r="F9910" s="33"/>
      <c r="G9910" s="70"/>
      <c r="H9910" s="400"/>
      <c r="I9910" s="239"/>
    </row>
    <row r="9911" spans="6:9" x14ac:dyDescent="0.35">
      <c r="F9911" s="33"/>
      <c r="G9911" s="70"/>
      <c r="H9911" s="400"/>
      <c r="I9911" s="239"/>
    </row>
    <row r="9912" spans="6:9" x14ac:dyDescent="0.35">
      <c r="F9912" s="33"/>
      <c r="G9912" s="70"/>
      <c r="H9912" s="400"/>
      <c r="I9912" s="239"/>
    </row>
    <row r="9913" spans="6:9" x14ac:dyDescent="0.35">
      <c r="F9913" s="33"/>
      <c r="G9913" s="70"/>
      <c r="H9913" s="400"/>
      <c r="I9913" s="239"/>
    </row>
    <row r="9914" spans="6:9" x14ac:dyDescent="0.35">
      <c r="F9914" s="33"/>
      <c r="G9914" s="70"/>
      <c r="H9914" s="400"/>
      <c r="I9914" s="239"/>
    </row>
    <row r="9915" spans="6:9" x14ac:dyDescent="0.35">
      <c r="F9915" s="33"/>
      <c r="G9915" s="70"/>
      <c r="H9915" s="400"/>
      <c r="I9915" s="239"/>
    </row>
    <row r="9916" spans="6:9" x14ac:dyDescent="0.35">
      <c r="F9916" s="33"/>
      <c r="G9916" s="70"/>
      <c r="H9916" s="400"/>
      <c r="I9916" s="239"/>
    </row>
    <row r="9917" spans="6:9" x14ac:dyDescent="0.35">
      <c r="F9917" s="33"/>
      <c r="G9917" s="70"/>
      <c r="H9917" s="400"/>
      <c r="I9917" s="239"/>
    </row>
    <row r="9918" spans="6:9" x14ac:dyDescent="0.35">
      <c r="F9918" s="33"/>
      <c r="G9918" s="70"/>
      <c r="H9918" s="400"/>
      <c r="I9918" s="239"/>
    </row>
    <row r="9919" spans="6:9" x14ac:dyDescent="0.35">
      <c r="F9919" s="33"/>
      <c r="G9919" s="70"/>
      <c r="H9919" s="400"/>
      <c r="I9919" s="239"/>
    </row>
    <row r="9920" spans="6:9" x14ac:dyDescent="0.35">
      <c r="F9920" s="33"/>
      <c r="G9920" s="70"/>
      <c r="H9920" s="400"/>
      <c r="I9920" s="239"/>
    </row>
    <row r="9921" spans="6:9" x14ac:dyDescent="0.35">
      <c r="F9921" s="33"/>
      <c r="G9921" s="70"/>
      <c r="H9921" s="400"/>
      <c r="I9921" s="239"/>
    </row>
    <row r="9922" spans="6:9" x14ac:dyDescent="0.35">
      <c r="F9922" s="33"/>
      <c r="G9922" s="70"/>
      <c r="H9922" s="400"/>
      <c r="I9922" s="239"/>
    </row>
    <row r="9923" spans="6:9" x14ac:dyDescent="0.35">
      <c r="F9923" s="33"/>
      <c r="G9923" s="70"/>
      <c r="H9923" s="400"/>
      <c r="I9923" s="239"/>
    </row>
    <row r="9924" spans="6:9" x14ac:dyDescent="0.35">
      <c r="F9924" s="33"/>
      <c r="G9924" s="70"/>
      <c r="H9924" s="400"/>
      <c r="I9924" s="239"/>
    </row>
    <row r="9925" spans="6:9" x14ac:dyDescent="0.35">
      <c r="F9925" s="33"/>
      <c r="G9925" s="70"/>
      <c r="H9925" s="400"/>
      <c r="I9925" s="239"/>
    </row>
    <row r="9926" spans="6:9" x14ac:dyDescent="0.35">
      <c r="F9926" s="33"/>
      <c r="G9926" s="70"/>
      <c r="H9926" s="400"/>
      <c r="I9926" s="239"/>
    </row>
    <row r="9927" spans="6:9" x14ac:dyDescent="0.35">
      <c r="F9927" s="33"/>
      <c r="G9927" s="70"/>
      <c r="H9927" s="400"/>
      <c r="I9927" s="239"/>
    </row>
    <row r="9928" spans="6:9" x14ac:dyDescent="0.35">
      <c r="F9928" s="33"/>
      <c r="G9928" s="70"/>
      <c r="H9928" s="400"/>
      <c r="I9928" s="239"/>
    </row>
    <row r="9929" spans="6:9" x14ac:dyDescent="0.35">
      <c r="F9929" s="33"/>
      <c r="G9929" s="70"/>
      <c r="H9929" s="400"/>
      <c r="I9929" s="239"/>
    </row>
    <row r="9930" spans="6:9" x14ac:dyDescent="0.35">
      <c r="F9930" s="33"/>
      <c r="G9930" s="70"/>
      <c r="H9930" s="400"/>
      <c r="I9930" s="239"/>
    </row>
    <row r="9931" spans="6:9" x14ac:dyDescent="0.35">
      <c r="F9931" s="33"/>
      <c r="G9931" s="70"/>
      <c r="H9931" s="400"/>
      <c r="I9931" s="239"/>
    </row>
    <row r="9932" spans="6:9" x14ac:dyDescent="0.35">
      <c r="F9932" s="33"/>
      <c r="G9932" s="70"/>
      <c r="H9932" s="400"/>
      <c r="I9932" s="239"/>
    </row>
    <row r="9933" spans="6:9" x14ac:dyDescent="0.35">
      <c r="F9933" s="33"/>
      <c r="G9933" s="70"/>
      <c r="H9933" s="400"/>
      <c r="I9933" s="239"/>
    </row>
    <row r="9934" spans="6:9" x14ac:dyDescent="0.35">
      <c r="F9934" s="33"/>
      <c r="G9934" s="70"/>
      <c r="H9934" s="400"/>
      <c r="I9934" s="239"/>
    </row>
    <row r="9935" spans="6:9" x14ac:dyDescent="0.35">
      <c r="F9935" s="33"/>
      <c r="G9935" s="70"/>
      <c r="H9935" s="400"/>
      <c r="I9935" s="239"/>
    </row>
    <row r="9936" spans="6:9" x14ac:dyDescent="0.35">
      <c r="F9936" s="33"/>
      <c r="G9936" s="70"/>
      <c r="H9936" s="400"/>
      <c r="I9936" s="239"/>
    </row>
    <row r="9937" spans="6:9" x14ac:dyDescent="0.35">
      <c r="F9937" s="33"/>
      <c r="G9937" s="70"/>
      <c r="H9937" s="400"/>
      <c r="I9937" s="239"/>
    </row>
    <row r="9938" spans="6:9" x14ac:dyDescent="0.35">
      <c r="F9938" s="33"/>
      <c r="G9938" s="70"/>
      <c r="H9938" s="400"/>
      <c r="I9938" s="239"/>
    </row>
    <row r="9939" spans="6:9" x14ac:dyDescent="0.35">
      <c r="F9939" s="33"/>
      <c r="G9939" s="70"/>
      <c r="H9939" s="400"/>
      <c r="I9939" s="239"/>
    </row>
    <row r="9940" spans="6:9" x14ac:dyDescent="0.35">
      <c r="F9940" s="33"/>
      <c r="G9940" s="70"/>
      <c r="H9940" s="400"/>
      <c r="I9940" s="239"/>
    </row>
    <row r="9941" spans="6:9" x14ac:dyDescent="0.35">
      <c r="F9941" s="33"/>
      <c r="G9941" s="70"/>
      <c r="H9941" s="400"/>
      <c r="I9941" s="239"/>
    </row>
    <row r="9942" spans="6:9" x14ac:dyDescent="0.35">
      <c r="F9942" s="33"/>
      <c r="G9942" s="70"/>
      <c r="H9942" s="400"/>
      <c r="I9942" s="239"/>
    </row>
    <row r="9943" spans="6:9" x14ac:dyDescent="0.35">
      <c r="F9943" s="33"/>
      <c r="G9943" s="70"/>
      <c r="H9943" s="400"/>
      <c r="I9943" s="239"/>
    </row>
    <row r="9944" spans="6:9" x14ac:dyDescent="0.35">
      <c r="F9944" s="33"/>
      <c r="G9944" s="70"/>
      <c r="H9944" s="400"/>
      <c r="I9944" s="239"/>
    </row>
    <row r="9945" spans="6:9" x14ac:dyDescent="0.35">
      <c r="F9945" s="33"/>
      <c r="G9945" s="70"/>
      <c r="H9945" s="400"/>
      <c r="I9945" s="239"/>
    </row>
    <row r="9946" spans="6:9" x14ac:dyDescent="0.35">
      <c r="F9946" s="33"/>
      <c r="G9946" s="70"/>
      <c r="H9946" s="400"/>
      <c r="I9946" s="239"/>
    </row>
    <row r="9947" spans="6:9" x14ac:dyDescent="0.35">
      <c r="F9947" s="33"/>
      <c r="G9947" s="70"/>
      <c r="H9947" s="400"/>
      <c r="I9947" s="239"/>
    </row>
    <row r="9948" spans="6:9" x14ac:dyDescent="0.35">
      <c r="F9948" s="33"/>
      <c r="G9948" s="70"/>
      <c r="H9948" s="400"/>
      <c r="I9948" s="239"/>
    </row>
    <row r="9949" spans="6:9" x14ac:dyDescent="0.35">
      <c r="F9949" s="33"/>
      <c r="G9949" s="70"/>
      <c r="H9949" s="400"/>
      <c r="I9949" s="239"/>
    </row>
    <row r="9950" spans="6:9" x14ac:dyDescent="0.35">
      <c r="F9950" s="33"/>
      <c r="G9950" s="70"/>
      <c r="H9950" s="400"/>
      <c r="I9950" s="239"/>
    </row>
    <row r="9951" spans="6:9" x14ac:dyDescent="0.35">
      <c r="F9951" s="33"/>
      <c r="G9951" s="70"/>
      <c r="H9951" s="400"/>
      <c r="I9951" s="239"/>
    </row>
    <row r="9952" spans="6:9" x14ac:dyDescent="0.35">
      <c r="F9952" s="33"/>
      <c r="G9952" s="70"/>
      <c r="H9952" s="400"/>
      <c r="I9952" s="239"/>
    </row>
    <row r="9953" spans="6:9" x14ac:dyDescent="0.35">
      <c r="F9953" s="33"/>
      <c r="G9953" s="70"/>
      <c r="H9953" s="400"/>
      <c r="I9953" s="239"/>
    </row>
    <row r="9954" spans="6:9" x14ac:dyDescent="0.35">
      <c r="F9954" s="33"/>
      <c r="G9954" s="70"/>
      <c r="H9954" s="400"/>
      <c r="I9954" s="239"/>
    </row>
    <row r="9955" spans="6:9" x14ac:dyDescent="0.35">
      <c r="F9955" s="33"/>
      <c r="G9955" s="70"/>
      <c r="H9955" s="400"/>
      <c r="I9955" s="239"/>
    </row>
    <row r="9956" spans="6:9" x14ac:dyDescent="0.35">
      <c r="F9956" s="33"/>
      <c r="G9956" s="70"/>
      <c r="H9956" s="400"/>
      <c r="I9956" s="239"/>
    </row>
    <row r="9957" spans="6:9" x14ac:dyDescent="0.35">
      <c r="F9957" s="33"/>
      <c r="G9957" s="70"/>
      <c r="H9957" s="400"/>
      <c r="I9957" s="239"/>
    </row>
    <row r="9958" spans="6:9" x14ac:dyDescent="0.35">
      <c r="F9958" s="33"/>
      <c r="G9958" s="70"/>
      <c r="H9958" s="400"/>
      <c r="I9958" s="239"/>
    </row>
    <row r="9959" spans="6:9" x14ac:dyDescent="0.35">
      <c r="F9959" s="33"/>
      <c r="G9959" s="70"/>
      <c r="H9959" s="400"/>
      <c r="I9959" s="239"/>
    </row>
    <row r="9960" spans="6:9" x14ac:dyDescent="0.35">
      <c r="F9960" s="33"/>
      <c r="G9960" s="70"/>
      <c r="H9960" s="400"/>
      <c r="I9960" s="239"/>
    </row>
    <row r="9961" spans="6:9" x14ac:dyDescent="0.35">
      <c r="F9961" s="33"/>
      <c r="G9961" s="70"/>
      <c r="H9961" s="400"/>
      <c r="I9961" s="239"/>
    </row>
    <row r="9962" spans="6:9" x14ac:dyDescent="0.35">
      <c r="F9962" s="33"/>
      <c r="G9962" s="70"/>
      <c r="H9962" s="400"/>
      <c r="I9962" s="239"/>
    </row>
    <row r="9963" spans="6:9" x14ac:dyDescent="0.35">
      <c r="F9963" s="33"/>
      <c r="G9963" s="70"/>
      <c r="H9963" s="400"/>
      <c r="I9963" s="239"/>
    </row>
    <row r="9964" spans="6:9" x14ac:dyDescent="0.35">
      <c r="F9964" s="33"/>
      <c r="G9964" s="70"/>
      <c r="H9964" s="400"/>
      <c r="I9964" s="239"/>
    </row>
    <row r="9965" spans="6:9" x14ac:dyDescent="0.35">
      <c r="F9965" s="33"/>
      <c r="G9965" s="70"/>
      <c r="H9965" s="400"/>
      <c r="I9965" s="239"/>
    </row>
    <row r="9966" spans="6:9" x14ac:dyDescent="0.35">
      <c r="F9966" s="33"/>
      <c r="G9966" s="70"/>
      <c r="H9966" s="400"/>
      <c r="I9966" s="239"/>
    </row>
    <row r="9967" spans="6:9" x14ac:dyDescent="0.35">
      <c r="F9967" s="33"/>
      <c r="G9967" s="70"/>
      <c r="H9967" s="400"/>
      <c r="I9967" s="239"/>
    </row>
    <row r="9968" spans="6:9" x14ac:dyDescent="0.35">
      <c r="F9968" s="33"/>
      <c r="G9968" s="70"/>
      <c r="H9968" s="400"/>
      <c r="I9968" s="239"/>
    </row>
    <row r="9969" spans="6:9" x14ac:dyDescent="0.35">
      <c r="F9969" s="33"/>
      <c r="G9969" s="70"/>
      <c r="H9969" s="400"/>
      <c r="I9969" s="239"/>
    </row>
    <row r="9970" spans="6:9" x14ac:dyDescent="0.35">
      <c r="F9970" s="33"/>
      <c r="G9970" s="70"/>
      <c r="H9970" s="400"/>
      <c r="I9970" s="239"/>
    </row>
    <row r="9971" spans="6:9" x14ac:dyDescent="0.35">
      <c r="F9971" s="33"/>
      <c r="G9971" s="70"/>
      <c r="H9971" s="400"/>
      <c r="I9971" s="239"/>
    </row>
    <row r="9972" spans="6:9" x14ac:dyDescent="0.35">
      <c r="F9972" s="33"/>
      <c r="G9972" s="70"/>
      <c r="H9972" s="400"/>
      <c r="I9972" s="239"/>
    </row>
    <row r="9973" spans="6:9" x14ac:dyDescent="0.35">
      <c r="F9973" s="33"/>
      <c r="G9973" s="70"/>
      <c r="H9973" s="400"/>
      <c r="I9973" s="239"/>
    </row>
    <row r="9974" spans="6:9" x14ac:dyDescent="0.35">
      <c r="F9974" s="33"/>
      <c r="G9974" s="70"/>
      <c r="H9974" s="400"/>
      <c r="I9974" s="239"/>
    </row>
    <row r="9975" spans="6:9" x14ac:dyDescent="0.35">
      <c r="F9975" s="33"/>
      <c r="G9975" s="70"/>
      <c r="H9975" s="400"/>
      <c r="I9975" s="239"/>
    </row>
    <row r="9976" spans="6:9" x14ac:dyDescent="0.35">
      <c r="F9976" s="33"/>
      <c r="G9976" s="70"/>
      <c r="H9976" s="400"/>
      <c r="I9976" s="239"/>
    </row>
    <row r="9977" spans="6:9" x14ac:dyDescent="0.35">
      <c r="F9977" s="33"/>
      <c r="G9977" s="70"/>
      <c r="H9977" s="400"/>
      <c r="I9977" s="239"/>
    </row>
    <row r="9978" spans="6:9" x14ac:dyDescent="0.35">
      <c r="F9978" s="33"/>
      <c r="G9978" s="70"/>
      <c r="H9978" s="400"/>
      <c r="I9978" s="239"/>
    </row>
    <row r="9979" spans="6:9" x14ac:dyDescent="0.35">
      <c r="F9979" s="33"/>
      <c r="G9979" s="70"/>
      <c r="H9979" s="400"/>
      <c r="I9979" s="239"/>
    </row>
    <row r="9980" spans="6:9" x14ac:dyDescent="0.35">
      <c r="F9980" s="33"/>
      <c r="G9980" s="70"/>
      <c r="H9980" s="400"/>
      <c r="I9980" s="239"/>
    </row>
    <row r="9981" spans="6:9" x14ac:dyDescent="0.35">
      <c r="F9981" s="33"/>
      <c r="G9981" s="70"/>
      <c r="H9981" s="400"/>
      <c r="I9981" s="239"/>
    </row>
    <row r="9982" spans="6:9" x14ac:dyDescent="0.35">
      <c r="F9982" s="33"/>
      <c r="G9982" s="70"/>
      <c r="H9982" s="400"/>
      <c r="I9982" s="239"/>
    </row>
    <row r="9983" spans="6:9" x14ac:dyDescent="0.35">
      <c r="F9983" s="33"/>
      <c r="G9983" s="70"/>
      <c r="H9983" s="400"/>
      <c r="I9983" s="239"/>
    </row>
    <row r="9984" spans="6:9" x14ac:dyDescent="0.35">
      <c r="F9984" s="33"/>
      <c r="G9984" s="70"/>
      <c r="H9984" s="400"/>
      <c r="I9984" s="239"/>
    </row>
    <row r="9985" spans="6:9" x14ac:dyDescent="0.35">
      <c r="F9985" s="33"/>
      <c r="G9985" s="70"/>
      <c r="H9985" s="400"/>
      <c r="I9985" s="239"/>
    </row>
    <row r="9986" spans="6:9" x14ac:dyDescent="0.35">
      <c r="F9986" s="33"/>
      <c r="G9986" s="70"/>
      <c r="H9986" s="400"/>
      <c r="I9986" s="239"/>
    </row>
    <row r="9987" spans="6:9" x14ac:dyDescent="0.35">
      <c r="F9987" s="33"/>
      <c r="G9987" s="70"/>
      <c r="H9987" s="400"/>
      <c r="I9987" s="239"/>
    </row>
    <row r="9988" spans="6:9" x14ac:dyDescent="0.35">
      <c r="F9988" s="33"/>
      <c r="G9988" s="70"/>
      <c r="H9988" s="400"/>
      <c r="I9988" s="239"/>
    </row>
    <row r="9989" spans="6:9" x14ac:dyDescent="0.35">
      <c r="F9989" s="33"/>
      <c r="G9989" s="70"/>
      <c r="H9989" s="400"/>
      <c r="I9989" s="239"/>
    </row>
    <row r="9990" spans="6:9" x14ac:dyDescent="0.35">
      <c r="F9990" s="33"/>
      <c r="G9990" s="70"/>
      <c r="H9990" s="400"/>
      <c r="I9990" s="239"/>
    </row>
    <row r="9991" spans="6:9" x14ac:dyDescent="0.35">
      <c r="F9991" s="33"/>
      <c r="G9991" s="70"/>
      <c r="H9991" s="400"/>
      <c r="I9991" s="239"/>
    </row>
    <row r="9992" spans="6:9" x14ac:dyDescent="0.35">
      <c r="F9992" s="33"/>
      <c r="G9992" s="70"/>
      <c r="H9992" s="400"/>
      <c r="I9992" s="239"/>
    </row>
    <row r="9993" spans="6:9" x14ac:dyDescent="0.35">
      <c r="F9993" s="33"/>
      <c r="G9993" s="70"/>
      <c r="H9993" s="400"/>
      <c r="I9993" s="239"/>
    </row>
    <row r="9994" spans="6:9" x14ac:dyDescent="0.35">
      <c r="F9994" s="33"/>
      <c r="G9994" s="70"/>
      <c r="H9994" s="400"/>
      <c r="I9994" s="239"/>
    </row>
    <row r="9995" spans="6:9" x14ac:dyDescent="0.35">
      <c r="F9995" s="33"/>
      <c r="G9995" s="70"/>
      <c r="H9995" s="400"/>
      <c r="I9995" s="239"/>
    </row>
    <row r="9996" spans="6:9" x14ac:dyDescent="0.35">
      <c r="F9996" s="33"/>
      <c r="G9996" s="70"/>
      <c r="H9996" s="400"/>
      <c r="I9996" s="239"/>
    </row>
    <row r="9997" spans="6:9" x14ac:dyDescent="0.35">
      <c r="F9997" s="33"/>
      <c r="G9997" s="70"/>
      <c r="H9997" s="400"/>
      <c r="I9997" s="239"/>
    </row>
    <row r="9998" spans="6:9" x14ac:dyDescent="0.35">
      <c r="F9998" s="33"/>
      <c r="G9998" s="70"/>
      <c r="H9998" s="400"/>
      <c r="I9998" s="239"/>
    </row>
    <row r="9999" spans="6:9" x14ac:dyDescent="0.35">
      <c r="F9999" s="33"/>
      <c r="G9999" s="70"/>
      <c r="H9999" s="400"/>
      <c r="I9999" s="239"/>
    </row>
    <row r="10000" spans="6:9" x14ac:dyDescent="0.35">
      <c r="F10000" s="33"/>
      <c r="G10000" s="70"/>
      <c r="H10000" s="400"/>
      <c r="I10000" s="239"/>
    </row>
    <row r="10001" spans="6:9" x14ac:dyDescent="0.35">
      <c r="F10001" s="33"/>
      <c r="G10001" s="70"/>
      <c r="H10001" s="400"/>
      <c r="I10001" s="239"/>
    </row>
    <row r="10002" spans="6:9" x14ac:dyDescent="0.35">
      <c r="F10002" s="33"/>
      <c r="G10002" s="70"/>
      <c r="H10002" s="400"/>
      <c r="I10002" s="239"/>
    </row>
    <row r="10003" spans="6:9" x14ac:dyDescent="0.35">
      <c r="F10003" s="33"/>
      <c r="G10003" s="70"/>
      <c r="H10003" s="400"/>
      <c r="I10003" s="239"/>
    </row>
    <row r="10004" spans="6:9" x14ac:dyDescent="0.35">
      <c r="F10004" s="33"/>
      <c r="G10004" s="70"/>
      <c r="H10004" s="400"/>
      <c r="I10004" s="239"/>
    </row>
    <row r="10005" spans="6:9" x14ac:dyDescent="0.35">
      <c r="F10005" s="33"/>
      <c r="G10005" s="70"/>
      <c r="H10005" s="400"/>
      <c r="I10005" s="239"/>
    </row>
    <row r="10006" spans="6:9" x14ac:dyDescent="0.35">
      <c r="F10006" s="33"/>
      <c r="G10006" s="70"/>
      <c r="H10006" s="400"/>
      <c r="I10006" s="239"/>
    </row>
    <row r="10007" spans="6:9" x14ac:dyDescent="0.35">
      <c r="F10007" s="33"/>
      <c r="G10007" s="70"/>
      <c r="H10007" s="400"/>
      <c r="I10007" s="239"/>
    </row>
    <row r="10008" spans="6:9" x14ac:dyDescent="0.35">
      <c r="F10008" s="33"/>
      <c r="G10008" s="70"/>
      <c r="H10008" s="400"/>
      <c r="I10008" s="239"/>
    </row>
    <row r="10009" spans="6:9" x14ac:dyDescent="0.35">
      <c r="F10009" s="33"/>
      <c r="G10009" s="70"/>
      <c r="H10009" s="400"/>
      <c r="I10009" s="239"/>
    </row>
    <row r="10010" spans="6:9" x14ac:dyDescent="0.35">
      <c r="F10010" s="33"/>
      <c r="G10010" s="70"/>
      <c r="H10010" s="400"/>
      <c r="I10010" s="239"/>
    </row>
    <row r="10011" spans="6:9" x14ac:dyDescent="0.35">
      <c r="F10011" s="33"/>
      <c r="G10011" s="70"/>
      <c r="H10011" s="400"/>
      <c r="I10011" s="239"/>
    </row>
    <row r="10012" spans="6:9" x14ac:dyDescent="0.35">
      <c r="F10012" s="33"/>
      <c r="G10012" s="70"/>
      <c r="H10012" s="400"/>
      <c r="I10012" s="239"/>
    </row>
    <row r="10013" spans="6:9" x14ac:dyDescent="0.35">
      <c r="F10013" s="33"/>
      <c r="G10013" s="70"/>
      <c r="H10013" s="400"/>
      <c r="I10013" s="239"/>
    </row>
    <row r="10014" spans="6:9" x14ac:dyDescent="0.35">
      <c r="F10014" s="33"/>
      <c r="G10014" s="70"/>
      <c r="H10014" s="400"/>
      <c r="I10014" s="239"/>
    </row>
    <row r="10015" spans="6:9" x14ac:dyDescent="0.35">
      <c r="F10015" s="33"/>
      <c r="G10015" s="70"/>
      <c r="H10015" s="400"/>
      <c r="I10015" s="239"/>
    </row>
    <row r="10016" spans="6:9" x14ac:dyDescent="0.35">
      <c r="F10016" s="33"/>
      <c r="G10016" s="70"/>
      <c r="H10016" s="400"/>
      <c r="I10016" s="239"/>
    </row>
    <row r="10017" spans="6:9" x14ac:dyDescent="0.35">
      <c r="F10017" s="33"/>
      <c r="G10017" s="70"/>
      <c r="H10017" s="400"/>
      <c r="I10017" s="239"/>
    </row>
    <row r="10018" spans="6:9" x14ac:dyDescent="0.35">
      <c r="F10018" s="33"/>
      <c r="G10018" s="70"/>
      <c r="H10018" s="400"/>
      <c r="I10018" s="239"/>
    </row>
    <row r="10019" spans="6:9" x14ac:dyDescent="0.35">
      <c r="F10019" s="33"/>
      <c r="G10019" s="70"/>
      <c r="H10019" s="400"/>
      <c r="I10019" s="239"/>
    </row>
    <row r="10020" spans="6:9" x14ac:dyDescent="0.35">
      <c r="F10020" s="33"/>
      <c r="G10020" s="70"/>
      <c r="H10020" s="400"/>
      <c r="I10020" s="239"/>
    </row>
    <row r="10021" spans="6:9" x14ac:dyDescent="0.35">
      <c r="F10021" s="33"/>
      <c r="G10021" s="70"/>
      <c r="H10021" s="400"/>
      <c r="I10021" s="239"/>
    </row>
    <row r="10022" spans="6:9" x14ac:dyDescent="0.35">
      <c r="F10022" s="33"/>
      <c r="G10022" s="70"/>
      <c r="H10022" s="400"/>
      <c r="I10022" s="239"/>
    </row>
    <row r="10023" spans="6:9" x14ac:dyDescent="0.35">
      <c r="F10023" s="33"/>
      <c r="G10023" s="70"/>
      <c r="H10023" s="400"/>
      <c r="I10023" s="239"/>
    </row>
    <row r="10024" spans="6:9" x14ac:dyDescent="0.35">
      <c r="F10024" s="33"/>
      <c r="G10024" s="70"/>
      <c r="H10024" s="400"/>
      <c r="I10024" s="239"/>
    </row>
    <row r="10025" spans="6:9" x14ac:dyDescent="0.35">
      <c r="F10025" s="33"/>
      <c r="G10025" s="70"/>
      <c r="H10025" s="400"/>
      <c r="I10025" s="239"/>
    </row>
    <row r="10026" spans="6:9" x14ac:dyDescent="0.35">
      <c r="F10026" s="33"/>
      <c r="G10026" s="70"/>
      <c r="H10026" s="400"/>
      <c r="I10026" s="239"/>
    </row>
    <row r="10027" spans="6:9" x14ac:dyDescent="0.35">
      <c r="F10027" s="33"/>
      <c r="G10027" s="70"/>
      <c r="H10027" s="400"/>
      <c r="I10027" s="239"/>
    </row>
    <row r="10028" spans="6:9" x14ac:dyDescent="0.35">
      <c r="F10028" s="33"/>
      <c r="G10028" s="70"/>
      <c r="H10028" s="400"/>
      <c r="I10028" s="239"/>
    </row>
    <row r="10029" spans="6:9" x14ac:dyDescent="0.35">
      <c r="F10029" s="33"/>
      <c r="G10029" s="70"/>
      <c r="H10029" s="400"/>
      <c r="I10029" s="239"/>
    </row>
    <row r="10030" spans="6:9" x14ac:dyDescent="0.35">
      <c r="F10030" s="33"/>
      <c r="G10030" s="70"/>
      <c r="H10030" s="400"/>
      <c r="I10030" s="239"/>
    </row>
    <row r="10031" spans="6:9" x14ac:dyDescent="0.35">
      <c r="F10031" s="33"/>
      <c r="G10031" s="70"/>
      <c r="H10031" s="400"/>
      <c r="I10031" s="239"/>
    </row>
    <row r="10032" spans="6:9" x14ac:dyDescent="0.35">
      <c r="F10032" s="33"/>
      <c r="G10032" s="70"/>
      <c r="H10032" s="400"/>
      <c r="I10032" s="239"/>
    </row>
    <row r="10033" spans="6:9" x14ac:dyDescent="0.35">
      <c r="F10033" s="33"/>
      <c r="G10033" s="70"/>
      <c r="H10033" s="400"/>
      <c r="I10033" s="239"/>
    </row>
    <row r="10034" spans="6:9" x14ac:dyDescent="0.35">
      <c r="F10034" s="33"/>
      <c r="G10034" s="70"/>
      <c r="H10034" s="400"/>
      <c r="I10034" s="239"/>
    </row>
    <row r="10035" spans="6:9" x14ac:dyDescent="0.35">
      <c r="F10035" s="33"/>
      <c r="G10035" s="70"/>
      <c r="H10035" s="400"/>
      <c r="I10035" s="239"/>
    </row>
    <row r="10036" spans="6:9" x14ac:dyDescent="0.35">
      <c r="F10036" s="33"/>
      <c r="G10036" s="70"/>
      <c r="H10036" s="400"/>
      <c r="I10036" s="239"/>
    </row>
    <row r="10037" spans="6:9" x14ac:dyDescent="0.35">
      <c r="F10037" s="33"/>
      <c r="G10037" s="70"/>
      <c r="H10037" s="400"/>
      <c r="I10037" s="239"/>
    </row>
    <row r="10038" spans="6:9" x14ac:dyDescent="0.35">
      <c r="G10038" s="70"/>
      <c r="H10038" s="167"/>
      <c r="I10038" s="237"/>
    </row>
    <row r="10039" spans="6:9" x14ac:dyDescent="0.35">
      <c r="G10039" s="70"/>
      <c r="H10039" s="167"/>
      <c r="I10039" s="237"/>
    </row>
    <row r="10040" spans="6:9" x14ac:dyDescent="0.35">
      <c r="G10040" s="70"/>
      <c r="H10040" s="167"/>
      <c r="I10040" s="237"/>
    </row>
    <row r="10041" spans="6:9" x14ac:dyDescent="0.35">
      <c r="G10041" s="70"/>
      <c r="H10041" s="167"/>
      <c r="I10041" s="237"/>
    </row>
    <row r="10042" spans="6:9" x14ac:dyDescent="0.35">
      <c r="G10042" s="70"/>
      <c r="H10042" s="167"/>
      <c r="I10042" s="237"/>
    </row>
    <row r="10043" spans="6:9" x14ac:dyDescent="0.35">
      <c r="G10043" s="70"/>
      <c r="H10043" s="167"/>
      <c r="I10043" s="237"/>
    </row>
    <row r="10044" spans="6:9" x14ac:dyDescent="0.35">
      <c r="G10044" s="70"/>
      <c r="H10044" s="167"/>
      <c r="I10044" s="237"/>
    </row>
    <row r="10045" spans="6:9" x14ac:dyDescent="0.35">
      <c r="G10045" s="70"/>
      <c r="H10045" s="167"/>
      <c r="I10045" s="237"/>
    </row>
    <row r="10046" spans="6:9" x14ac:dyDescent="0.35">
      <c r="G10046" s="70"/>
      <c r="H10046" s="167"/>
      <c r="I10046" s="237"/>
    </row>
    <row r="10047" spans="6:9" x14ac:dyDescent="0.35">
      <c r="G10047" s="70"/>
      <c r="H10047" s="167"/>
      <c r="I10047" s="237"/>
    </row>
    <row r="10048" spans="6:9" x14ac:dyDescent="0.35">
      <c r="G10048" s="70"/>
      <c r="H10048" s="167"/>
      <c r="I10048" s="237"/>
    </row>
    <row r="10049" spans="7:9" x14ac:dyDescent="0.35">
      <c r="G10049" s="70"/>
      <c r="H10049" s="167"/>
      <c r="I10049" s="237"/>
    </row>
    <row r="10050" spans="7:9" x14ac:dyDescent="0.35">
      <c r="G10050" s="70"/>
      <c r="H10050" s="167"/>
      <c r="I10050" s="237"/>
    </row>
    <row r="10051" spans="7:9" x14ac:dyDescent="0.35">
      <c r="G10051" s="70"/>
      <c r="H10051" s="167"/>
      <c r="I10051" s="237"/>
    </row>
    <row r="10052" spans="7:9" x14ac:dyDescent="0.35">
      <c r="G10052" s="70"/>
      <c r="H10052" s="167"/>
      <c r="I10052" s="237"/>
    </row>
    <row r="10053" spans="7:9" x14ac:dyDescent="0.35">
      <c r="G10053" s="70"/>
      <c r="H10053" s="167"/>
      <c r="I10053" s="237"/>
    </row>
    <row r="10054" spans="7:9" x14ac:dyDescent="0.35">
      <c r="G10054" s="70"/>
      <c r="H10054" s="167"/>
      <c r="I10054" s="237"/>
    </row>
    <row r="10055" spans="7:9" x14ac:dyDescent="0.35">
      <c r="G10055" s="70"/>
      <c r="H10055" s="167"/>
      <c r="I10055" s="237"/>
    </row>
    <row r="10056" spans="7:9" x14ac:dyDescent="0.35">
      <c r="G10056" s="70"/>
      <c r="H10056" s="167"/>
      <c r="I10056" s="237"/>
    </row>
    <row r="10057" spans="7:9" x14ac:dyDescent="0.35">
      <c r="G10057" s="70"/>
      <c r="H10057" s="167"/>
      <c r="I10057" s="237"/>
    </row>
    <row r="10058" spans="7:9" x14ac:dyDescent="0.35">
      <c r="G10058" s="70"/>
      <c r="H10058" s="167"/>
      <c r="I10058" s="237"/>
    </row>
    <row r="10059" spans="7:9" x14ac:dyDescent="0.35">
      <c r="G10059" s="70"/>
      <c r="H10059" s="167"/>
      <c r="I10059" s="237"/>
    </row>
    <row r="10060" spans="7:9" x14ac:dyDescent="0.35">
      <c r="G10060" s="70"/>
      <c r="H10060" s="167"/>
      <c r="I10060" s="237"/>
    </row>
    <row r="10061" spans="7:9" x14ac:dyDescent="0.35">
      <c r="G10061" s="70"/>
      <c r="H10061" s="167"/>
      <c r="I10061" s="237"/>
    </row>
    <row r="10062" spans="7:9" x14ac:dyDescent="0.35">
      <c r="G10062" s="70"/>
      <c r="H10062" s="167"/>
      <c r="I10062" s="237"/>
    </row>
    <row r="10063" spans="7:9" x14ac:dyDescent="0.35">
      <c r="G10063" s="70"/>
      <c r="H10063" s="167"/>
      <c r="I10063" s="237"/>
    </row>
    <row r="10064" spans="7:9" x14ac:dyDescent="0.35">
      <c r="G10064" s="70"/>
      <c r="H10064" s="167"/>
      <c r="I10064" s="237"/>
    </row>
    <row r="10065" spans="7:9" x14ac:dyDescent="0.35">
      <c r="G10065" s="70"/>
      <c r="H10065" s="167"/>
      <c r="I10065" s="237"/>
    </row>
    <row r="10066" spans="7:9" x14ac:dyDescent="0.35">
      <c r="G10066" s="70"/>
      <c r="H10066" s="167"/>
      <c r="I10066" s="237"/>
    </row>
    <row r="10067" spans="7:9" x14ac:dyDescent="0.35">
      <c r="G10067" s="70"/>
      <c r="H10067" s="167"/>
      <c r="I10067" s="237"/>
    </row>
    <row r="10068" spans="7:9" x14ac:dyDescent="0.35">
      <c r="G10068" s="70"/>
      <c r="H10068" s="167"/>
      <c r="I10068" s="237"/>
    </row>
    <row r="10069" spans="7:9" x14ac:dyDescent="0.35">
      <c r="G10069" s="70"/>
      <c r="H10069" s="167"/>
      <c r="I10069" s="237"/>
    </row>
    <row r="10070" spans="7:9" x14ac:dyDescent="0.35">
      <c r="G10070" s="70"/>
      <c r="H10070" s="167"/>
      <c r="I10070" s="237"/>
    </row>
    <row r="10071" spans="7:9" x14ac:dyDescent="0.35">
      <c r="G10071" s="70"/>
      <c r="H10071" s="167"/>
      <c r="I10071" s="237"/>
    </row>
    <row r="10072" spans="7:9" x14ac:dyDescent="0.35">
      <c r="G10072" s="70"/>
      <c r="H10072" s="167"/>
      <c r="I10072" s="237"/>
    </row>
    <row r="10073" spans="7:9" x14ac:dyDescent="0.35">
      <c r="G10073" s="70"/>
      <c r="H10073" s="167"/>
      <c r="I10073" s="237"/>
    </row>
    <row r="10074" spans="7:9" x14ac:dyDescent="0.35">
      <c r="G10074" s="70"/>
      <c r="H10074" s="167"/>
      <c r="I10074" s="237"/>
    </row>
    <row r="10075" spans="7:9" x14ac:dyDescent="0.35">
      <c r="G10075" s="70"/>
      <c r="H10075" s="167"/>
      <c r="I10075" s="237"/>
    </row>
    <row r="10076" spans="7:9" x14ac:dyDescent="0.35">
      <c r="G10076" s="70"/>
      <c r="H10076" s="167"/>
      <c r="I10076" s="237"/>
    </row>
    <row r="10077" spans="7:9" x14ac:dyDescent="0.35">
      <c r="G10077" s="70"/>
      <c r="H10077" s="167"/>
      <c r="I10077" s="237"/>
    </row>
    <row r="10078" spans="7:9" x14ac:dyDescent="0.35">
      <c r="G10078" s="70"/>
      <c r="H10078" s="167"/>
      <c r="I10078" s="237"/>
    </row>
    <row r="10079" spans="7:9" x14ac:dyDescent="0.35">
      <c r="G10079" s="70"/>
      <c r="H10079" s="167"/>
      <c r="I10079" s="237"/>
    </row>
    <row r="10080" spans="7:9" x14ac:dyDescent="0.35">
      <c r="G10080" s="70"/>
      <c r="H10080" s="167"/>
      <c r="I10080" s="237"/>
    </row>
    <row r="10081" spans="7:9" x14ac:dyDescent="0.35">
      <c r="G10081" s="70"/>
      <c r="H10081" s="167"/>
      <c r="I10081" s="237"/>
    </row>
    <row r="10082" spans="7:9" x14ac:dyDescent="0.35">
      <c r="G10082" s="70"/>
      <c r="H10082" s="167"/>
      <c r="I10082" s="237"/>
    </row>
    <row r="10083" spans="7:9" x14ac:dyDescent="0.35">
      <c r="G10083" s="70"/>
      <c r="H10083" s="167"/>
      <c r="I10083" s="237"/>
    </row>
    <row r="10084" spans="7:9" x14ac:dyDescent="0.35">
      <c r="G10084" s="70"/>
      <c r="H10084" s="167"/>
      <c r="I10084" s="237"/>
    </row>
    <row r="10085" spans="7:9" x14ac:dyDescent="0.35">
      <c r="G10085" s="70"/>
      <c r="H10085" s="167"/>
      <c r="I10085" s="237"/>
    </row>
    <row r="10086" spans="7:9" x14ac:dyDescent="0.35">
      <c r="G10086" s="70"/>
      <c r="H10086" s="167"/>
      <c r="I10086" s="237"/>
    </row>
    <row r="10087" spans="7:9" x14ac:dyDescent="0.35">
      <c r="G10087" s="70"/>
      <c r="H10087" s="167"/>
      <c r="I10087" s="237"/>
    </row>
    <row r="10088" spans="7:9" x14ac:dyDescent="0.35">
      <c r="G10088" s="70"/>
      <c r="H10088" s="167"/>
      <c r="I10088" s="237"/>
    </row>
    <row r="10089" spans="7:9" x14ac:dyDescent="0.35">
      <c r="G10089" s="70"/>
      <c r="H10089" s="167"/>
      <c r="I10089" s="237"/>
    </row>
    <row r="10090" spans="7:9" x14ac:dyDescent="0.35">
      <c r="G10090" s="70"/>
      <c r="H10090" s="167"/>
      <c r="I10090" s="237"/>
    </row>
    <row r="10091" spans="7:9" x14ac:dyDescent="0.35">
      <c r="G10091" s="70"/>
      <c r="H10091" s="167"/>
      <c r="I10091" s="237"/>
    </row>
    <row r="10092" spans="7:9" x14ac:dyDescent="0.35">
      <c r="G10092" s="70"/>
      <c r="H10092" s="167"/>
      <c r="I10092" s="237"/>
    </row>
    <row r="10093" spans="7:9" x14ac:dyDescent="0.35">
      <c r="G10093" s="70"/>
      <c r="H10093" s="167"/>
      <c r="I10093" s="237"/>
    </row>
    <row r="10094" spans="7:9" x14ac:dyDescent="0.35">
      <c r="G10094" s="70"/>
      <c r="H10094" s="167"/>
      <c r="I10094" s="237"/>
    </row>
    <row r="10095" spans="7:9" x14ac:dyDescent="0.35">
      <c r="G10095" s="70"/>
      <c r="H10095" s="167"/>
      <c r="I10095" s="237"/>
    </row>
    <row r="10096" spans="7:9" x14ac:dyDescent="0.35">
      <c r="G10096" s="70"/>
      <c r="H10096" s="167"/>
      <c r="I10096" s="237"/>
    </row>
    <row r="10097" spans="7:9" x14ac:dyDescent="0.35">
      <c r="G10097" s="70"/>
      <c r="H10097" s="167"/>
      <c r="I10097" s="237"/>
    </row>
    <row r="10098" spans="7:9" x14ac:dyDescent="0.35">
      <c r="G10098" s="70"/>
      <c r="H10098" s="167"/>
      <c r="I10098" s="237"/>
    </row>
    <row r="10099" spans="7:9" x14ac:dyDescent="0.35">
      <c r="G10099" s="70"/>
      <c r="H10099" s="167"/>
      <c r="I10099" s="237"/>
    </row>
    <row r="10100" spans="7:9" x14ac:dyDescent="0.35">
      <c r="G10100" s="70"/>
      <c r="H10100" s="167"/>
      <c r="I10100" s="237"/>
    </row>
    <row r="10101" spans="7:9" x14ac:dyDescent="0.35">
      <c r="G10101" s="70"/>
      <c r="H10101" s="167"/>
      <c r="I10101" s="237"/>
    </row>
    <row r="10102" spans="7:9" x14ac:dyDescent="0.35">
      <c r="G10102" s="70"/>
      <c r="H10102" s="167"/>
      <c r="I10102" s="237"/>
    </row>
    <row r="10103" spans="7:9" x14ac:dyDescent="0.35">
      <c r="G10103" s="70"/>
      <c r="H10103" s="167"/>
      <c r="I10103" s="237"/>
    </row>
    <row r="10104" spans="7:9" x14ac:dyDescent="0.35">
      <c r="G10104" s="70"/>
      <c r="H10104" s="167"/>
      <c r="I10104" s="237"/>
    </row>
    <row r="10105" spans="7:9" x14ac:dyDescent="0.35">
      <c r="G10105" s="70"/>
      <c r="H10105" s="167"/>
      <c r="I10105" s="237"/>
    </row>
    <row r="10106" spans="7:9" x14ac:dyDescent="0.35">
      <c r="G10106" s="70"/>
      <c r="H10106" s="167"/>
      <c r="I10106" s="237"/>
    </row>
    <row r="10107" spans="7:9" x14ac:dyDescent="0.35">
      <c r="G10107" s="70"/>
      <c r="H10107" s="167"/>
      <c r="I10107" s="237"/>
    </row>
    <row r="10108" spans="7:9" x14ac:dyDescent="0.35">
      <c r="G10108" s="70"/>
      <c r="H10108" s="167"/>
      <c r="I10108" s="237"/>
    </row>
    <row r="10109" spans="7:9" x14ac:dyDescent="0.35">
      <c r="G10109" s="70"/>
      <c r="H10109" s="167"/>
      <c r="I10109" s="237"/>
    </row>
    <row r="10110" spans="7:9" x14ac:dyDescent="0.35">
      <c r="G10110" s="70"/>
      <c r="H10110" s="167"/>
      <c r="I10110" s="237"/>
    </row>
    <row r="10111" spans="7:9" x14ac:dyDescent="0.35">
      <c r="G10111" s="70"/>
      <c r="H10111" s="167"/>
      <c r="I10111" s="237"/>
    </row>
    <row r="10112" spans="7:9" x14ac:dyDescent="0.35">
      <c r="G10112" s="70"/>
      <c r="H10112" s="167"/>
      <c r="I10112" s="237"/>
    </row>
    <row r="10113" spans="7:9" x14ac:dyDescent="0.35">
      <c r="G10113" s="70"/>
      <c r="H10113" s="167"/>
      <c r="I10113" s="237"/>
    </row>
    <row r="10114" spans="7:9" x14ac:dyDescent="0.35">
      <c r="G10114" s="70"/>
      <c r="H10114" s="167"/>
      <c r="I10114" s="237"/>
    </row>
    <row r="10115" spans="7:9" x14ac:dyDescent="0.35">
      <c r="G10115" s="70"/>
      <c r="H10115" s="167"/>
      <c r="I10115" s="237"/>
    </row>
    <row r="10116" spans="7:9" x14ac:dyDescent="0.35">
      <c r="G10116" s="70"/>
      <c r="H10116" s="167"/>
      <c r="I10116" s="237"/>
    </row>
    <row r="10117" spans="7:9" x14ac:dyDescent="0.35">
      <c r="G10117" s="70"/>
      <c r="H10117" s="167"/>
      <c r="I10117" s="237"/>
    </row>
    <row r="10118" spans="7:9" x14ac:dyDescent="0.35">
      <c r="G10118" s="70"/>
      <c r="H10118" s="167"/>
      <c r="I10118" s="237"/>
    </row>
    <row r="10119" spans="7:9" x14ac:dyDescent="0.35">
      <c r="G10119" s="70"/>
      <c r="H10119" s="167"/>
      <c r="I10119" s="237"/>
    </row>
    <row r="10120" spans="7:9" x14ac:dyDescent="0.35">
      <c r="G10120" s="70"/>
      <c r="H10120" s="167"/>
      <c r="I10120" s="237"/>
    </row>
    <row r="10121" spans="7:9" x14ac:dyDescent="0.35">
      <c r="G10121" s="70"/>
      <c r="H10121" s="167"/>
      <c r="I10121" s="237"/>
    </row>
  </sheetData>
  <sheetProtection algorithmName="SHA-512" hashValue="YGKXDroPOdYTye9OoXg4xzzJjuYmTuTrF2s88LvGEmBNhX3CU7ietkFZEPdou5KFS28lAwLkkLvsYow4UDgf2g==" saltValue="/cqRK9hlf9yJjuj6dOzPNA==" spinCount="100000" sheet="1" objects="1" scenarios="1"/>
  <mergeCells count="6">
    <mergeCell ref="N109:O109"/>
    <mergeCell ref="N110:O110"/>
    <mergeCell ref="N116:O116"/>
    <mergeCell ref="N115:O115"/>
    <mergeCell ref="N124:O124"/>
    <mergeCell ref="N123:O12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415E3-1E1B-46D6-8201-186F344F3C2B}">
  <sheetPr codeName="Sheet17">
    <tabColor theme="1"/>
  </sheetPr>
  <dimension ref="B1:AA1043"/>
  <sheetViews>
    <sheetView showGridLines="0" tabSelected="1" topLeftCell="B8" zoomScale="54" zoomScaleNormal="70" workbookViewId="0">
      <selection activeCell="P33" sqref="P33"/>
    </sheetView>
  </sheetViews>
  <sheetFormatPr defaultColWidth="8.83203125" defaultRowHeight="15.5" x14ac:dyDescent="0.35"/>
  <cols>
    <col min="1" max="1" width="4.58203125" customWidth="1"/>
    <col min="2" max="2" width="26.83203125" customWidth="1"/>
    <col min="3" max="3" width="18.83203125" customWidth="1"/>
    <col min="4" max="4" width="16.5" customWidth="1"/>
    <col min="5" max="5" width="12.5" customWidth="1"/>
    <col min="6" max="8" width="10.83203125" bestFit="1" customWidth="1"/>
    <col min="9" max="9" width="17" customWidth="1"/>
    <col min="10" max="10" width="13.08203125" customWidth="1"/>
    <col min="11" max="13" width="10.83203125" bestFit="1" customWidth="1"/>
    <col min="14" max="14" width="16.08203125" customWidth="1"/>
    <col min="15" max="15" width="15.58203125" customWidth="1"/>
    <col min="16" max="16" width="10.83203125" bestFit="1" customWidth="1"/>
    <col min="17" max="17" width="10.83203125" customWidth="1"/>
    <col min="18" max="18" width="11.83203125" bestFit="1" customWidth="1"/>
    <col min="19" max="19" width="22.58203125" customWidth="1"/>
    <col min="20" max="20" width="12.08203125" customWidth="1"/>
    <col min="23" max="23" width="30.08203125" customWidth="1"/>
    <col min="24" max="24" width="65" customWidth="1"/>
    <col min="25" max="25" width="30.08203125" customWidth="1"/>
  </cols>
  <sheetData>
    <row r="1" spans="2:27" x14ac:dyDescent="0.35">
      <c r="B1" s="69" t="s">
        <v>195</v>
      </c>
    </row>
    <row r="2" spans="2:27" x14ac:dyDescent="0.35">
      <c r="B2" s="101"/>
      <c r="W2" s="299" t="s">
        <v>342</v>
      </c>
      <c r="X2" s="300"/>
      <c r="Y2" s="300"/>
      <c r="Z2" s="359"/>
      <c r="AA2" s="358"/>
    </row>
    <row r="3" spans="2:27" x14ac:dyDescent="0.35">
      <c r="B3" s="86" t="s">
        <v>198</v>
      </c>
      <c r="W3" s="302" t="s">
        <v>105</v>
      </c>
      <c r="X3" s="303" t="s">
        <v>107</v>
      </c>
      <c r="Y3" s="303" t="s">
        <v>106</v>
      </c>
      <c r="AA3" s="318"/>
    </row>
    <row r="4" spans="2:27" x14ac:dyDescent="0.35">
      <c r="B4" s="266">
        <f>'Dashboard (Overall)'!B31</f>
        <v>7.0000000000000007E-2</v>
      </c>
      <c r="D4" s="69" t="s">
        <v>191</v>
      </c>
      <c r="I4" s="69" t="s">
        <v>190</v>
      </c>
      <c r="N4" s="69" t="s">
        <v>196</v>
      </c>
      <c r="W4" s="319" t="s">
        <v>673</v>
      </c>
      <c r="X4" t="s">
        <v>674</v>
      </c>
      <c r="Y4" t="s">
        <v>344</v>
      </c>
      <c r="AA4" s="318"/>
    </row>
    <row r="5" spans="2:27" x14ac:dyDescent="0.35">
      <c r="B5" s="100" t="s">
        <v>261</v>
      </c>
      <c r="D5" s="234" t="s">
        <v>187</v>
      </c>
      <c r="E5" s="251">
        <f>SUM(D13:H13)</f>
        <v>529250</v>
      </c>
      <c r="I5" s="234" t="s">
        <v>187</v>
      </c>
      <c r="J5" s="251">
        <f ca="1">SUM(I34:M34)</f>
        <v>2471424.2662181733</v>
      </c>
      <c r="N5" s="234" t="s">
        <v>187</v>
      </c>
      <c r="O5" s="251">
        <f ca="1">SUM(N34:R34)</f>
        <v>12015128.860247903</v>
      </c>
      <c r="W5" s="319" t="s">
        <v>346</v>
      </c>
      <c r="X5" t="s">
        <v>675</v>
      </c>
      <c r="Y5" t="str">
        <f ca="1">_xlfn.FORMULATEXT(E5)</f>
        <v>=SUM(D13:H13)</v>
      </c>
      <c r="AA5" s="318"/>
    </row>
    <row r="6" spans="2:27" x14ac:dyDescent="0.35">
      <c r="D6" s="234" t="s">
        <v>43</v>
      </c>
      <c r="E6" s="251">
        <f>SUM(D14:H14)</f>
        <v>408858.24737999996</v>
      </c>
      <c r="I6" s="234" t="s">
        <v>43</v>
      </c>
      <c r="J6" s="251">
        <f ca="1">SUM(I35:M35)</f>
        <v>1754808.0420816322</v>
      </c>
      <c r="N6" s="234" t="s">
        <v>43</v>
      </c>
      <c r="O6" s="251">
        <f ca="1">SUM(N35:R35)</f>
        <v>9150523.0751954522</v>
      </c>
      <c r="W6" s="319" t="s">
        <v>676</v>
      </c>
      <c r="X6" t="s">
        <v>677</v>
      </c>
      <c r="Y6" t="str">
        <f ca="1">_xlfn.FORMULATEXT(E6)</f>
        <v>=SUM(D14:H14)</v>
      </c>
      <c r="AA6" s="318"/>
    </row>
    <row r="7" spans="2:27" x14ac:dyDescent="0.35">
      <c r="B7" s="86" t="s">
        <v>822</v>
      </c>
      <c r="D7" s="234" t="s">
        <v>185</v>
      </c>
      <c r="E7" s="251">
        <f>SUM(D16:H16)</f>
        <v>120391.75261999998</v>
      </c>
      <c r="I7" s="234" t="s">
        <v>185</v>
      </c>
      <c r="J7" s="251">
        <f ca="1">SUM(I37:M37)</f>
        <v>471494.22980983701</v>
      </c>
      <c r="N7" s="234" t="s">
        <v>185</v>
      </c>
      <c r="O7" s="251">
        <f ca="1">SUM(N37:R37)</f>
        <v>1760296.0522526749</v>
      </c>
      <c r="W7" s="319" t="s">
        <v>678</v>
      </c>
      <c r="X7" t="s">
        <v>679</v>
      </c>
      <c r="Y7" t="str">
        <f ca="1">_xlfn.FORMULATEXT(E7)</f>
        <v>=SUM(D16:H16)</v>
      </c>
      <c r="AA7" s="318"/>
    </row>
    <row r="8" spans="2:27" x14ac:dyDescent="0.35">
      <c r="B8" s="266">
        <f>'Dashboard (Overall)'!B32</f>
        <v>0.2</v>
      </c>
      <c r="D8" s="234" t="s">
        <v>186</v>
      </c>
      <c r="E8" s="263">
        <f>D14</f>
        <v>44738.229220000001</v>
      </c>
      <c r="I8" s="234" t="s">
        <v>186</v>
      </c>
      <c r="J8" s="263">
        <f>E7</f>
        <v>120391.75261999998</v>
      </c>
      <c r="N8" s="234" t="s">
        <v>186</v>
      </c>
      <c r="O8" s="263">
        <f ca="1">J7</f>
        <v>471494.22980983701</v>
      </c>
      <c r="W8" s="319" t="s">
        <v>680</v>
      </c>
      <c r="X8" t="s">
        <v>186</v>
      </c>
      <c r="Y8" t="str">
        <f ca="1">_xlfn.FORMULATEXT(E8)</f>
        <v>=D14</v>
      </c>
      <c r="AA8" s="318"/>
    </row>
    <row r="9" spans="2:27" x14ac:dyDescent="0.35">
      <c r="E9" s="236"/>
      <c r="J9" s="236"/>
      <c r="W9" s="319" t="s">
        <v>575</v>
      </c>
      <c r="X9" t="s">
        <v>681</v>
      </c>
      <c r="Y9" t="str">
        <f ca="1">_xlfn.FORMULATEXT(I13)</f>
        <v>='CAGR Calculation (SG only)'!C110</v>
      </c>
      <c r="AA9" s="318"/>
    </row>
    <row r="10" spans="2:27" x14ac:dyDescent="0.35">
      <c r="W10" s="319" t="s">
        <v>682</v>
      </c>
      <c r="X10" t="s">
        <v>666</v>
      </c>
      <c r="Y10" t="str">
        <f ca="1">_xlfn.FORMULATEXT(I14)</f>
        <v>='CAGR Calculation (SG only)'!C113</v>
      </c>
      <c r="AA10" s="318"/>
    </row>
    <row r="11" spans="2:27" x14ac:dyDescent="0.35">
      <c r="C11" s="258" t="s">
        <v>88</v>
      </c>
      <c r="D11" s="259">
        <v>2014</v>
      </c>
      <c r="E11" s="259">
        <v>2015</v>
      </c>
      <c r="F11" s="259">
        <v>2016</v>
      </c>
      <c r="G11" s="259">
        <v>2017</v>
      </c>
      <c r="H11" s="259">
        <v>2018</v>
      </c>
      <c r="I11" s="260">
        <v>2019</v>
      </c>
      <c r="J11" s="259">
        <v>2020</v>
      </c>
      <c r="K11" s="259">
        <v>2021</v>
      </c>
      <c r="L11" s="259">
        <v>2022</v>
      </c>
      <c r="M11" s="259">
        <v>2023</v>
      </c>
      <c r="N11" s="260">
        <v>2024</v>
      </c>
      <c r="O11" s="259">
        <v>2025</v>
      </c>
      <c r="P11" s="259">
        <v>2026</v>
      </c>
      <c r="Q11" s="259">
        <v>2027</v>
      </c>
      <c r="R11" s="259">
        <v>2028</v>
      </c>
      <c r="W11" s="319" t="s">
        <v>683</v>
      </c>
      <c r="X11" t="s">
        <v>686</v>
      </c>
      <c r="Y11" t="str">
        <f ca="1">_xlfn.FORMULATEXT(I15)</f>
        <v>=I14*(100%+$B$4)</v>
      </c>
      <c r="AA11" s="318"/>
    </row>
    <row r="12" spans="2:27" x14ac:dyDescent="0.35">
      <c r="C12" s="267" t="s">
        <v>188</v>
      </c>
      <c r="D12" s="265"/>
      <c r="E12" s="265"/>
      <c r="F12" s="265"/>
      <c r="G12" s="265"/>
      <c r="H12" s="265"/>
      <c r="I12" s="261"/>
      <c r="J12" s="265"/>
      <c r="K12" s="265"/>
      <c r="L12" s="265"/>
      <c r="M12" s="265"/>
      <c r="N12" s="261"/>
      <c r="O12" s="265"/>
      <c r="P12" s="265"/>
      <c r="Q12" s="265"/>
      <c r="R12" s="265"/>
      <c r="W12" s="319" t="s">
        <v>684</v>
      </c>
      <c r="X12" t="s">
        <v>685</v>
      </c>
      <c r="Y12" t="str">
        <f ca="1">_xlfn.FORMULATEXT(I17)</f>
        <v>=IF(I16&gt;0,I16*(100%-$B$8),I16)</v>
      </c>
      <c r="AA12" s="318"/>
    </row>
    <row r="13" spans="2:27" x14ac:dyDescent="0.35">
      <c r="C13" s="268" t="s">
        <v>1</v>
      </c>
      <c r="D13" s="269">
        <f>'Past Inputs'!I12</f>
        <v>41312</v>
      </c>
      <c r="E13" s="269">
        <f>'Past Inputs'!I22</f>
        <v>115898</v>
      </c>
      <c r="F13" s="269">
        <f>'Past Inputs'!I32</f>
        <v>115828</v>
      </c>
      <c r="G13" s="269">
        <f>'Past Inputs'!I42</f>
        <v>128466</v>
      </c>
      <c r="H13" s="269">
        <f>'Past Inputs'!I52</f>
        <v>127746</v>
      </c>
      <c r="I13" s="261">
        <f ca="1">'CAGR Calculation (SG only)'!C110</f>
        <v>171705.21174959792</v>
      </c>
      <c r="J13" s="265">
        <f ca="1">'CAGR Calculation (SG only)'!D110</f>
        <v>172442.74138688605</v>
      </c>
      <c r="K13" s="265">
        <f ca="1">'CAGR Calculation (SG only)'!E110</f>
        <v>205134.56742075956</v>
      </c>
      <c r="L13" s="265">
        <f ca="1">'CAGR Calculation (SG only)'!F110</f>
        <v>234141.20903723771</v>
      </c>
      <c r="M13" s="265">
        <f ca="1">'CAGR Calculation (SG only)'!G110</f>
        <v>263774.85346566368</v>
      </c>
      <c r="N13" s="261">
        <f ca="1">'CAGR Calculation (SG only)'!H110</f>
        <v>279298.19834348321</v>
      </c>
      <c r="O13" s="265">
        <f ca="1">'CAGR Calculation (SG only)'!I110</f>
        <v>288797.83335912594</v>
      </c>
      <c r="P13" s="265">
        <f ca="1">'CAGR Calculation (SG only)'!J110</f>
        <v>303575.77744148928</v>
      </c>
      <c r="Q13" s="265">
        <f ca="1">'CAGR Calculation (SG only)'!K110</f>
        <v>357339.43650261848</v>
      </c>
      <c r="R13" s="265">
        <f ca="1">'CAGR Calculation (SG only)'!L110</f>
        <v>317616.79044645547</v>
      </c>
      <c r="W13" s="319" t="s">
        <v>687</v>
      </c>
      <c r="X13" t="s">
        <v>693</v>
      </c>
      <c r="Y13" t="str">
        <f ca="1">_xlfn.FORMULATEXT(I20)</f>
        <v>=$J$8/$E$8*D13</v>
      </c>
      <c r="AA13" s="318"/>
    </row>
    <row r="14" spans="2:27" x14ac:dyDescent="0.35">
      <c r="C14" s="268" t="s">
        <v>821</v>
      </c>
      <c r="D14" s="269">
        <f>'Past Inputs'!J12</f>
        <v>44738.229220000001</v>
      </c>
      <c r="E14" s="269">
        <f>'Past Inputs'!J22</f>
        <v>85171.045160000009</v>
      </c>
      <c r="F14" s="269">
        <f>'Past Inputs'!J32</f>
        <v>90236.222120000006</v>
      </c>
      <c r="G14" s="269">
        <f>'Past Inputs'!J42</f>
        <v>94154.539900000003</v>
      </c>
      <c r="H14" s="269">
        <f>'Past Inputs'!J52</f>
        <v>94558.210980000003</v>
      </c>
      <c r="I14" s="261">
        <f ca="1">'CAGR Calculation (SG only)'!C113</f>
        <v>119200.93949331115</v>
      </c>
      <c r="J14" s="265">
        <f ca="1">'CAGR Calculation (SG only)'!D113</f>
        <v>119424.38056877477</v>
      </c>
      <c r="K14" s="265">
        <f ca="1">'CAGR Calculation (SG only)'!E113</f>
        <v>129644.93794303868</v>
      </c>
      <c r="L14" s="265">
        <f ca="1">'CAGR Calculation (SG only)'!F113</f>
        <v>138508.22893347789</v>
      </c>
      <c r="M14" s="265">
        <f ca="1">'CAGR Calculation (SG only)'!G113</f>
        <v>147781.24774657277</v>
      </c>
      <c r="N14" s="261">
        <f ca="1">'CAGR Calculation (SG only)'!H113</f>
        <v>152369.08716725389</v>
      </c>
      <c r="O14" s="265">
        <f ca="1">'CAGR Calculation (SG only)'!I113</f>
        <v>155412.469747458</v>
      </c>
      <c r="P14" s="265">
        <f ca="1">'CAGR Calculation (SG only)'!J113</f>
        <v>159848.13521837178</v>
      </c>
      <c r="Q14" s="265">
        <f ca="1">'CAGR Calculation (SG only)'!K113</f>
        <v>176478.93751148705</v>
      </c>
      <c r="R14" s="265">
        <f ca="1">'CAGR Calculation (SG only)'!L113</f>
        <v>164184.58925781312</v>
      </c>
      <c r="W14" s="319" t="s">
        <v>688</v>
      </c>
      <c r="X14" t="s">
        <v>694</v>
      </c>
      <c r="Y14" t="str">
        <f ca="1">_xlfn.FORMULATEXT(I21)</f>
        <v>=$J$8/$E$8*D14</v>
      </c>
      <c r="AA14" s="318"/>
    </row>
    <row r="15" spans="2:27" x14ac:dyDescent="0.35">
      <c r="C15" s="268" t="s">
        <v>199</v>
      </c>
      <c r="D15" s="269">
        <f>D14</f>
        <v>44738.229220000001</v>
      </c>
      <c r="E15" s="269">
        <f>E14</f>
        <v>85171.045160000009</v>
      </c>
      <c r="F15" s="269">
        <f>F14</f>
        <v>90236.222120000006</v>
      </c>
      <c r="G15" s="269">
        <f>G14</f>
        <v>94154.539900000003</v>
      </c>
      <c r="H15" s="269">
        <f>H14</f>
        <v>94558.210980000003</v>
      </c>
      <c r="I15" s="261">
        <f ca="1">I14*(100%+$B$4)</f>
        <v>127545.00525784293</v>
      </c>
      <c r="J15" s="265">
        <f t="shared" ref="J15:R15" ca="1" si="0">J14*(100%+$B$4)</f>
        <v>127784.087208589</v>
      </c>
      <c r="K15" s="265">
        <f t="shared" ca="1" si="0"/>
        <v>138720.0835990514</v>
      </c>
      <c r="L15" s="265">
        <f t="shared" ca="1" si="0"/>
        <v>148203.80495882136</v>
      </c>
      <c r="M15" s="265">
        <f t="shared" ca="1" si="0"/>
        <v>158125.93508883286</v>
      </c>
      <c r="N15" s="261">
        <f t="shared" ca="1" si="0"/>
        <v>163034.92326896166</v>
      </c>
      <c r="O15" s="265">
        <f t="shared" ca="1" si="0"/>
        <v>166291.34262978006</v>
      </c>
      <c r="P15" s="265">
        <f t="shared" ca="1" si="0"/>
        <v>171037.50468365781</v>
      </c>
      <c r="Q15" s="265">
        <f t="shared" ca="1" si="0"/>
        <v>188832.46313729114</v>
      </c>
      <c r="R15" s="265">
        <f t="shared" ca="1" si="0"/>
        <v>175677.51050586003</v>
      </c>
      <c r="W15" s="319" t="s">
        <v>489</v>
      </c>
      <c r="X15" t="s">
        <v>695</v>
      </c>
      <c r="Y15" t="str">
        <f ca="1">_xlfn.FORMULATEXT(I22)</f>
        <v>=I21*(100%+$B$4)</v>
      </c>
      <c r="AA15" s="318"/>
    </row>
    <row r="16" spans="2:27" x14ac:dyDescent="0.35">
      <c r="C16" s="268" t="s">
        <v>189</v>
      </c>
      <c r="D16" s="269">
        <f>'Past Inputs'!K12</f>
        <v>-3426.2292200000011</v>
      </c>
      <c r="E16" s="269">
        <f>'Past Inputs'!K22</f>
        <v>30726.954839999991</v>
      </c>
      <c r="F16" s="269">
        <f>'Past Inputs'!K32</f>
        <v>25591.777879999994</v>
      </c>
      <c r="G16" s="269">
        <f>'Past Inputs'!K42</f>
        <v>34311.460099999997</v>
      </c>
      <c r="H16" s="269">
        <f>'Past Inputs'!K52</f>
        <v>33187.789019999997</v>
      </c>
      <c r="I16" s="261">
        <f ca="1">I13-I15</f>
        <v>44160.206491754987</v>
      </c>
      <c r="J16" s="265">
        <f t="shared" ref="J16:R16" ca="1" si="1">J13-J15</f>
        <v>44658.654178297045</v>
      </c>
      <c r="K16" s="265">
        <f t="shared" ca="1" si="1"/>
        <v>66414.483821708156</v>
      </c>
      <c r="L16" s="265">
        <f t="shared" ca="1" si="1"/>
        <v>85937.404078416352</v>
      </c>
      <c r="M16" s="265">
        <f t="shared" ca="1" si="1"/>
        <v>105648.91837683081</v>
      </c>
      <c r="N16" s="261">
        <f t="shared" ca="1" si="1"/>
        <v>116263.27507452155</v>
      </c>
      <c r="O16" s="265">
        <f t="shared" ca="1" si="1"/>
        <v>122506.49072934588</v>
      </c>
      <c r="P16" s="265">
        <f t="shared" ca="1" si="1"/>
        <v>132538.27275783147</v>
      </c>
      <c r="Q16" s="265">
        <f t="shared" ca="1" si="1"/>
        <v>168506.97336532734</v>
      </c>
      <c r="R16" s="265">
        <f t="shared" ca="1" si="1"/>
        <v>141939.27994059544</v>
      </c>
      <c r="W16" s="319" t="s">
        <v>689</v>
      </c>
      <c r="X16" t="s">
        <v>696</v>
      </c>
      <c r="Y16" t="str">
        <f ca="1">_xlfn.FORMULATEXT(I23)</f>
        <v>=I20-I22</v>
      </c>
      <c r="AA16" s="318"/>
    </row>
    <row r="17" spans="3:27" x14ac:dyDescent="0.35">
      <c r="C17" s="268" t="s">
        <v>823</v>
      </c>
      <c r="D17" s="269"/>
      <c r="E17" s="269"/>
      <c r="F17" s="269"/>
      <c r="G17" s="269"/>
      <c r="H17" s="269"/>
      <c r="I17" s="261">
        <f ca="1">IF(I16&gt;0,I16*(100%-$B$8),I16)</f>
        <v>35328.165193403991</v>
      </c>
      <c r="J17" s="265">
        <f t="shared" ref="J17:R17" ca="1" si="2">IF(J16&gt;0,J16*(100%-$B$8),J16)</f>
        <v>35726.923342637638</v>
      </c>
      <c r="K17" s="265">
        <f t="shared" ca="1" si="2"/>
        <v>53131.587057366531</v>
      </c>
      <c r="L17" s="265">
        <f t="shared" ca="1" si="2"/>
        <v>68749.923262733078</v>
      </c>
      <c r="M17" s="265">
        <f t="shared" ca="1" si="2"/>
        <v>84519.13470146466</v>
      </c>
      <c r="N17" s="261">
        <f t="shared" ca="1" si="2"/>
        <v>93010.620059617242</v>
      </c>
      <c r="O17" s="265">
        <f t="shared" ca="1" si="2"/>
        <v>98005.192583476717</v>
      </c>
      <c r="P17" s="265">
        <f t="shared" ca="1" si="2"/>
        <v>106030.61820626518</v>
      </c>
      <c r="Q17" s="265">
        <f t="shared" ca="1" si="2"/>
        <v>134805.57869226189</v>
      </c>
      <c r="R17" s="265">
        <f t="shared" ca="1" si="2"/>
        <v>113551.42395247635</v>
      </c>
      <c r="W17" s="319"/>
      <c r="AA17" s="318"/>
    </row>
    <row r="18" spans="3:27" x14ac:dyDescent="0.35">
      <c r="C18" s="268"/>
      <c r="D18" s="265"/>
      <c r="E18" s="265"/>
      <c r="F18" s="265"/>
      <c r="G18" s="265"/>
      <c r="H18" s="265"/>
      <c r="I18" s="261"/>
      <c r="J18" s="265"/>
      <c r="K18" s="265"/>
      <c r="L18" s="265"/>
      <c r="M18" s="265"/>
      <c r="N18" s="261"/>
      <c r="O18" s="265"/>
      <c r="P18" s="265"/>
      <c r="Q18" s="265"/>
      <c r="R18" s="265"/>
      <c r="W18" s="319" t="s">
        <v>690</v>
      </c>
      <c r="X18" t="s">
        <v>691</v>
      </c>
      <c r="Y18" t="str">
        <f ca="1">_xlfn.FORMULATEXT(N27)</f>
        <v>=$J$7/$J$8*(D13+I20)</v>
      </c>
      <c r="AA18" s="318"/>
    </row>
    <row r="19" spans="3:27" x14ac:dyDescent="0.35">
      <c r="C19" s="267" t="s">
        <v>192</v>
      </c>
      <c r="D19" s="265"/>
      <c r="E19" s="265"/>
      <c r="F19" s="265"/>
      <c r="G19" s="265"/>
      <c r="H19" s="265"/>
      <c r="I19" s="261"/>
      <c r="J19" s="265"/>
      <c r="K19" s="265"/>
      <c r="L19" s="265"/>
      <c r="M19" s="265"/>
      <c r="N19" s="261"/>
      <c r="O19" s="265"/>
      <c r="P19" s="265"/>
      <c r="Q19" s="265"/>
      <c r="R19" s="265"/>
      <c r="W19" s="319" t="s">
        <v>555</v>
      </c>
      <c r="X19" t="s">
        <v>692</v>
      </c>
      <c r="Y19" t="str">
        <f ca="1">_xlfn.FORMULATEXT(N28)</f>
        <v>=$O$8/$J$8*(I21+D14)</v>
      </c>
      <c r="AA19" s="318"/>
    </row>
    <row r="20" spans="3:27" x14ac:dyDescent="0.35">
      <c r="C20" s="268" t="s">
        <v>1</v>
      </c>
      <c r="D20" s="265"/>
      <c r="E20" s="265"/>
      <c r="F20" s="265"/>
      <c r="G20" s="265"/>
      <c r="H20" s="265"/>
      <c r="I20" s="261">
        <f t="shared" ref="I20:R21" si="3">$J$8/$E$8*D13</f>
        <v>111171.67958927632</v>
      </c>
      <c r="J20" s="265">
        <f t="shared" si="3"/>
        <v>311884.56915758003</v>
      </c>
      <c r="K20" s="265">
        <f t="shared" si="3"/>
        <v>311696.19731474383</v>
      </c>
      <c r="L20" s="265">
        <f t="shared" si="3"/>
        <v>345705.38802565768</v>
      </c>
      <c r="M20" s="265">
        <f t="shared" si="3"/>
        <v>343767.84907077102</v>
      </c>
      <c r="N20" s="261">
        <f t="shared" ca="1" si="3"/>
        <v>462063.24516932468</v>
      </c>
      <c r="O20" s="265">
        <f t="shared" ca="1" si="3"/>
        <v>464047.95683964301</v>
      </c>
      <c r="P20" s="265">
        <f t="shared" ca="1" si="3"/>
        <v>552022.52134937746</v>
      </c>
      <c r="Q20" s="265">
        <f t="shared" ca="1" si="3"/>
        <v>630080.15757488285</v>
      </c>
      <c r="R20" s="265">
        <f t="shared" ca="1" si="3"/>
        <v>709825.07487396093</v>
      </c>
      <c r="W20" s="319" t="s">
        <v>697</v>
      </c>
      <c r="X20" t="s">
        <v>699</v>
      </c>
      <c r="Y20" t="str">
        <f ca="1">_xlfn.FORMULATEXT(N29)</f>
        <v>=N28*(100%+$B$4)</v>
      </c>
      <c r="AA20" s="318"/>
    </row>
    <row r="21" spans="3:27" x14ac:dyDescent="0.35">
      <c r="C21" s="268" t="s">
        <v>821</v>
      </c>
      <c r="D21" s="265"/>
      <c r="E21" s="265"/>
      <c r="F21" s="265"/>
      <c r="G21" s="265"/>
      <c r="H21" s="265"/>
      <c r="I21" s="261">
        <f t="shared" si="3"/>
        <v>120391.75261999998</v>
      </c>
      <c r="J21" s="265">
        <f t="shared" si="3"/>
        <v>229197.5247582132</v>
      </c>
      <c r="K21" s="265">
        <f t="shared" si="3"/>
        <v>242828.04930459452</v>
      </c>
      <c r="L21" s="265">
        <f t="shared" si="3"/>
        <v>253372.34560511552</v>
      </c>
      <c r="M21" s="265">
        <f t="shared" si="3"/>
        <v>254458.63510853384</v>
      </c>
      <c r="N21" s="261">
        <f t="shared" ca="1" si="3"/>
        <v>320772.86628803011</v>
      </c>
      <c r="O21" s="265">
        <f t="shared" ca="1" si="3"/>
        <v>321374.15210446418</v>
      </c>
      <c r="P21" s="265">
        <f t="shared" ca="1" si="3"/>
        <v>348877.94106736802</v>
      </c>
      <c r="Q21" s="265">
        <f t="shared" ca="1" si="3"/>
        <v>372729.2904596905</v>
      </c>
      <c r="R21" s="265">
        <f t="shared" ca="1" si="3"/>
        <v>397683.22820936894</v>
      </c>
      <c r="W21" s="319" t="s">
        <v>698</v>
      </c>
      <c r="X21" t="s">
        <v>700</v>
      </c>
      <c r="Y21" t="str">
        <f ca="1">_xlfn.FORMULATEXT(N30)</f>
        <v>=N27-N29</v>
      </c>
      <c r="AA21" s="318"/>
    </row>
    <row r="22" spans="3:27" x14ac:dyDescent="0.35">
      <c r="C22" s="268" t="s">
        <v>199</v>
      </c>
      <c r="D22" s="265"/>
      <c r="E22" s="265"/>
      <c r="F22" s="265"/>
      <c r="G22" s="265"/>
      <c r="H22" s="265"/>
      <c r="I22" s="261">
        <f>I21*(100%+$B$4)</f>
        <v>128819.17530339998</v>
      </c>
      <c r="J22" s="265">
        <f t="shared" ref="J22" si="4">J21*(100%+$B$4)</f>
        <v>245241.35149128814</v>
      </c>
      <c r="K22" s="265">
        <f t="shared" ref="K22" si="5">K21*(100%+$B$4)</f>
        <v>259826.01275591616</v>
      </c>
      <c r="L22" s="265">
        <f t="shared" ref="L22" si="6">L21*(100%+$B$4)</f>
        <v>271108.40979747364</v>
      </c>
      <c r="M22" s="265">
        <f t="shared" ref="M22" si="7">M21*(100%+$B$4)</f>
        <v>272270.7395661312</v>
      </c>
      <c r="N22" s="261">
        <f t="shared" ref="N22" ca="1" si="8">N21*(100%+$B$4)</f>
        <v>343226.96692819224</v>
      </c>
      <c r="O22" s="265">
        <f t="shared" ref="O22" ca="1" si="9">O21*(100%+$B$4)</f>
        <v>343870.34275177668</v>
      </c>
      <c r="P22" s="265">
        <f t="shared" ref="P22" ca="1" si="10">P21*(100%+$B$4)</f>
        <v>373299.39694208378</v>
      </c>
      <c r="Q22" s="265">
        <f t="shared" ref="Q22" ca="1" si="11">Q21*(100%+$B$4)</f>
        <v>398820.34079186886</v>
      </c>
      <c r="R22" s="265">
        <f t="shared" ref="R22" ca="1" si="12">R21*(100%+$B$4)</f>
        <v>425521.0541840248</v>
      </c>
      <c r="W22" s="319" t="s">
        <v>702</v>
      </c>
      <c r="X22" t="s">
        <v>701</v>
      </c>
      <c r="Y22" t="str">
        <f ca="1">_xlfn.FORMULATEXT(O44)</f>
        <v>{=TABLE(,O41)}</v>
      </c>
      <c r="AA22" s="318"/>
    </row>
    <row r="23" spans="3:27" x14ac:dyDescent="0.35">
      <c r="C23" s="268" t="s">
        <v>189</v>
      </c>
      <c r="D23" s="265"/>
      <c r="E23" s="265"/>
      <c r="F23" s="265"/>
      <c r="G23" s="265"/>
      <c r="H23" s="265"/>
      <c r="I23" s="261">
        <f>I20-I22</f>
        <v>-17647.495714123666</v>
      </c>
      <c r="J23" s="265">
        <f t="shared" ref="J23" si="13">J20-J22</f>
        <v>66643.217666291894</v>
      </c>
      <c r="K23" s="265">
        <f t="shared" ref="K23" si="14">K20-K22</f>
        <v>51870.184558827663</v>
      </c>
      <c r="L23" s="265">
        <f t="shared" ref="L23" si="15">L20-L22</f>
        <v>74596.978228184045</v>
      </c>
      <c r="M23" s="265">
        <f t="shared" ref="M23" si="16">M20-M22</f>
        <v>71497.109504639811</v>
      </c>
      <c r="N23" s="261">
        <f t="shared" ref="N23" ca="1" si="17">N20-N22</f>
        <v>118836.27824113244</v>
      </c>
      <c r="O23" s="265">
        <f t="shared" ref="O23" ca="1" si="18">O20-O22</f>
        <v>120177.61408786633</v>
      </c>
      <c r="P23" s="265">
        <f t="shared" ref="P23" ca="1" si="19">P20-P22</f>
        <v>178723.12440729368</v>
      </c>
      <c r="Q23" s="265">
        <f t="shared" ref="Q23" ca="1" si="20">Q20-Q22</f>
        <v>231259.81678301399</v>
      </c>
      <c r="R23" s="265">
        <f t="shared" ref="R23" ca="1" si="21">R20-R22</f>
        <v>284304.02068993612</v>
      </c>
      <c r="W23" s="319" t="s">
        <v>703</v>
      </c>
      <c r="X23" t="s">
        <v>704</v>
      </c>
      <c r="Y23" t="str">
        <f ca="1">_xlfn.FORMULATEXT(T34)</f>
        <v>=(R34/LOOKUP('Dashboard (Overall)'!B35,'Expansion Plans (Monte Carlo)'!D11:R11,'Expansion Plans (Monte Carlo)'!D34:R34))^(1/(R11-'Dashboard (Overall)'!B35))-1</v>
      </c>
      <c r="AA23" s="318"/>
    </row>
    <row r="24" spans="3:27" x14ac:dyDescent="0.35">
      <c r="C24" s="268" t="s">
        <v>823</v>
      </c>
      <c r="D24" s="269"/>
      <c r="E24" s="269"/>
      <c r="F24" s="269"/>
      <c r="G24" s="269"/>
      <c r="H24" s="269"/>
      <c r="I24" s="261">
        <f>IF(I23&gt;0,I23*(100%-$B$8),I23)</f>
        <v>-17647.495714123666</v>
      </c>
      <c r="J24" s="265">
        <f t="shared" ref="J24:R24" si="22">IF(J23&gt;0,J23*(100%-$B$8),J23)</f>
        <v>53314.574133033515</v>
      </c>
      <c r="K24" s="265">
        <f t="shared" si="22"/>
        <v>41496.147647062135</v>
      </c>
      <c r="L24" s="265">
        <f t="shared" si="22"/>
        <v>59677.582582547242</v>
      </c>
      <c r="M24" s="265">
        <f t="shared" si="22"/>
        <v>57197.687603711849</v>
      </c>
      <c r="N24" s="261">
        <f t="shared" ca="1" si="22"/>
        <v>95069.022592905967</v>
      </c>
      <c r="O24" s="265">
        <f t="shared" ca="1" si="22"/>
        <v>96142.091270293065</v>
      </c>
      <c r="P24" s="265">
        <f t="shared" ca="1" si="22"/>
        <v>142978.49952583495</v>
      </c>
      <c r="Q24" s="265">
        <f t="shared" ca="1" si="22"/>
        <v>185007.85342641119</v>
      </c>
      <c r="R24" s="265">
        <f t="shared" ca="1" si="22"/>
        <v>227443.21655194892</v>
      </c>
      <c r="W24" s="319"/>
      <c r="AA24" s="318"/>
    </row>
    <row r="25" spans="3:27" x14ac:dyDescent="0.35">
      <c r="C25" s="268"/>
      <c r="D25" s="265"/>
      <c r="E25" s="265"/>
      <c r="F25" s="265"/>
      <c r="G25" s="265"/>
      <c r="H25" s="265"/>
      <c r="I25" s="261"/>
      <c r="J25" s="265"/>
      <c r="K25" s="265"/>
      <c r="L25" s="265"/>
      <c r="M25" s="265"/>
      <c r="N25" s="261"/>
      <c r="O25" s="265"/>
      <c r="P25" s="265"/>
      <c r="Q25" s="265"/>
      <c r="R25" s="265"/>
      <c r="W25" s="319" t="s">
        <v>705</v>
      </c>
      <c r="X25" t="s">
        <v>157</v>
      </c>
      <c r="Y25" t="str">
        <f ca="1">_xlfn.FORMULATEXT(S44)</f>
        <v>=AVERAGE(O44:O10043)</v>
      </c>
      <c r="AA25" s="318"/>
    </row>
    <row r="26" spans="3:27" x14ac:dyDescent="0.35">
      <c r="C26" s="267" t="s">
        <v>193</v>
      </c>
      <c r="D26" s="265"/>
      <c r="E26" s="265"/>
      <c r="F26" s="265"/>
      <c r="G26" s="265"/>
      <c r="H26" s="265"/>
      <c r="I26" s="261"/>
      <c r="J26" s="265"/>
      <c r="K26" s="265"/>
      <c r="L26" s="265"/>
      <c r="M26" s="265"/>
      <c r="N26" s="261"/>
      <c r="O26" s="265"/>
      <c r="P26" s="265"/>
      <c r="Q26" s="265"/>
      <c r="R26" s="265"/>
      <c r="W26" s="319" t="s">
        <v>706</v>
      </c>
      <c r="X26" t="s">
        <v>151</v>
      </c>
      <c r="Y26" t="s">
        <v>344</v>
      </c>
      <c r="AA26" s="318"/>
    </row>
    <row r="27" spans="3:27" x14ac:dyDescent="0.35">
      <c r="C27" s="268" t="s">
        <v>1</v>
      </c>
      <c r="D27" s="265"/>
      <c r="E27" s="265"/>
      <c r="F27" s="265"/>
      <c r="G27" s="265"/>
      <c r="H27" s="265"/>
      <c r="I27" s="261"/>
      <c r="J27" s="265"/>
      <c r="K27" s="265"/>
      <c r="L27" s="265"/>
      <c r="M27" s="265"/>
      <c r="N27" s="261">
        <f ca="1">$J$7/$J$8*(D13+I20)</f>
        <v>597176.91205512255</v>
      </c>
      <c r="O27" s="265">
        <f ca="1">$J$7/$J$8*(E13+J20)</f>
        <v>1675339.1206759438</v>
      </c>
      <c r="P27" s="265">
        <f ca="1">$J$7/$J$8*(F13+K20)</f>
        <v>1674327.2504241075</v>
      </c>
      <c r="Q27" s="265">
        <f ca="1">$J$7/$J$8*(G13+L20)</f>
        <v>1857013.1967484839</v>
      </c>
      <c r="R27" s="265">
        <f ca="1">$J$7/$J$8*(H13+M20)</f>
        <v>1846605.3884438828</v>
      </c>
      <c r="W27" s="319" t="s">
        <v>707</v>
      </c>
      <c r="X27" t="s">
        <v>671</v>
      </c>
      <c r="Y27" t="s">
        <v>344</v>
      </c>
      <c r="AA27" s="318"/>
    </row>
    <row r="28" spans="3:27" x14ac:dyDescent="0.35">
      <c r="C28" s="268" t="s">
        <v>821</v>
      </c>
      <c r="D28" s="265"/>
      <c r="E28" s="265"/>
      <c r="F28" s="265"/>
      <c r="G28" s="265"/>
      <c r="H28" s="265"/>
      <c r="I28" s="261"/>
      <c r="J28" s="265"/>
      <c r="K28" s="265"/>
      <c r="L28" s="265"/>
      <c r="M28" s="265"/>
      <c r="N28" s="261">
        <f ca="1">$O$8/$J$8*(I21+D14)</f>
        <v>646704.0466792665</v>
      </c>
      <c r="O28" s="265">
        <f ca="1">$O$8/$J$8*(J21+J14)</f>
        <v>1365319.5768800506</v>
      </c>
      <c r="P28" s="265">
        <f ca="1">$O$8/$J$8*(K21+K14)</f>
        <v>1458728.3632426953</v>
      </c>
      <c r="Q28" s="265">
        <f ca="1">$O$8/$J$8*(L21+L14)</f>
        <v>1534734.9436195171</v>
      </c>
      <c r="R28" s="265">
        <f ca="1">$O$8/$J$8*(M21+M14)</f>
        <v>1575305.4477426179</v>
      </c>
      <c r="W28" s="319" t="s">
        <v>708</v>
      </c>
      <c r="X28" t="s">
        <v>709</v>
      </c>
      <c r="Y28" t="str">
        <f ca="1">_xlfn.FORMULATEXT(T48)</f>
        <v>=(T47/T46)^(1/10)-1</v>
      </c>
      <c r="AA28" s="318"/>
    </row>
    <row r="29" spans="3:27" x14ac:dyDescent="0.35">
      <c r="C29" s="268" t="s">
        <v>199</v>
      </c>
      <c r="D29" s="265"/>
      <c r="E29" s="265"/>
      <c r="F29" s="265"/>
      <c r="G29" s="265"/>
      <c r="H29" s="265"/>
      <c r="I29" s="261"/>
      <c r="J29" s="265"/>
      <c r="K29" s="265"/>
      <c r="L29" s="265"/>
      <c r="M29" s="265"/>
      <c r="N29" s="261">
        <f ca="1">N28*(100%+$B$4)</f>
        <v>691973.32994681515</v>
      </c>
      <c r="O29" s="265">
        <f t="shared" ref="O29" ca="1" si="23">O28*(100%+$B$4)</f>
        <v>1460891.9472616543</v>
      </c>
      <c r="P29" s="265">
        <f t="shared" ref="P29" ca="1" si="24">P28*(100%+$B$4)</f>
        <v>1560839.348669684</v>
      </c>
      <c r="Q29" s="265">
        <f t="shared" ref="Q29" ca="1" si="25">Q28*(100%+$B$4)</f>
        <v>1642166.3896728836</v>
      </c>
      <c r="R29" s="265">
        <f t="shared" ref="R29" ca="1" si="26">R28*(100%+$B$4)</f>
        <v>1685576.8290846013</v>
      </c>
      <c r="W29" s="319" t="s">
        <v>710</v>
      </c>
      <c r="X29" t="s">
        <v>155</v>
      </c>
      <c r="Y29" t="str">
        <f ca="1">_xlfn.FORMULATEXT(S51)</f>
        <v>=STDEV.S(O44:O10043)</v>
      </c>
      <c r="AA29" s="318"/>
    </row>
    <row r="30" spans="3:27" x14ac:dyDescent="0.35">
      <c r="C30" s="268" t="s">
        <v>189</v>
      </c>
      <c r="D30" s="265"/>
      <c r="E30" s="265"/>
      <c r="F30" s="265"/>
      <c r="G30" s="265"/>
      <c r="H30" s="265"/>
      <c r="I30" s="261"/>
      <c r="J30" s="265"/>
      <c r="K30" s="265"/>
      <c r="L30" s="265"/>
      <c r="M30" s="265"/>
      <c r="N30" s="261">
        <f ca="1">N27-N29</f>
        <v>-94796.417891692603</v>
      </c>
      <c r="O30" s="265">
        <f t="shared" ref="O30" ca="1" si="27">O27-O29</f>
        <v>214447.17341428949</v>
      </c>
      <c r="P30" s="265">
        <f t="shared" ref="P30" ca="1" si="28">P27-P29</f>
        <v>113487.90175442351</v>
      </c>
      <c r="Q30" s="265">
        <f t="shared" ref="Q30" ca="1" si="29">Q27-Q29</f>
        <v>214846.80707560037</v>
      </c>
      <c r="R30" s="265">
        <f t="shared" ref="R30" ca="1" si="30">R27-R29</f>
        <v>161028.55935928156</v>
      </c>
      <c r="W30" s="319" t="s">
        <v>711</v>
      </c>
      <c r="X30" t="s">
        <v>712</v>
      </c>
      <c r="Y30" t="str">
        <f ca="1">_xlfn.FORMULATEXT(S54)</f>
        <v>=1-NORM.DIST(T48,S44,S51,TRUE)</v>
      </c>
      <c r="AA30" s="318"/>
    </row>
    <row r="31" spans="3:27" x14ac:dyDescent="0.35">
      <c r="C31" s="268" t="s">
        <v>823</v>
      </c>
      <c r="D31" s="265"/>
      <c r="E31" s="265"/>
      <c r="F31" s="265"/>
      <c r="G31" s="265"/>
      <c r="H31" s="265"/>
      <c r="I31" s="261"/>
      <c r="J31" s="265"/>
      <c r="K31" s="265"/>
      <c r="L31" s="265"/>
      <c r="M31" s="265"/>
      <c r="N31" s="261">
        <f ca="1">IF(N30&gt;0,N30*(100%-$B$8),N30)</f>
        <v>-94796.417891692603</v>
      </c>
      <c r="O31" s="265">
        <f t="shared" ref="O31:R31" ca="1" si="31">IF(O30&gt;0,O30*(100%-$B$8),O30)</f>
        <v>171557.7387314316</v>
      </c>
      <c r="P31" s="265">
        <f t="shared" ca="1" si="31"/>
        <v>90790.321403538808</v>
      </c>
      <c r="Q31" s="265">
        <f t="shared" ca="1" si="31"/>
        <v>171877.4456604803</v>
      </c>
      <c r="R31" s="265">
        <f t="shared" ca="1" si="31"/>
        <v>128822.84748742526</v>
      </c>
      <c r="W31" s="319"/>
      <c r="AA31" s="318"/>
    </row>
    <row r="32" spans="3:27" x14ac:dyDescent="0.35">
      <c r="C32" s="265"/>
      <c r="D32" s="265"/>
      <c r="E32" s="265"/>
      <c r="F32" s="265"/>
      <c r="G32" s="265"/>
      <c r="H32" s="265"/>
      <c r="I32" s="261"/>
      <c r="J32" s="265"/>
      <c r="K32" s="265"/>
      <c r="L32" s="265"/>
      <c r="M32" s="265"/>
      <c r="N32" s="261"/>
      <c r="O32" s="265"/>
      <c r="P32" s="265"/>
      <c r="Q32" s="265"/>
      <c r="R32" s="265"/>
      <c r="W32" s="319" t="s">
        <v>791</v>
      </c>
      <c r="X32" t="s">
        <v>792</v>
      </c>
      <c r="AA32" s="318"/>
    </row>
    <row r="33" spans="2:27" x14ac:dyDescent="0.35">
      <c r="C33" s="267" t="s">
        <v>17</v>
      </c>
      <c r="D33" s="265"/>
      <c r="E33" s="265"/>
      <c r="F33" s="265"/>
      <c r="G33" s="265"/>
      <c r="H33" s="265"/>
      <c r="I33" s="261"/>
      <c r="J33" s="265"/>
      <c r="K33" s="265"/>
      <c r="L33" s="265"/>
      <c r="M33" s="265"/>
      <c r="N33" s="261"/>
      <c r="O33" s="265"/>
      <c r="P33" s="265"/>
      <c r="Q33" s="265"/>
      <c r="R33" s="265"/>
      <c r="W33" s="319"/>
      <c r="AA33" s="318"/>
    </row>
    <row r="34" spans="2:27" x14ac:dyDescent="0.35">
      <c r="C34" s="268" t="s">
        <v>1</v>
      </c>
      <c r="D34" s="265">
        <f t="shared" ref="D34:R34" si="32">D20+D13+D27</f>
        <v>41312</v>
      </c>
      <c r="E34" s="265">
        <f t="shared" si="32"/>
        <v>115898</v>
      </c>
      <c r="F34" s="265">
        <f t="shared" si="32"/>
        <v>115828</v>
      </c>
      <c r="G34" s="265">
        <f t="shared" si="32"/>
        <v>128466</v>
      </c>
      <c r="H34" s="265">
        <f t="shared" si="32"/>
        <v>127746</v>
      </c>
      <c r="I34" s="261">
        <f t="shared" ca="1" si="32"/>
        <v>282876.89133887424</v>
      </c>
      <c r="J34" s="265">
        <f t="shared" ca="1" si="32"/>
        <v>484327.31054446608</v>
      </c>
      <c r="K34" s="265">
        <f t="shared" ca="1" si="32"/>
        <v>516830.76473550336</v>
      </c>
      <c r="L34" s="265">
        <f t="shared" ca="1" si="32"/>
        <v>579846.59706289542</v>
      </c>
      <c r="M34" s="265">
        <f t="shared" ca="1" si="32"/>
        <v>607542.70253643463</v>
      </c>
      <c r="N34" s="261">
        <f t="shared" ca="1" si="32"/>
        <v>1338538.3555679303</v>
      </c>
      <c r="O34" s="265">
        <f t="shared" ca="1" si="32"/>
        <v>2428184.9108747127</v>
      </c>
      <c r="P34" s="265">
        <f t="shared" ca="1" si="32"/>
        <v>2529925.549214974</v>
      </c>
      <c r="Q34" s="265">
        <f t="shared" ca="1" si="32"/>
        <v>2844432.7908259854</v>
      </c>
      <c r="R34" s="265">
        <f t="shared" ca="1" si="32"/>
        <v>2874047.2537642992</v>
      </c>
      <c r="S34" s="253" t="s">
        <v>194</v>
      </c>
      <c r="T34" s="252">
        <f ca="1">(R34/LOOKUP('Dashboard (Overall)'!B35,'Expansion Plans (Monte Carlo)'!D11:R11,'Expansion Plans (Monte Carlo)'!D34:R34))^(1/(R11-'Dashboard (Overall)'!B35))-1</f>
        <v>0.36525777790251435</v>
      </c>
      <c r="W34" s="319"/>
      <c r="AA34" s="318"/>
    </row>
    <row r="35" spans="2:27" x14ac:dyDescent="0.35">
      <c r="C35" s="268" t="s">
        <v>821</v>
      </c>
      <c r="D35" s="265">
        <f t="shared" ref="D35:R35" si="33">D21+D14+D28</f>
        <v>44738.229220000001</v>
      </c>
      <c r="E35" s="265">
        <f t="shared" si="33"/>
        <v>85171.045160000009</v>
      </c>
      <c r="F35" s="265">
        <f t="shared" si="33"/>
        <v>90236.222120000006</v>
      </c>
      <c r="G35" s="265">
        <f t="shared" si="33"/>
        <v>94154.539900000003</v>
      </c>
      <c r="H35" s="265">
        <f t="shared" si="33"/>
        <v>94558.210980000003</v>
      </c>
      <c r="I35" s="261">
        <f t="shared" ca="1" si="33"/>
        <v>239592.69211331115</v>
      </c>
      <c r="J35" s="265">
        <f t="shared" ca="1" si="33"/>
        <v>348621.90532698797</v>
      </c>
      <c r="K35" s="265">
        <f t="shared" ca="1" si="33"/>
        <v>372472.98724763317</v>
      </c>
      <c r="L35" s="265">
        <f t="shared" ca="1" si="33"/>
        <v>391880.57453859341</v>
      </c>
      <c r="M35" s="265">
        <f t="shared" ca="1" si="33"/>
        <v>402239.88285510661</v>
      </c>
      <c r="N35" s="261">
        <f t="shared" ca="1" si="33"/>
        <v>1119846.0001345505</v>
      </c>
      <c r="O35" s="265">
        <f t="shared" ca="1" si="33"/>
        <v>1842106.1987319728</v>
      </c>
      <c r="P35" s="265">
        <f t="shared" ca="1" si="33"/>
        <v>1967454.439528435</v>
      </c>
      <c r="Q35" s="265">
        <f t="shared" ca="1" si="33"/>
        <v>2083943.1715906947</v>
      </c>
      <c r="R35" s="265">
        <f t="shared" ca="1" si="33"/>
        <v>2137173.2652098001</v>
      </c>
      <c r="W35" s="319"/>
      <c r="AA35" s="318"/>
    </row>
    <row r="36" spans="2:27" x14ac:dyDescent="0.35">
      <c r="C36" s="268" t="s">
        <v>199</v>
      </c>
      <c r="D36" s="265">
        <f t="shared" ref="D36:R36" si="34">SUM(D15,D22,D29)</f>
        <v>44738.229220000001</v>
      </c>
      <c r="E36" s="265">
        <f t="shared" si="34"/>
        <v>85171.045160000009</v>
      </c>
      <c r="F36" s="265">
        <f t="shared" si="34"/>
        <v>90236.222120000006</v>
      </c>
      <c r="G36" s="265">
        <f t="shared" si="34"/>
        <v>94154.539900000003</v>
      </c>
      <c r="H36" s="265">
        <f t="shared" si="34"/>
        <v>94558.210980000003</v>
      </c>
      <c r="I36" s="261">
        <f t="shared" ca="1" si="34"/>
        <v>256364.18056124292</v>
      </c>
      <c r="J36" s="265">
        <f t="shared" ca="1" si="34"/>
        <v>373025.43869987712</v>
      </c>
      <c r="K36" s="265">
        <f t="shared" ca="1" si="34"/>
        <v>398546.09635496757</v>
      </c>
      <c r="L36" s="265">
        <f t="shared" ca="1" si="34"/>
        <v>419312.21475629497</v>
      </c>
      <c r="M36" s="265">
        <f t="shared" ca="1" si="34"/>
        <v>430396.67465496407</v>
      </c>
      <c r="N36" s="261">
        <f t="shared" ca="1" si="34"/>
        <v>1198235.2201439692</v>
      </c>
      <c r="O36" s="265">
        <f t="shared" ca="1" si="34"/>
        <v>1971053.6326432112</v>
      </c>
      <c r="P36" s="265">
        <f t="shared" ca="1" si="34"/>
        <v>2105176.2502954258</v>
      </c>
      <c r="Q36" s="265">
        <f t="shared" ca="1" si="34"/>
        <v>2229819.1936020437</v>
      </c>
      <c r="R36" s="265">
        <f t="shared" ca="1" si="34"/>
        <v>2286775.3937744861</v>
      </c>
      <c r="W36" s="380"/>
      <c r="X36" s="320"/>
      <c r="Y36" s="320"/>
      <c r="Z36" s="320"/>
      <c r="AA36" s="321"/>
    </row>
    <row r="37" spans="2:27" x14ac:dyDescent="0.35">
      <c r="C37" s="268" t="s">
        <v>823</v>
      </c>
      <c r="D37" s="265">
        <f>D34-D36</f>
        <v>-3426.2292200000011</v>
      </c>
      <c r="E37" s="265">
        <f>E34-E36</f>
        <v>30726.954839999991</v>
      </c>
      <c r="F37" s="265">
        <f>F34-F36</f>
        <v>25591.777879999994</v>
      </c>
      <c r="G37" s="265">
        <f>G34-G36</f>
        <v>34311.460099999997</v>
      </c>
      <c r="H37" s="265">
        <f>H34-H36</f>
        <v>33187.789019999997</v>
      </c>
      <c r="I37" s="261">
        <f ca="1">I17+I24+I31</f>
        <v>17680.669479280325</v>
      </c>
      <c r="J37" s="265">
        <f t="shared" ref="J37:R37" ca="1" si="35">J17+J24+J31</f>
        <v>89041.497475671145</v>
      </c>
      <c r="K37" s="265">
        <f t="shared" ca="1" si="35"/>
        <v>94627.734704428673</v>
      </c>
      <c r="L37" s="265">
        <f t="shared" ca="1" si="35"/>
        <v>128427.50584528032</v>
      </c>
      <c r="M37" s="265">
        <f t="shared" ca="1" si="35"/>
        <v>141716.82230517652</v>
      </c>
      <c r="N37" s="261">
        <f t="shared" ca="1" si="35"/>
        <v>93283.224760830606</v>
      </c>
      <c r="O37" s="265">
        <f t="shared" ca="1" si="35"/>
        <v>365705.02258520137</v>
      </c>
      <c r="P37" s="265">
        <f t="shared" ca="1" si="35"/>
        <v>339799.43913563894</v>
      </c>
      <c r="Q37" s="265">
        <f t="shared" ca="1" si="35"/>
        <v>491690.87777915341</v>
      </c>
      <c r="R37" s="265">
        <f t="shared" ca="1" si="35"/>
        <v>469817.48799185053</v>
      </c>
    </row>
    <row r="38" spans="2:27" x14ac:dyDescent="0.35">
      <c r="C38" s="268"/>
      <c r="D38" s="265"/>
      <c r="E38" s="265"/>
      <c r="F38" s="265"/>
      <c r="G38" s="265"/>
      <c r="H38" s="265"/>
      <c r="I38" s="261"/>
      <c r="J38" s="265"/>
      <c r="K38" s="265"/>
      <c r="L38" s="265"/>
      <c r="M38" s="265"/>
      <c r="N38" s="261"/>
      <c r="O38" s="265"/>
      <c r="P38" s="265"/>
      <c r="Q38" s="265"/>
      <c r="R38" s="265"/>
    </row>
    <row r="41" spans="2:27" x14ac:dyDescent="0.35">
      <c r="B41" s="30" t="s">
        <v>278</v>
      </c>
    </row>
    <row r="42" spans="2:27" x14ac:dyDescent="0.35">
      <c r="B42" t="s">
        <v>335</v>
      </c>
      <c r="N42" s="245" t="s">
        <v>144</v>
      </c>
      <c r="O42" s="264" t="str">
        <f>S34</f>
        <v>CAGR (Total Revenue)</v>
      </c>
    </row>
    <row r="43" spans="2:27" x14ac:dyDescent="0.35">
      <c r="B43" t="s">
        <v>336</v>
      </c>
      <c r="N43" s="262"/>
      <c r="O43" s="270">
        <f ca="1">T34</f>
        <v>0.36525777790251435</v>
      </c>
      <c r="S43" s="546" t="s">
        <v>157</v>
      </c>
      <c r="T43" s="546"/>
    </row>
    <row r="44" spans="2:27" x14ac:dyDescent="0.35">
      <c r="B44" t="s">
        <v>337</v>
      </c>
      <c r="N44" s="262">
        <v>1</v>
      </c>
      <c r="O44" s="401">
        <f t="dataTable" ref="O44:O1043" dt2D="0" dtr="0" r1="O41" ca="1"/>
        <v>0.35147930735847188</v>
      </c>
      <c r="S44" s="544">
        <f>AVERAGE(O44:O10043)</f>
        <v>0.36249590546595556</v>
      </c>
      <c r="T44" s="545"/>
    </row>
    <row r="45" spans="2:27" x14ac:dyDescent="0.35">
      <c r="B45" t="s">
        <v>338</v>
      </c>
      <c r="N45" s="262">
        <v>2</v>
      </c>
      <c r="O45" s="401">
        <v>0.36839015324638158</v>
      </c>
    </row>
    <row r="46" spans="2:27" x14ac:dyDescent="0.35">
      <c r="B46" t="s">
        <v>339</v>
      </c>
      <c r="N46" s="262">
        <v>3</v>
      </c>
      <c r="O46" s="401">
        <v>0.36216568522308723</v>
      </c>
      <c r="S46" s="234" t="s">
        <v>808</v>
      </c>
      <c r="T46" s="243">
        <f>'Dashboard (Overall)'!B36</f>
        <v>5000000</v>
      </c>
    </row>
    <row r="47" spans="2:27" x14ac:dyDescent="0.35">
      <c r="B47" t="s">
        <v>340</v>
      </c>
      <c r="N47" s="262">
        <v>4</v>
      </c>
      <c r="O47" s="401">
        <v>0.36277254355597832</v>
      </c>
      <c r="S47" s="234" t="s">
        <v>152</v>
      </c>
      <c r="T47" s="243">
        <f>'Dashboard (Overall)'!B37</f>
        <v>100000000</v>
      </c>
    </row>
    <row r="48" spans="2:27" x14ac:dyDescent="0.35">
      <c r="B48" t="s">
        <v>341</v>
      </c>
      <c r="N48" s="262">
        <v>5</v>
      </c>
      <c r="O48" s="401">
        <v>0.34552371697438033</v>
      </c>
      <c r="S48" s="234" t="s">
        <v>153</v>
      </c>
      <c r="T48" s="240">
        <f>(T47/T46)^(1/10)-1</f>
        <v>0.34928284767356321</v>
      </c>
    </row>
    <row r="49" spans="2:20" x14ac:dyDescent="0.35">
      <c r="N49" s="262">
        <v>6</v>
      </c>
      <c r="O49" s="401">
        <v>0.36892119021346281</v>
      </c>
    </row>
    <row r="50" spans="2:20" x14ac:dyDescent="0.35">
      <c r="N50" s="262">
        <v>7</v>
      </c>
      <c r="O50" s="401">
        <v>0.36405747840527725</v>
      </c>
      <c r="S50" s="533" t="s">
        <v>155</v>
      </c>
      <c r="T50" s="534"/>
    </row>
    <row r="51" spans="2:20" x14ac:dyDescent="0.35">
      <c r="N51" s="262">
        <v>8</v>
      </c>
      <c r="O51" s="401">
        <v>0.36953038093648138</v>
      </c>
      <c r="S51" s="547">
        <f>_xlfn.STDEV.S(O44:O10043)</f>
        <v>6.6458788402206301E-3</v>
      </c>
      <c r="T51" s="548"/>
    </row>
    <row r="52" spans="2:20" x14ac:dyDescent="0.35">
      <c r="B52" s="30" t="s">
        <v>51</v>
      </c>
      <c r="N52" s="262">
        <v>9</v>
      </c>
      <c r="O52" s="401">
        <v>0.36370451337834142</v>
      </c>
    </row>
    <row r="53" spans="2:20" x14ac:dyDescent="0.35">
      <c r="B53" t="s">
        <v>202</v>
      </c>
      <c r="N53" s="262">
        <v>10</v>
      </c>
      <c r="O53" s="401">
        <v>0.35728459331290408</v>
      </c>
      <c r="S53" s="533" t="s">
        <v>154</v>
      </c>
      <c r="T53" s="534"/>
    </row>
    <row r="54" spans="2:20" x14ac:dyDescent="0.35">
      <c r="B54" t="s">
        <v>203</v>
      </c>
      <c r="N54" s="262">
        <v>11</v>
      </c>
      <c r="O54" s="401">
        <v>0.36148057845277992</v>
      </c>
      <c r="S54" s="544">
        <f>1-_xlfn.NORM.DIST(T48,S44,S51,TRUE)</f>
        <v>0.97660289586260474</v>
      </c>
      <c r="T54" s="545"/>
    </row>
    <row r="55" spans="2:20" x14ac:dyDescent="0.35">
      <c r="B55" t="s">
        <v>200</v>
      </c>
      <c r="N55" s="262">
        <v>12</v>
      </c>
      <c r="O55" s="401">
        <v>0.37460882395820061</v>
      </c>
    </row>
    <row r="56" spans="2:20" x14ac:dyDescent="0.35">
      <c r="B56" t="s">
        <v>201</v>
      </c>
      <c r="N56" s="262">
        <v>13</v>
      </c>
      <c r="O56" s="401">
        <v>0.36975453737036768</v>
      </c>
    </row>
    <row r="57" spans="2:20" x14ac:dyDescent="0.35">
      <c r="B57" t="s">
        <v>205</v>
      </c>
      <c r="N57" s="262">
        <v>14</v>
      </c>
      <c r="O57" s="401">
        <v>0.36887662477815453</v>
      </c>
    </row>
    <row r="58" spans="2:20" x14ac:dyDescent="0.35">
      <c r="B58" t="s">
        <v>204</v>
      </c>
      <c r="N58" s="262">
        <v>15</v>
      </c>
      <c r="O58" s="401">
        <v>0.3637155078066947</v>
      </c>
    </row>
    <row r="59" spans="2:20" x14ac:dyDescent="0.35">
      <c r="B59" t="s">
        <v>206</v>
      </c>
      <c r="N59" s="262">
        <v>16</v>
      </c>
      <c r="O59" s="401">
        <v>0.36883259408504365</v>
      </c>
    </row>
    <row r="60" spans="2:20" x14ac:dyDescent="0.35">
      <c r="B60" t="s">
        <v>207</v>
      </c>
      <c r="N60" s="262">
        <v>17</v>
      </c>
      <c r="O60" s="401">
        <v>0.364451617644177</v>
      </c>
    </row>
    <row r="61" spans="2:20" x14ac:dyDescent="0.35">
      <c r="N61" s="262">
        <v>18</v>
      </c>
      <c r="O61" s="401">
        <v>0.36073505590261457</v>
      </c>
    </row>
    <row r="62" spans="2:20" x14ac:dyDescent="0.35">
      <c r="N62" s="262">
        <v>19</v>
      </c>
      <c r="O62" s="401">
        <v>0.36594867840624135</v>
      </c>
    </row>
    <row r="63" spans="2:20" x14ac:dyDescent="0.35">
      <c r="N63" s="262">
        <v>20</v>
      </c>
      <c r="O63" s="401">
        <v>0.37221206657717087</v>
      </c>
    </row>
    <row r="64" spans="2:20" x14ac:dyDescent="0.35">
      <c r="N64" s="262">
        <v>21</v>
      </c>
      <c r="O64" s="401">
        <v>0.3658530777506539</v>
      </c>
    </row>
    <row r="65" spans="14:15" x14ac:dyDescent="0.35">
      <c r="N65" s="262">
        <v>22</v>
      </c>
      <c r="O65" s="401">
        <v>0.36953101344814954</v>
      </c>
    </row>
    <row r="66" spans="14:15" x14ac:dyDescent="0.35">
      <c r="N66" s="262">
        <v>23</v>
      </c>
      <c r="O66" s="401">
        <v>0.35598478258195132</v>
      </c>
    </row>
    <row r="67" spans="14:15" x14ac:dyDescent="0.35">
      <c r="N67" s="262">
        <v>24</v>
      </c>
      <c r="O67" s="401">
        <v>0.35673828144566766</v>
      </c>
    </row>
    <row r="68" spans="14:15" x14ac:dyDescent="0.35">
      <c r="N68" s="262">
        <v>25</v>
      </c>
      <c r="O68" s="401">
        <v>0.35834593335147846</v>
      </c>
    </row>
    <row r="69" spans="14:15" x14ac:dyDescent="0.35">
      <c r="N69" s="262">
        <v>26</v>
      </c>
      <c r="O69" s="401">
        <v>0.36885811893836018</v>
      </c>
    </row>
    <row r="70" spans="14:15" x14ac:dyDescent="0.35">
      <c r="N70" s="262">
        <v>27</v>
      </c>
      <c r="O70" s="401">
        <v>0.3499574745439098</v>
      </c>
    </row>
    <row r="71" spans="14:15" x14ac:dyDescent="0.35">
      <c r="N71" s="262">
        <v>28</v>
      </c>
      <c r="O71" s="401">
        <v>0.36092129343860169</v>
      </c>
    </row>
    <row r="72" spans="14:15" x14ac:dyDescent="0.35">
      <c r="N72" s="262">
        <v>29</v>
      </c>
      <c r="O72" s="401">
        <v>0.3633325723646148</v>
      </c>
    </row>
    <row r="73" spans="14:15" x14ac:dyDescent="0.35">
      <c r="N73" s="262">
        <v>30</v>
      </c>
      <c r="O73" s="401">
        <v>0.36266738764003081</v>
      </c>
    </row>
    <row r="74" spans="14:15" x14ac:dyDescent="0.35">
      <c r="N74" s="262">
        <v>31</v>
      </c>
      <c r="O74" s="401">
        <v>0.36694113263626504</v>
      </c>
    </row>
    <row r="75" spans="14:15" x14ac:dyDescent="0.35">
      <c r="N75" s="262">
        <v>32</v>
      </c>
      <c r="O75" s="401">
        <v>0.36681446956462604</v>
      </c>
    </row>
    <row r="76" spans="14:15" x14ac:dyDescent="0.35">
      <c r="N76" s="262">
        <v>33</v>
      </c>
      <c r="O76" s="401">
        <v>0.37407704191031677</v>
      </c>
    </row>
    <row r="77" spans="14:15" x14ac:dyDescent="0.35">
      <c r="N77" s="262">
        <v>34</v>
      </c>
      <c r="O77" s="401">
        <v>0.36411915390859551</v>
      </c>
    </row>
    <row r="78" spans="14:15" x14ac:dyDescent="0.35">
      <c r="N78" s="262">
        <v>35</v>
      </c>
      <c r="O78" s="401">
        <v>0.36613454488334751</v>
      </c>
    </row>
    <row r="79" spans="14:15" x14ac:dyDescent="0.35">
      <c r="N79" s="262">
        <v>36</v>
      </c>
      <c r="O79" s="401">
        <v>0.36393868066544122</v>
      </c>
    </row>
    <row r="80" spans="14:15" x14ac:dyDescent="0.35">
      <c r="N80" s="262">
        <v>37</v>
      </c>
      <c r="O80" s="401">
        <v>0.37686091329928506</v>
      </c>
    </row>
    <row r="81" spans="14:15" x14ac:dyDescent="0.35">
      <c r="N81" s="262">
        <v>38</v>
      </c>
      <c r="O81" s="401">
        <v>0.3551641541536712</v>
      </c>
    </row>
    <row r="82" spans="14:15" x14ac:dyDescent="0.35">
      <c r="N82" s="262">
        <v>39</v>
      </c>
      <c r="O82" s="401">
        <v>0.36663393038076397</v>
      </c>
    </row>
    <row r="83" spans="14:15" x14ac:dyDescent="0.35">
      <c r="N83" s="262">
        <v>40</v>
      </c>
      <c r="O83" s="401">
        <v>0.36604956084791884</v>
      </c>
    </row>
    <row r="84" spans="14:15" x14ac:dyDescent="0.35">
      <c r="N84" s="262">
        <v>41</v>
      </c>
      <c r="O84" s="401">
        <v>0.36089157888972623</v>
      </c>
    </row>
    <row r="85" spans="14:15" x14ac:dyDescent="0.35">
      <c r="N85" s="262">
        <v>42</v>
      </c>
      <c r="O85" s="401">
        <v>0.37470713888922114</v>
      </c>
    </row>
    <row r="86" spans="14:15" x14ac:dyDescent="0.35">
      <c r="N86" s="262">
        <v>43</v>
      </c>
      <c r="O86" s="401">
        <v>0.3650071239598196</v>
      </c>
    </row>
    <row r="87" spans="14:15" x14ac:dyDescent="0.35">
      <c r="N87" s="262">
        <v>44</v>
      </c>
      <c r="O87" s="401">
        <v>0.35348341974883679</v>
      </c>
    </row>
    <row r="88" spans="14:15" x14ac:dyDescent="0.35">
      <c r="N88" s="262">
        <v>45</v>
      </c>
      <c r="O88" s="401">
        <v>0.36482771684627879</v>
      </c>
    </row>
    <row r="89" spans="14:15" x14ac:dyDescent="0.35">
      <c r="N89" s="262">
        <v>46</v>
      </c>
      <c r="O89" s="401">
        <v>0.3628051246264401</v>
      </c>
    </row>
    <row r="90" spans="14:15" x14ac:dyDescent="0.35">
      <c r="N90" s="262">
        <v>47</v>
      </c>
      <c r="O90" s="401">
        <v>0.36571372354996567</v>
      </c>
    </row>
    <row r="91" spans="14:15" x14ac:dyDescent="0.35">
      <c r="N91" s="262">
        <v>48</v>
      </c>
      <c r="O91" s="401">
        <v>0.36366851690108914</v>
      </c>
    </row>
    <row r="92" spans="14:15" x14ac:dyDescent="0.35">
      <c r="N92" s="262">
        <v>49</v>
      </c>
      <c r="O92" s="401">
        <v>0.36647097265259698</v>
      </c>
    </row>
    <row r="93" spans="14:15" x14ac:dyDescent="0.35">
      <c r="N93" s="262">
        <v>50</v>
      </c>
      <c r="O93" s="401">
        <v>0.37323211777083842</v>
      </c>
    </row>
    <row r="94" spans="14:15" x14ac:dyDescent="0.35">
      <c r="N94" s="262">
        <v>51</v>
      </c>
      <c r="O94" s="401">
        <v>0.35025661244528883</v>
      </c>
    </row>
    <row r="95" spans="14:15" x14ac:dyDescent="0.35">
      <c r="N95" s="262">
        <v>52</v>
      </c>
      <c r="O95" s="401">
        <v>0.35491886264035877</v>
      </c>
    </row>
    <row r="96" spans="14:15" x14ac:dyDescent="0.35">
      <c r="N96" s="262">
        <v>53</v>
      </c>
      <c r="O96" s="401">
        <v>0.37138463352634021</v>
      </c>
    </row>
    <row r="97" spans="14:15" x14ac:dyDescent="0.35">
      <c r="N97" s="262">
        <v>54</v>
      </c>
      <c r="O97" s="401">
        <v>0.36367740276561422</v>
      </c>
    </row>
    <row r="98" spans="14:15" x14ac:dyDescent="0.35">
      <c r="N98" s="262">
        <v>55</v>
      </c>
      <c r="O98" s="401">
        <v>0.37212054319537935</v>
      </c>
    </row>
    <row r="99" spans="14:15" x14ac:dyDescent="0.35">
      <c r="N99" s="262">
        <v>56</v>
      </c>
      <c r="O99" s="401">
        <v>0.36974313813875259</v>
      </c>
    </row>
    <row r="100" spans="14:15" x14ac:dyDescent="0.35">
      <c r="N100" s="262">
        <v>57</v>
      </c>
      <c r="O100" s="401">
        <v>0.35371930232603832</v>
      </c>
    </row>
    <row r="101" spans="14:15" x14ac:dyDescent="0.35">
      <c r="N101" s="262">
        <v>58</v>
      </c>
      <c r="O101" s="401">
        <v>0.36914179404684444</v>
      </c>
    </row>
    <row r="102" spans="14:15" x14ac:dyDescent="0.35">
      <c r="N102" s="262">
        <v>59</v>
      </c>
      <c r="O102" s="401">
        <v>0.37197205205017392</v>
      </c>
    </row>
    <row r="103" spans="14:15" x14ac:dyDescent="0.35">
      <c r="N103" s="262">
        <v>60</v>
      </c>
      <c r="O103" s="401">
        <v>0.35913086352675117</v>
      </c>
    </row>
    <row r="104" spans="14:15" x14ac:dyDescent="0.35">
      <c r="N104" s="262">
        <v>61</v>
      </c>
      <c r="O104" s="401">
        <v>0.37463326878172332</v>
      </c>
    </row>
    <row r="105" spans="14:15" x14ac:dyDescent="0.35">
      <c r="N105" s="262">
        <v>62</v>
      </c>
      <c r="O105" s="401">
        <v>0.36147533609024562</v>
      </c>
    </row>
    <row r="106" spans="14:15" x14ac:dyDescent="0.35">
      <c r="N106" s="262">
        <v>63</v>
      </c>
      <c r="O106" s="401">
        <v>0.35395281599253425</v>
      </c>
    </row>
    <row r="107" spans="14:15" x14ac:dyDescent="0.35">
      <c r="N107" s="262">
        <v>64</v>
      </c>
      <c r="O107" s="401">
        <v>0.36778060360343945</v>
      </c>
    </row>
    <row r="108" spans="14:15" x14ac:dyDescent="0.35">
      <c r="N108" s="262">
        <v>65</v>
      </c>
      <c r="O108" s="401">
        <v>0.36063084079350394</v>
      </c>
    </row>
    <row r="109" spans="14:15" x14ac:dyDescent="0.35">
      <c r="N109" s="262">
        <v>66</v>
      </c>
      <c r="O109" s="401">
        <v>0.37069728131300517</v>
      </c>
    </row>
    <row r="110" spans="14:15" x14ac:dyDescent="0.35">
      <c r="N110" s="262">
        <v>67</v>
      </c>
      <c r="O110" s="401">
        <v>0.37034731742621041</v>
      </c>
    </row>
    <row r="111" spans="14:15" x14ac:dyDescent="0.35">
      <c r="N111" s="262">
        <v>68</v>
      </c>
      <c r="O111" s="401">
        <v>0.36816183452086904</v>
      </c>
    </row>
    <row r="112" spans="14:15" x14ac:dyDescent="0.35">
      <c r="N112" s="262">
        <v>69</v>
      </c>
      <c r="O112" s="401">
        <v>0.35497831870460694</v>
      </c>
    </row>
    <row r="113" spans="14:15" x14ac:dyDescent="0.35">
      <c r="N113" s="262">
        <v>70</v>
      </c>
      <c r="O113" s="401">
        <v>0.36347885757114051</v>
      </c>
    </row>
    <row r="114" spans="14:15" x14ac:dyDescent="0.35">
      <c r="N114" s="262">
        <v>71</v>
      </c>
      <c r="O114" s="401">
        <v>0.36146512900218841</v>
      </c>
    </row>
    <row r="115" spans="14:15" x14ac:dyDescent="0.35">
      <c r="N115" s="262">
        <v>72</v>
      </c>
      <c r="O115" s="401">
        <v>0.35926940757730086</v>
      </c>
    </row>
    <row r="116" spans="14:15" x14ac:dyDescent="0.35">
      <c r="N116" s="262">
        <v>73</v>
      </c>
      <c r="O116" s="401">
        <v>0.36362850249436529</v>
      </c>
    </row>
    <row r="117" spans="14:15" x14ac:dyDescent="0.35">
      <c r="N117" s="262">
        <v>74</v>
      </c>
      <c r="O117" s="401">
        <v>0.35446579534470612</v>
      </c>
    </row>
    <row r="118" spans="14:15" x14ac:dyDescent="0.35">
      <c r="N118" s="262">
        <v>75</v>
      </c>
      <c r="O118" s="401">
        <v>0.36983703883893626</v>
      </c>
    </row>
    <row r="119" spans="14:15" x14ac:dyDescent="0.35">
      <c r="N119" s="262">
        <v>76</v>
      </c>
      <c r="O119" s="401">
        <v>0.36188351342343728</v>
      </c>
    </row>
    <row r="120" spans="14:15" x14ac:dyDescent="0.35">
      <c r="N120" s="262">
        <v>77</v>
      </c>
      <c r="O120" s="401">
        <v>0.3592887494223056</v>
      </c>
    </row>
    <row r="121" spans="14:15" x14ac:dyDescent="0.35">
      <c r="N121" s="262">
        <v>78</v>
      </c>
      <c r="O121" s="401">
        <v>0.35327695810635618</v>
      </c>
    </row>
    <row r="122" spans="14:15" x14ac:dyDescent="0.35">
      <c r="N122" s="262">
        <v>79</v>
      </c>
      <c r="O122" s="401">
        <v>0.35418682091564979</v>
      </c>
    </row>
    <row r="123" spans="14:15" x14ac:dyDescent="0.35">
      <c r="N123" s="262">
        <v>80</v>
      </c>
      <c r="O123" s="401">
        <v>0.36403416657564547</v>
      </c>
    </row>
    <row r="124" spans="14:15" x14ac:dyDescent="0.35">
      <c r="N124" s="262">
        <v>81</v>
      </c>
      <c r="O124" s="401">
        <v>0.3702620120305482</v>
      </c>
    </row>
    <row r="125" spans="14:15" x14ac:dyDescent="0.35">
      <c r="N125" s="262">
        <v>82</v>
      </c>
      <c r="O125" s="401">
        <v>0.35951666475819621</v>
      </c>
    </row>
    <row r="126" spans="14:15" x14ac:dyDescent="0.35">
      <c r="N126" s="262">
        <v>83</v>
      </c>
      <c r="O126" s="401">
        <v>0.35177426108038179</v>
      </c>
    </row>
    <row r="127" spans="14:15" x14ac:dyDescent="0.35">
      <c r="N127" s="262">
        <v>84</v>
      </c>
      <c r="O127" s="401">
        <v>0.36737721599475681</v>
      </c>
    </row>
    <row r="128" spans="14:15" x14ac:dyDescent="0.35">
      <c r="N128" s="262">
        <v>85</v>
      </c>
      <c r="O128" s="401">
        <v>0.35542991839325122</v>
      </c>
    </row>
    <row r="129" spans="14:15" x14ac:dyDescent="0.35">
      <c r="N129" s="262">
        <v>86</v>
      </c>
      <c r="O129" s="401">
        <v>0.36327650761299135</v>
      </c>
    </row>
    <row r="130" spans="14:15" x14ac:dyDescent="0.35">
      <c r="N130" s="262">
        <v>87</v>
      </c>
      <c r="O130" s="401">
        <v>0.36855851309060839</v>
      </c>
    </row>
    <row r="131" spans="14:15" x14ac:dyDescent="0.35">
      <c r="N131" s="262">
        <v>88</v>
      </c>
      <c r="O131" s="401">
        <v>0.36534346549129837</v>
      </c>
    </row>
    <row r="132" spans="14:15" x14ac:dyDescent="0.35">
      <c r="N132" s="262">
        <v>89</v>
      </c>
      <c r="O132" s="401">
        <v>0.36730369814695019</v>
      </c>
    </row>
    <row r="133" spans="14:15" x14ac:dyDescent="0.35">
      <c r="N133" s="262">
        <v>90</v>
      </c>
      <c r="O133" s="401">
        <v>0.36155408174002646</v>
      </c>
    </row>
    <row r="134" spans="14:15" x14ac:dyDescent="0.35">
      <c r="N134" s="262">
        <v>91</v>
      </c>
      <c r="O134" s="401">
        <v>0.36018058617429305</v>
      </c>
    </row>
    <row r="135" spans="14:15" x14ac:dyDescent="0.35">
      <c r="N135" s="262">
        <v>92</v>
      </c>
      <c r="O135" s="401">
        <v>0.36143403449185607</v>
      </c>
    </row>
    <row r="136" spans="14:15" x14ac:dyDescent="0.35">
      <c r="N136" s="262">
        <v>93</v>
      </c>
      <c r="O136" s="401">
        <v>0.35983349135478182</v>
      </c>
    </row>
    <row r="137" spans="14:15" x14ac:dyDescent="0.35">
      <c r="N137" s="262">
        <v>94</v>
      </c>
      <c r="O137" s="401">
        <v>0.35115230156589106</v>
      </c>
    </row>
    <row r="138" spans="14:15" x14ac:dyDescent="0.35">
      <c r="N138" s="262">
        <v>95</v>
      </c>
      <c r="O138" s="401">
        <v>0.36987932858981187</v>
      </c>
    </row>
    <row r="139" spans="14:15" x14ac:dyDescent="0.35">
      <c r="N139" s="262">
        <v>96</v>
      </c>
      <c r="O139" s="401">
        <v>0.36799833921748615</v>
      </c>
    </row>
    <row r="140" spans="14:15" x14ac:dyDescent="0.35">
      <c r="N140" s="262">
        <v>97</v>
      </c>
      <c r="O140" s="401">
        <v>0.35940430175101357</v>
      </c>
    </row>
    <row r="141" spans="14:15" x14ac:dyDescent="0.35">
      <c r="N141" s="262">
        <v>98</v>
      </c>
      <c r="O141" s="401">
        <v>0.35868279092512179</v>
      </c>
    </row>
    <row r="142" spans="14:15" x14ac:dyDescent="0.35">
      <c r="N142" s="262">
        <v>99</v>
      </c>
      <c r="O142" s="401">
        <v>0.35703768012479742</v>
      </c>
    </row>
    <row r="143" spans="14:15" x14ac:dyDescent="0.35">
      <c r="N143" s="262">
        <v>100</v>
      </c>
      <c r="O143" s="401">
        <v>0.35869146137972696</v>
      </c>
    </row>
    <row r="144" spans="14:15" x14ac:dyDescent="0.35">
      <c r="N144" s="262">
        <v>101</v>
      </c>
      <c r="O144" s="401">
        <v>0.35215124992386238</v>
      </c>
    </row>
    <row r="145" spans="14:15" x14ac:dyDescent="0.35">
      <c r="N145" s="262">
        <v>102</v>
      </c>
      <c r="O145" s="401">
        <v>0.35685216524898133</v>
      </c>
    </row>
    <row r="146" spans="14:15" x14ac:dyDescent="0.35">
      <c r="N146" s="262">
        <v>103</v>
      </c>
      <c r="O146" s="401">
        <v>0.35919578881761316</v>
      </c>
    </row>
    <row r="147" spans="14:15" x14ac:dyDescent="0.35">
      <c r="N147" s="262">
        <v>104</v>
      </c>
      <c r="O147" s="401">
        <v>0.36865456153177689</v>
      </c>
    </row>
    <row r="148" spans="14:15" x14ac:dyDescent="0.35">
      <c r="N148" s="262">
        <v>105</v>
      </c>
      <c r="O148" s="401">
        <v>0.36123881017664083</v>
      </c>
    </row>
    <row r="149" spans="14:15" x14ac:dyDescent="0.35">
      <c r="N149" s="262">
        <v>106</v>
      </c>
      <c r="O149" s="401">
        <v>0.34969845653208687</v>
      </c>
    </row>
    <row r="150" spans="14:15" x14ac:dyDescent="0.35">
      <c r="N150" s="262">
        <v>107</v>
      </c>
      <c r="O150" s="401">
        <v>0.36470009403045944</v>
      </c>
    </row>
    <row r="151" spans="14:15" x14ac:dyDescent="0.35">
      <c r="N151" s="262">
        <v>108</v>
      </c>
      <c r="O151" s="401">
        <v>0.35518674916021764</v>
      </c>
    </row>
    <row r="152" spans="14:15" x14ac:dyDescent="0.35">
      <c r="N152" s="262">
        <v>109</v>
      </c>
      <c r="O152" s="401">
        <v>0.3622120769773618</v>
      </c>
    </row>
    <row r="153" spans="14:15" x14ac:dyDescent="0.35">
      <c r="N153" s="262">
        <v>110</v>
      </c>
      <c r="O153" s="401">
        <v>0.35615629391959325</v>
      </c>
    </row>
    <row r="154" spans="14:15" x14ac:dyDescent="0.35">
      <c r="N154" s="262">
        <v>111</v>
      </c>
      <c r="O154" s="401">
        <v>0.35775368806234176</v>
      </c>
    </row>
    <row r="155" spans="14:15" x14ac:dyDescent="0.35">
      <c r="N155" s="262">
        <v>112</v>
      </c>
      <c r="O155" s="401">
        <v>0.3569651471623585</v>
      </c>
    </row>
    <row r="156" spans="14:15" x14ac:dyDescent="0.35">
      <c r="N156" s="262">
        <v>113</v>
      </c>
      <c r="O156" s="401">
        <v>0.3539095748508656</v>
      </c>
    </row>
    <row r="157" spans="14:15" x14ac:dyDescent="0.35">
      <c r="N157" s="262">
        <v>114</v>
      </c>
      <c r="O157" s="401">
        <v>0.36529500306683804</v>
      </c>
    </row>
    <row r="158" spans="14:15" x14ac:dyDescent="0.35">
      <c r="N158" s="262">
        <v>115</v>
      </c>
      <c r="O158" s="401">
        <v>0.35897226212883671</v>
      </c>
    </row>
    <row r="159" spans="14:15" x14ac:dyDescent="0.35">
      <c r="N159" s="262">
        <v>116</v>
      </c>
      <c r="O159" s="401">
        <v>0.36643077488840636</v>
      </c>
    </row>
    <row r="160" spans="14:15" x14ac:dyDescent="0.35">
      <c r="N160" s="262">
        <v>117</v>
      </c>
      <c r="O160" s="401">
        <v>0.36295435668336262</v>
      </c>
    </row>
    <row r="161" spans="14:15" x14ac:dyDescent="0.35">
      <c r="N161" s="262">
        <v>118</v>
      </c>
      <c r="O161" s="401">
        <v>0.36528211730704707</v>
      </c>
    </row>
    <row r="162" spans="14:15" x14ac:dyDescent="0.35">
      <c r="N162" s="262">
        <v>119</v>
      </c>
      <c r="O162" s="401">
        <v>0.35834735865942013</v>
      </c>
    </row>
    <row r="163" spans="14:15" x14ac:dyDescent="0.35">
      <c r="N163" s="262">
        <v>120</v>
      </c>
      <c r="O163" s="401">
        <v>0.3588994110639756</v>
      </c>
    </row>
    <row r="164" spans="14:15" x14ac:dyDescent="0.35">
      <c r="N164" s="262">
        <v>121</v>
      </c>
      <c r="O164" s="401">
        <v>0.36293266816019676</v>
      </c>
    </row>
    <row r="165" spans="14:15" x14ac:dyDescent="0.35">
      <c r="N165" s="262">
        <v>122</v>
      </c>
      <c r="O165" s="401">
        <v>0.35691439935403402</v>
      </c>
    </row>
    <row r="166" spans="14:15" x14ac:dyDescent="0.35">
      <c r="N166" s="262">
        <v>123</v>
      </c>
      <c r="O166" s="401">
        <v>0.37202439262746689</v>
      </c>
    </row>
    <row r="167" spans="14:15" x14ac:dyDescent="0.35">
      <c r="N167" s="262">
        <v>124</v>
      </c>
      <c r="O167" s="401">
        <v>0.35574509501995055</v>
      </c>
    </row>
    <row r="168" spans="14:15" x14ac:dyDescent="0.35">
      <c r="N168" s="262">
        <v>125</v>
      </c>
      <c r="O168" s="401">
        <v>0.36071124502792462</v>
      </c>
    </row>
    <row r="169" spans="14:15" x14ac:dyDescent="0.35">
      <c r="N169" s="262">
        <v>126</v>
      </c>
      <c r="O169" s="401">
        <v>0.3654623211377992</v>
      </c>
    </row>
    <row r="170" spans="14:15" x14ac:dyDescent="0.35">
      <c r="N170" s="262">
        <v>127</v>
      </c>
      <c r="O170" s="401">
        <v>0.36410266411199621</v>
      </c>
    </row>
    <row r="171" spans="14:15" x14ac:dyDescent="0.35">
      <c r="N171" s="262">
        <v>128</v>
      </c>
      <c r="O171" s="401">
        <v>0.34894474937378783</v>
      </c>
    </row>
    <row r="172" spans="14:15" x14ac:dyDescent="0.35">
      <c r="N172" s="262">
        <v>129</v>
      </c>
      <c r="O172" s="401">
        <v>0.36684681561888199</v>
      </c>
    </row>
    <row r="173" spans="14:15" x14ac:dyDescent="0.35">
      <c r="N173" s="262">
        <v>130</v>
      </c>
      <c r="O173" s="401">
        <v>0.3618388773575727</v>
      </c>
    </row>
    <row r="174" spans="14:15" x14ac:dyDescent="0.35">
      <c r="N174" s="262">
        <v>131</v>
      </c>
      <c r="O174" s="401">
        <v>0.36096163758398547</v>
      </c>
    </row>
    <row r="175" spans="14:15" x14ac:dyDescent="0.35">
      <c r="N175" s="262">
        <v>132</v>
      </c>
      <c r="O175" s="401">
        <v>0.3621509687008313</v>
      </c>
    </row>
    <row r="176" spans="14:15" x14ac:dyDescent="0.35">
      <c r="N176" s="262">
        <v>133</v>
      </c>
      <c r="O176" s="401">
        <v>0.35682887726976165</v>
      </c>
    </row>
    <row r="177" spans="14:15" x14ac:dyDescent="0.35">
      <c r="N177" s="262">
        <v>134</v>
      </c>
      <c r="O177" s="401">
        <v>0.37193449160865</v>
      </c>
    </row>
    <row r="178" spans="14:15" x14ac:dyDescent="0.35">
      <c r="N178" s="262">
        <v>135</v>
      </c>
      <c r="O178" s="401">
        <v>0.36751069473371256</v>
      </c>
    </row>
    <row r="179" spans="14:15" x14ac:dyDescent="0.35">
      <c r="N179" s="262">
        <v>136</v>
      </c>
      <c r="O179" s="401">
        <v>0.3746209340710156</v>
      </c>
    </row>
    <row r="180" spans="14:15" x14ac:dyDescent="0.35">
      <c r="N180" s="262">
        <v>137</v>
      </c>
      <c r="O180" s="401">
        <v>0.35675714635991618</v>
      </c>
    </row>
    <row r="181" spans="14:15" x14ac:dyDescent="0.35">
      <c r="N181" s="262">
        <v>138</v>
      </c>
      <c r="O181" s="401">
        <v>0.3553221148807082</v>
      </c>
    </row>
    <row r="182" spans="14:15" x14ac:dyDescent="0.35">
      <c r="N182" s="262">
        <v>139</v>
      </c>
      <c r="O182" s="401">
        <v>0.35703787617744331</v>
      </c>
    </row>
    <row r="183" spans="14:15" x14ac:dyDescent="0.35">
      <c r="N183" s="262">
        <v>140</v>
      </c>
      <c r="O183" s="401">
        <v>0.36072238915970445</v>
      </c>
    </row>
    <row r="184" spans="14:15" x14ac:dyDescent="0.35">
      <c r="N184" s="262">
        <v>141</v>
      </c>
      <c r="O184" s="401">
        <v>0.36923644539566736</v>
      </c>
    </row>
    <row r="185" spans="14:15" x14ac:dyDescent="0.35">
      <c r="N185" s="262">
        <v>142</v>
      </c>
      <c r="O185" s="401">
        <v>0.35534451163310821</v>
      </c>
    </row>
    <row r="186" spans="14:15" x14ac:dyDescent="0.35">
      <c r="N186" s="262">
        <v>143</v>
      </c>
      <c r="O186" s="401">
        <v>0.36012516062855227</v>
      </c>
    </row>
    <row r="187" spans="14:15" x14ac:dyDescent="0.35">
      <c r="N187" s="262">
        <v>144</v>
      </c>
      <c r="O187" s="401">
        <v>0.36759773881405167</v>
      </c>
    </row>
    <row r="188" spans="14:15" x14ac:dyDescent="0.35">
      <c r="N188" s="262">
        <v>145</v>
      </c>
      <c r="O188" s="401">
        <v>0.36004172332659179</v>
      </c>
    </row>
    <row r="189" spans="14:15" x14ac:dyDescent="0.35">
      <c r="N189" s="262">
        <v>146</v>
      </c>
      <c r="O189" s="401">
        <v>0.35391665550693174</v>
      </c>
    </row>
    <row r="190" spans="14:15" x14ac:dyDescent="0.35">
      <c r="N190" s="262">
        <v>147</v>
      </c>
      <c r="O190" s="401">
        <v>0.36167030151071233</v>
      </c>
    </row>
    <row r="191" spans="14:15" x14ac:dyDescent="0.35">
      <c r="N191" s="262">
        <v>148</v>
      </c>
      <c r="O191" s="401">
        <v>0.35871103758295231</v>
      </c>
    </row>
    <row r="192" spans="14:15" x14ac:dyDescent="0.35">
      <c r="N192" s="262">
        <v>149</v>
      </c>
      <c r="O192" s="401">
        <v>0.36823332335149161</v>
      </c>
    </row>
    <row r="193" spans="14:15" x14ac:dyDescent="0.35">
      <c r="N193" s="262">
        <v>150</v>
      </c>
      <c r="O193" s="401">
        <v>0.36409813888026354</v>
      </c>
    </row>
    <row r="194" spans="14:15" x14ac:dyDescent="0.35">
      <c r="N194" s="262">
        <v>151</v>
      </c>
      <c r="O194" s="401">
        <v>0.36102738501098597</v>
      </c>
    </row>
    <row r="195" spans="14:15" x14ac:dyDescent="0.35">
      <c r="N195" s="262">
        <v>152</v>
      </c>
      <c r="O195" s="401">
        <v>0.35467661499804848</v>
      </c>
    </row>
    <row r="196" spans="14:15" x14ac:dyDescent="0.35">
      <c r="N196" s="262">
        <v>153</v>
      </c>
      <c r="O196" s="401">
        <v>0.36899132426240699</v>
      </c>
    </row>
    <row r="197" spans="14:15" x14ac:dyDescent="0.35">
      <c r="N197" s="262">
        <v>154</v>
      </c>
      <c r="O197" s="401">
        <v>0.36681230240972651</v>
      </c>
    </row>
    <row r="198" spans="14:15" x14ac:dyDescent="0.35">
      <c r="N198" s="262">
        <v>155</v>
      </c>
      <c r="O198" s="401">
        <v>0.36861152060162117</v>
      </c>
    </row>
    <row r="199" spans="14:15" x14ac:dyDescent="0.35">
      <c r="N199" s="262">
        <v>156</v>
      </c>
      <c r="O199" s="401">
        <v>0.35665427880101519</v>
      </c>
    </row>
    <row r="200" spans="14:15" x14ac:dyDescent="0.35">
      <c r="N200" s="262">
        <v>157</v>
      </c>
      <c r="O200" s="401">
        <v>0.35773400524292542</v>
      </c>
    </row>
    <row r="201" spans="14:15" x14ac:dyDescent="0.35">
      <c r="N201" s="262">
        <v>158</v>
      </c>
      <c r="O201" s="401">
        <v>0.3647994256401752</v>
      </c>
    </row>
    <row r="202" spans="14:15" x14ac:dyDescent="0.35">
      <c r="N202" s="262">
        <v>159</v>
      </c>
      <c r="O202" s="401">
        <v>0.35359257994030768</v>
      </c>
    </row>
    <row r="203" spans="14:15" x14ac:dyDescent="0.35">
      <c r="N203" s="262">
        <v>160</v>
      </c>
      <c r="O203" s="401">
        <v>0.35581591809683588</v>
      </c>
    </row>
    <row r="204" spans="14:15" x14ac:dyDescent="0.35">
      <c r="N204" s="262">
        <v>161</v>
      </c>
      <c r="O204" s="401">
        <v>0.35702319183360687</v>
      </c>
    </row>
    <row r="205" spans="14:15" x14ac:dyDescent="0.35">
      <c r="N205" s="262">
        <v>162</v>
      </c>
      <c r="O205" s="401">
        <v>0.36636465107284244</v>
      </c>
    </row>
    <row r="206" spans="14:15" x14ac:dyDescent="0.35">
      <c r="N206" s="262">
        <v>163</v>
      </c>
      <c r="O206" s="401">
        <v>0.3559606440005012</v>
      </c>
    </row>
    <row r="207" spans="14:15" x14ac:dyDescent="0.35">
      <c r="N207" s="262">
        <v>164</v>
      </c>
      <c r="O207" s="401">
        <v>0.36793768784170489</v>
      </c>
    </row>
    <row r="208" spans="14:15" x14ac:dyDescent="0.35">
      <c r="N208" s="262">
        <v>165</v>
      </c>
      <c r="O208" s="401">
        <v>0.35954337515846313</v>
      </c>
    </row>
    <row r="209" spans="14:15" x14ac:dyDescent="0.35">
      <c r="N209" s="262">
        <v>166</v>
      </c>
      <c r="O209" s="401">
        <v>0.33790859120876493</v>
      </c>
    </row>
    <row r="210" spans="14:15" x14ac:dyDescent="0.35">
      <c r="N210" s="262">
        <v>167</v>
      </c>
      <c r="O210" s="401">
        <v>0.35128323078136292</v>
      </c>
    </row>
    <row r="211" spans="14:15" x14ac:dyDescent="0.35">
      <c r="N211" s="262">
        <v>168</v>
      </c>
      <c r="O211" s="401">
        <v>0.36224756484395781</v>
      </c>
    </row>
    <row r="212" spans="14:15" x14ac:dyDescent="0.35">
      <c r="N212" s="262">
        <v>169</v>
      </c>
      <c r="O212" s="401">
        <v>0.36964097700327758</v>
      </c>
    </row>
    <row r="213" spans="14:15" x14ac:dyDescent="0.35">
      <c r="N213" s="262">
        <v>170</v>
      </c>
      <c r="O213" s="401">
        <v>0.35616672277443029</v>
      </c>
    </row>
    <row r="214" spans="14:15" x14ac:dyDescent="0.35">
      <c r="N214" s="262">
        <v>171</v>
      </c>
      <c r="O214" s="401">
        <v>0.37040653656799827</v>
      </c>
    </row>
    <row r="215" spans="14:15" x14ac:dyDescent="0.35">
      <c r="N215" s="262">
        <v>172</v>
      </c>
      <c r="O215" s="401">
        <v>0.37079149282882873</v>
      </c>
    </row>
    <row r="216" spans="14:15" x14ac:dyDescent="0.35">
      <c r="N216" s="262">
        <v>173</v>
      </c>
      <c r="O216" s="401">
        <v>0.36092977882117383</v>
      </c>
    </row>
    <row r="217" spans="14:15" x14ac:dyDescent="0.35">
      <c r="N217" s="262">
        <v>174</v>
      </c>
      <c r="O217" s="401">
        <v>0.35779239203190505</v>
      </c>
    </row>
    <row r="218" spans="14:15" x14ac:dyDescent="0.35">
      <c r="N218" s="262">
        <v>175</v>
      </c>
      <c r="O218" s="401">
        <v>0.35906751867902931</v>
      </c>
    </row>
    <row r="219" spans="14:15" x14ac:dyDescent="0.35">
      <c r="N219" s="262">
        <v>176</v>
      </c>
      <c r="O219" s="401">
        <v>0.36648435047845318</v>
      </c>
    </row>
    <row r="220" spans="14:15" x14ac:dyDescent="0.35">
      <c r="N220" s="262">
        <v>177</v>
      </c>
      <c r="O220" s="401">
        <v>0.3585690348089543</v>
      </c>
    </row>
    <row r="221" spans="14:15" x14ac:dyDescent="0.35">
      <c r="N221" s="262">
        <v>178</v>
      </c>
      <c r="O221" s="401">
        <v>0.36826201321946517</v>
      </c>
    </row>
    <row r="222" spans="14:15" x14ac:dyDescent="0.35">
      <c r="N222" s="262">
        <v>179</v>
      </c>
      <c r="O222" s="401">
        <v>0.36371341318537498</v>
      </c>
    </row>
    <row r="223" spans="14:15" x14ac:dyDescent="0.35">
      <c r="N223" s="262">
        <v>180</v>
      </c>
      <c r="O223" s="401">
        <v>0.36706856674071631</v>
      </c>
    </row>
    <row r="224" spans="14:15" x14ac:dyDescent="0.35">
      <c r="N224" s="262">
        <v>181</v>
      </c>
      <c r="O224" s="401">
        <v>0.362422995488902</v>
      </c>
    </row>
    <row r="225" spans="14:15" x14ac:dyDescent="0.35">
      <c r="N225" s="262">
        <v>182</v>
      </c>
      <c r="O225" s="401">
        <v>0.36733198725703442</v>
      </c>
    </row>
    <row r="226" spans="14:15" x14ac:dyDescent="0.35">
      <c r="N226" s="262">
        <v>183</v>
      </c>
      <c r="O226" s="401">
        <v>0.37159341141691726</v>
      </c>
    </row>
    <row r="227" spans="14:15" x14ac:dyDescent="0.35">
      <c r="N227" s="262">
        <v>184</v>
      </c>
      <c r="O227" s="401">
        <v>0.36295186368548693</v>
      </c>
    </row>
    <row r="228" spans="14:15" x14ac:dyDescent="0.35">
      <c r="N228" s="262">
        <v>185</v>
      </c>
      <c r="O228" s="401">
        <v>0.35545135341570155</v>
      </c>
    </row>
    <row r="229" spans="14:15" x14ac:dyDescent="0.35">
      <c r="N229" s="262">
        <v>186</v>
      </c>
      <c r="O229" s="401">
        <v>0.35470040323592356</v>
      </c>
    </row>
    <row r="230" spans="14:15" x14ac:dyDescent="0.35">
      <c r="N230" s="262">
        <v>187</v>
      </c>
      <c r="O230" s="401">
        <v>0.3740844702734929</v>
      </c>
    </row>
    <row r="231" spans="14:15" x14ac:dyDescent="0.35">
      <c r="N231" s="262">
        <v>188</v>
      </c>
      <c r="O231" s="401">
        <v>0.36368607488165816</v>
      </c>
    </row>
    <row r="232" spans="14:15" x14ac:dyDescent="0.35">
      <c r="N232" s="262">
        <v>189</v>
      </c>
      <c r="O232" s="401">
        <v>0.36502487645995463</v>
      </c>
    </row>
    <row r="233" spans="14:15" x14ac:dyDescent="0.35">
      <c r="N233" s="262">
        <v>190</v>
      </c>
      <c r="O233" s="401">
        <v>0.36832942785991585</v>
      </c>
    </row>
    <row r="234" spans="14:15" x14ac:dyDescent="0.35">
      <c r="N234" s="262">
        <v>191</v>
      </c>
      <c r="O234" s="401">
        <v>0.36081226360035723</v>
      </c>
    </row>
    <row r="235" spans="14:15" x14ac:dyDescent="0.35">
      <c r="N235" s="262">
        <v>192</v>
      </c>
      <c r="O235" s="401">
        <v>0.34819564156169602</v>
      </c>
    </row>
    <row r="236" spans="14:15" x14ac:dyDescent="0.35">
      <c r="N236" s="262">
        <v>193</v>
      </c>
      <c r="O236" s="401">
        <v>0.36880300238603358</v>
      </c>
    </row>
    <row r="237" spans="14:15" x14ac:dyDescent="0.35">
      <c r="N237" s="262">
        <v>194</v>
      </c>
      <c r="O237" s="401">
        <v>0.36648729519824119</v>
      </c>
    </row>
    <row r="238" spans="14:15" x14ac:dyDescent="0.35">
      <c r="N238" s="262">
        <v>195</v>
      </c>
      <c r="O238" s="401">
        <v>0.38331993312562762</v>
      </c>
    </row>
    <row r="239" spans="14:15" x14ac:dyDescent="0.35">
      <c r="N239" s="262">
        <v>196</v>
      </c>
      <c r="O239" s="401">
        <v>0.35361360203068193</v>
      </c>
    </row>
    <row r="240" spans="14:15" x14ac:dyDescent="0.35">
      <c r="N240" s="262">
        <v>197</v>
      </c>
      <c r="O240" s="401">
        <v>0.36647333463884624</v>
      </c>
    </row>
    <row r="241" spans="14:15" x14ac:dyDescent="0.35">
      <c r="N241" s="262">
        <v>198</v>
      </c>
      <c r="O241" s="401">
        <v>0.36730358043619926</v>
      </c>
    </row>
    <row r="242" spans="14:15" x14ac:dyDescent="0.35">
      <c r="N242" s="262">
        <v>199</v>
      </c>
      <c r="O242" s="401">
        <v>0.36025079537881655</v>
      </c>
    </row>
    <row r="243" spans="14:15" x14ac:dyDescent="0.35">
      <c r="N243" s="262">
        <v>200</v>
      </c>
      <c r="O243" s="401">
        <v>0.3628873860169386</v>
      </c>
    </row>
    <row r="244" spans="14:15" x14ac:dyDescent="0.35">
      <c r="N244" s="262">
        <v>201</v>
      </c>
      <c r="O244" s="401">
        <v>0.3585261767036052</v>
      </c>
    </row>
    <row r="245" spans="14:15" x14ac:dyDescent="0.35">
      <c r="N245" s="262">
        <v>202</v>
      </c>
      <c r="O245" s="401">
        <v>0.36091504249506179</v>
      </c>
    </row>
    <row r="246" spans="14:15" x14ac:dyDescent="0.35">
      <c r="N246" s="262">
        <v>203</v>
      </c>
      <c r="O246" s="401">
        <v>0.36223195147138343</v>
      </c>
    </row>
    <row r="247" spans="14:15" x14ac:dyDescent="0.35">
      <c r="N247" s="262">
        <v>204</v>
      </c>
      <c r="O247" s="401">
        <v>0.35789745211764501</v>
      </c>
    </row>
    <row r="248" spans="14:15" x14ac:dyDescent="0.35">
      <c r="N248" s="262">
        <v>205</v>
      </c>
      <c r="O248" s="401">
        <v>0.36577504899204527</v>
      </c>
    </row>
    <row r="249" spans="14:15" x14ac:dyDescent="0.35">
      <c r="N249" s="262">
        <v>206</v>
      </c>
      <c r="O249" s="401">
        <v>0.35024201344355443</v>
      </c>
    </row>
    <row r="250" spans="14:15" x14ac:dyDescent="0.35">
      <c r="N250" s="262">
        <v>207</v>
      </c>
      <c r="O250" s="401">
        <v>0.35616276225838894</v>
      </c>
    </row>
    <row r="251" spans="14:15" x14ac:dyDescent="0.35">
      <c r="N251" s="262">
        <v>208</v>
      </c>
      <c r="O251" s="401">
        <v>0.36487994955345759</v>
      </c>
    </row>
    <row r="252" spans="14:15" x14ac:dyDescent="0.35">
      <c r="N252" s="262">
        <v>209</v>
      </c>
      <c r="O252" s="401">
        <v>0.36965863883566019</v>
      </c>
    </row>
    <row r="253" spans="14:15" x14ac:dyDescent="0.35">
      <c r="N253" s="262">
        <v>210</v>
      </c>
      <c r="O253" s="401">
        <v>0.37197775222460927</v>
      </c>
    </row>
    <row r="254" spans="14:15" x14ac:dyDescent="0.35">
      <c r="N254" s="262">
        <v>211</v>
      </c>
      <c r="O254" s="401">
        <v>0.35212272516701604</v>
      </c>
    </row>
    <row r="255" spans="14:15" x14ac:dyDescent="0.35">
      <c r="N255" s="262">
        <v>212</v>
      </c>
      <c r="O255" s="401">
        <v>0.36422247041688194</v>
      </c>
    </row>
    <row r="256" spans="14:15" x14ac:dyDescent="0.35">
      <c r="N256" s="262">
        <v>213</v>
      </c>
      <c r="O256" s="401">
        <v>0.36543508006780057</v>
      </c>
    </row>
    <row r="257" spans="14:15" x14ac:dyDescent="0.35">
      <c r="N257" s="262">
        <v>214</v>
      </c>
      <c r="O257" s="401">
        <v>0.36263643750514252</v>
      </c>
    </row>
    <row r="258" spans="14:15" x14ac:dyDescent="0.35">
      <c r="N258" s="262">
        <v>215</v>
      </c>
      <c r="O258" s="401">
        <v>0.36720160466862706</v>
      </c>
    </row>
    <row r="259" spans="14:15" x14ac:dyDescent="0.35">
      <c r="N259" s="262">
        <v>216</v>
      </c>
      <c r="O259" s="401">
        <v>0.3677083226145057</v>
      </c>
    </row>
    <row r="260" spans="14:15" x14ac:dyDescent="0.35">
      <c r="N260" s="262">
        <v>217</v>
      </c>
      <c r="O260" s="401">
        <v>0.36271071393445986</v>
      </c>
    </row>
    <row r="261" spans="14:15" x14ac:dyDescent="0.35">
      <c r="N261" s="262">
        <v>218</v>
      </c>
      <c r="O261" s="401">
        <v>0.36238698131795366</v>
      </c>
    </row>
    <row r="262" spans="14:15" x14ac:dyDescent="0.35">
      <c r="N262" s="262">
        <v>219</v>
      </c>
      <c r="O262" s="401">
        <v>0.36770210866245723</v>
      </c>
    </row>
    <row r="263" spans="14:15" x14ac:dyDescent="0.35">
      <c r="N263" s="262">
        <v>220</v>
      </c>
      <c r="O263" s="401">
        <v>0.36378716099143005</v>
      </c>
    </row>
    <row r="264" spans="14:15" x14ac:dyDescent="0.35">
      <c r="N264" s="262">
        <v>221</v>
      </c>
      <c r="O264" s="401">
        <v>0.3644962902031057</v>
      </c>
    </row>
    <row r="265" spans="14:15" x14ac:dyDescent="0.35">
      <c r="N265" s="262">
        <v>222</v>
      </c>
      <c r="O265" s="401">
        <v>0.36319868201533723</v>
      </c>
    </row>
    <row r="266" spans="14:15" x14ac:dyDescent="0.35">
      <c r="N266" s="262">
        <v>223</v>
      </c>
      <c r="O266" s="401">
        <v>0.36669196630550216</v>
      </c>
    </row>
    <row r="267" spans="14:15" x14ac:dyDescent="0.35">
      <c r="N267" s="262">
        <v>224</v>
      </c>
      <c r="O267" s="401">
        <v>0.36354187169490682</v>
      </c>
    </row>
    <row r="268" spans="14:15" x14ac:dyDescent="0.35">
      <c r="N268" s="262">
        <v>225</v>
      </c>
      <c r="O268" s="401">
        <v>0.36366977233438535</v>
      </c>
    </row>
    <row r="269" spans="14:15" x14ac:dyDescent="0.35">
      <c r="N269" s="262">
        <v>226</v>
      </c>
      <c r="O269" s="401">
        <v>0.35289554646722543</v>
      </c>
    </row>
    <row r="270" spans="14:15" x14ac:dyDescent="0.35">
      <c r="N270" s="262">
        <v>227</v>
      </c>
      <c r="O270" s="401">
        <v>0.3565974972847783</v>
      </c>
    </row>
    <row r="271" spans="14:15" x14ac:dyDescent="0.35">
      <c r="N271" s="262">
        <v>228</v>
      </c>
      <c r="O271" s="401">
        <v>0.36490672932691992</v>
      </c>
    </row>
    <row r="272" spans="14:15" x14ac:dyDescent="0.35">
      <c r="N272" s="262">
        <v>229</v>
      </c>
      <c r="O272" s="401">
        <v>0.36866108730572211</v>
      </c>
    </row>
    <row r="273" spans="14:15" x14ac:dyDescent="0.35">
      <c r="N273" s="262">
        <v>230</v>
      </c>
      <c r="O273" s="401">
        <v>0.36103618940347104</v>
      </c>
    </row>
    <row r="274" spans="14:15" x14ac:dyDescent="0.35">
      <c r="N274" s="262">
        <v>231</v>
      </c>
      <c r="O274" s="401">
        <v>0.37206766221744347</v>
      </c>
    </row>
    <row r="275" spans="14:15" x14ac:dyDescent="0.35">
      <c r="N275" s="262">
        <v>232</v>
      </c>
      <c r="O275" s="401">
        <v>0.35058111462561525</v>
      </c>
    </row>
    <row r="276" spans="14:15" x14ac:dyDescent="0.35">
      <c r="N276" s="262">
        <v>233</v>
      </c>
      <c r="O276" s="401">
        <v>0.35401585092307331</v>
      </c>
    </row>
    <row r="277" spans="14:15" x14ac:dyDescent="0.35">
      <c r="N277" s="262">
        <v>234</v>
      </c>
      <c r="O277" s="401">
        <v>0.35841737281996155</v>
      </c>
    </row>
    <row r="278" spans="14:15" x14ac:dyDescent="0.35">
      <c r="N278" s="262">
        <v>235</v>
      </c>
      <c r="O278" s="401">
        <v>0.35984285468846866</v>
      </c>
    </row>
    <row r="279" spans="14:15" x14ac:dyDescent="0.35">
      <c r="N279" s="262">
        <v>236</v>
      </c>
      <c r="O279" s="401">
        <v>0.35746175878656694</v>
      </c>
    </row>
    <row r="280" spans="14:15" x14ac:dyDescent="0.35">
      <c r="N280" s="262">
        <v>237</v>
      </c>
      <c r="O280" s="401">
        <v>0.35634308261852166</v>
      </c>
    </row>
    <row r="281" spans="14:15" x14ac:dyDescent="0.35">
      <c r="N281" s="262">
        <v>238</v>
      </c>
      <c r="O281" s="401">
        <v>0.37339582662039583</v>
      </c>
    </row>
    <row r="282" spans="14:15" x14ac:dyDescent="0.35">
      <c r="N282" s="262">
        <v>239</v>
      </c>
      <c r="O282" s="401">
        <v>0.36909620010473843</v>
      </c>
    </row>
    <row r="283" spans="14:15" x14ac:dyDescent="0.35">
      <c r="N283" s="262">
        <v>240</v>
      </c>
      <c r="O283" s="401">
        <v>0.35639941577200451</v>
      </c>
    </row>
    <row r="284" spans="14:15" x14ac:dyDescent="0.35">
      <c r="N284" s="262">
        <v>241</v>
      </c>
      <c r="O284" s="401">
        <v>0.35804430597277115</v>
      </c>
    </row>
    <row r="285" spans="14:15" x14ac:dyDescent="0.35">
      <c r="N285" s="262">
        <v>242</v>
      </c>
      <c r="O285" s="401">
        <v>0.38154140649579826</v>
      </c>
    </row>
    <row r="286" spans="14:15" x14ac:dyDescent="0.35">
      <c r="N286" s="262">
        <v>243</v>
      </c>
      <c r="O286" s="401">
        <v>0.37075471905622392</v>
      </c>
    </row>
    <row r="287" spans="14:15" x14ac:dyDescent="0.35">
      <c r="N287" s="262">
        <v>244</v>
      </c>
      <c r="O287" s="401">
        <v>0.36390975069782638</v>
      </c>
    </row>
    <row r="288" spans="14:15" x14ac:dyDescent="0.35">
      <c r="N288" s="262">
        <v>245</v>
      </c>
      <c r="O288" s="401">
        <v>0.36275258751315209</v>
      </c>
    </row>
    <row r="289" spans="14:15" x14ac:dyDescent="0.35">
      <c r="N289" s="262">
        <v>246</v>
      </c>
      <c r="O289" s="401">
        <v>0.36207088538075394</v>
      </c>
    </row>
    <row r="290" spans="14:15" x14ac:dyDescent="0.35">
      <c r="N290" s="262">
        <v>247</v>
      </c>
      <c r="O290" s="401">
        <v>0.38301418318139757</v>
      </c>
    </row>
    <row r="291" spans="14:15" x14ac:dyDescent="0.35">
      <c r="N291" s="262">
        <v>248</v>
      </c>
      <c r="O291" s="401">
        <v>0.36575620415907362</v>
      </c>
    </row>
    <row r="292" spans="14:15" x14ac:dyDescent="0.35">
      <c r="N292" s="262">
        <v>249</v>
      </c>
      <c r="O292" s="401">
        <v>0.36756229451074218</v>
      </c>
    </row>
    <row r="293" spans="14:15" x14ac:dyDescent="0.35">
      <c r="N293" s="262">
        <v>250</v>
      </c>
      <c r="O293" s="401">
        <v>0.36542518187183548</v>
      </c>
    </row>
    <row r="294" spans="14:15" x14ac:dyDescent="0.35">
      <c r="N294" s="262">
        <v>251</v>
      </c>
      <c r="O294" s="401">
        <v>0.36294507503441875</v>
      </c>
    </row>
    <row r="295" spans="14:15" x14ac:dyDescent="0.35">
      <c r="N295" s="262">
        <v>252</v>
      </c>
      <c r="O295" s="401">
        <v>0.36719467619767365</v>
      </c>
    </row>
    <row r="296" spans="14:15" x14ac:dyDescent="0.35">
      <c r="N296" s="262">
        <v>253</v>
      </c>
      <c r="O296" s="401">
        <v>0.36036351504466513</v>
      </c>
    </row>
    <row r="297" spans="14:15" x14ac:dyDescent="0.35">
      <c r="N297" s="262">
        <v>254</v>
      </c>
      <c r="O297" s="401">
        <v>0.36222354778524712</v>
      </c>
    </row>
    <row r="298" spans="14:15" x14ac:dyDescent="0.35">
      <c r="N298" s="262">
        <v>255</v>
      </c>
      <c r="O298" s="401">
        <v>0.35679473602120004</v>
      </c>
    </row>
    <row r="299" spans="14:15" x14ac:dyDescent="0.35">
      <c r="N299" s="262">
        <v>256</v>
      </c>
      <c r="O299" s="401">
        <v>0.35584436761889116</v>
      </c>
    </row>
    <row r="300" spans="14:15" x14ac:dyDescent="0.35">
      <c r="N300" s="262">
        <v>257</v>
      </c>
      <c r="O300" s="401">
        <v>0.35472995729576917</v>
      </c>
    </row>
    <row r="301" spans="14:15" x14ac:dyDescent="0.35">
      <c r="N301" s="262">
        <v>258</v>
      </c>
      <c r="O301" s="401">
        <v>0.36734899615346106</v>
      </c>
    </row>
    <row r="302" spans="14:15" x14ac:dyDescent="0.35">
      <c r="N302" s="262">
        <v>259</v>
      </c>
      <c r="O302" s="401">
        <v>0.36011000590271447</v>
      </c>
    </row>
    <row r="303" spans="14:15" x14ac:dyDescent="0.35">
      <c r="N303" s="262">
        <v>260</v>
      </c>
      <c r="O303" s="401">
        <v>0.36441136080402825</v>
      </c>
    </row>
    <row r="304" spans="14:15" x14ac:dyDescent="0.35">
      <c r="N304" s="262">
        <v>261</v>
      </c>
      <c r="O304" s="401">
        <v>0.36950645622789802</v>
      </c>
    </row>
    <row r="305" spans="14:15" x14ac:dyDescent="0.35">
      <c r="N305" s="262">
        <v>262</v>
      </c>
      <c r="O305" s="401">
        <v>0.36658660195118165</v>
      </c>
    </row>
    <row r="306" spans="14:15" x14ac:dyDescent="0.35">
      <c r="N306" s="262">
        <v>263</v>
      </c>
      <c r="O306" s="401">
        <v>0.363732512887466</v>
      </c>
    </row>
    <row r="307" spans="14:15" x14ac:dyDescent="0.35">
      <c r="N307" s="262">
        <v>264</v>
      </c>
      <c r="O307" s="401">
        <v>0.3724002889981517</v>
      </c>
    </row>
    <row r="308" spans="14:15" x14ac:dyDescent="0.35">
      <c r="N308" s="262">
        <v>265</v>
      </c>
      <c r="O308" s="401">
        <v>0.36476394273237966</v>
      </c>
    </row>
    <row r="309" spans="14:15" x14ac:dyDescent="0.35">
      <c r="N309" s="262">
        <v>266</v>
      </c>
      <c r="O309" s="401">
        <v>0.37087598276794931</v>
      </c>
    </row>
    <row r="310" spans="14:15" x14ac:dyDescent="0.35">
      <c r="N310" s="262">
        <v>267</v>
      </c>
      <c r="O310" s="401">
        <v>0.358879092133366</v>
      </c>
    </row>
    <row r="311" spans="14:15" x14ac:dyDescent="0.35">
      <c r="N311" s="262">
        <v>268</v>
      </c>
      <c r="O311" s="401">
        <v>0.35985982032701092</v>
      </c>
    </row>
    <row r="312" spans="14:15" x14ac:dyDescent="0.35">
      <c r="N312" s="262">
        <v>269</v>
      </c>
      <c r="O312" s="401">
        <v>0.36785403910915382</v>
      </c>
    </row>
    <row r="313" spans="14:15" x14ac:dyDescent="0.35">
      <c r="N313" s="262">
        <v>270</v>
      </c>
      <c r="O313" s="401">
        <v>0.35612630264748479</v>
      </c>
    </row>
    <row r="314" spans="14:15" x14ac:dyDescent="0.35">
      <c r="N314" s="262">
        <v>271</v>
      </c>
      <c r="O314" s="401">
        <v>0.36373470787762074</v>
      </c>
    </row>
    <row r="315" spans="14:15" x14ac:dyDescent="0.35">
      <c r="N315" s="262">
        <v>272</v>
      </c>
      <c r="O315" s="401">
        <v>0.35930006790887115</v>
      </c>
    </row>
    <row r="316" spans="14:15" x14ac:dyDescent="0.35">
      <c r="N316" s="262">
        <v>273</v>
      </c>
      <c r="O316" s="401">
        <v>0.34608821878729779</v>
      </c>
    </row>
    <row r="317" spans="14:15" x14ac:dyDescent="0.35">
      <c r="N317" s="262">
        <v>274</v>
      </c>
      <c r="O317" s="401">
        <v>0.35254233930909851</v>
      </c>
    </row>
    <row r="318" spans="14:15" x14ac:dyDescent="0.35">
      <c r="N318" s="262">
        <v>275</v>
      </c>
      <c r="O318" s="401">
        <v>0.36103747955934118</v>
      </c>
    </row>
    <row r="319" spans="14:15" x14ac:dyDescent="0.35">
      <c r="N319" s="262">
        <v>276</v>
      </c>
      <c r="O319" s="401">
        <v>0.35528162861088219</v>
      </c>
    </row>
    <row r="320" spans="14:15" x14ac:dyDescent="0.35">
      <c r="N320" s="262">
        <v>277</v>
      </c>
      <c r="O320" s="401">
        <v>0.36014053187994555</v>
      </c>
    </row>
    <row r="321" spans="14:15" x14ac:dyDescent="0.35">
      <c r="N321" s="262">
        <v>278</v>
      </c>
      <c r="O321" s="401">
        <v>0.36585291582706181</v>
      </c>
    </row>
    <row r="322" spans="14:15" x14ac:dyDescent="0.35">
      <c r="N322" s="262">
        <v>279</v>
      </c>
      <c r="O322" s="401">
        <v>0.35557438708527167</v>
      </c>
    </row>
    <row r="323" spans="14:15" x14ac:dyDescent="0.35">
      <c r="N323" s="262">
        <v>280</v>
      </c>
      <c r="O323" s="401">
        <v>0.36718039415236903</v>
      </c>
    </row>
    <row r="324" spans="14:15" x14ac:dyDescent="0.35">
      <c r="N324" s="262">
        <v>281</v>
      </c>
      <c r="O324" s="401">
        <v>0.36604924536717642</v>
      </c>
    </row>
    <row r="325" spans="14:15" x14ac:dyDescent="0.35">
      <c r="N325" s="262">
        <v>282</v>
      </c>
      <c r="O325" s="401">
        <v>0.36985607240200391</v>
      </c>
    </row>
    <row r="326" spans="14:15" x14ac:dyDescent="0.35">
      <c r="N326" s="262">
        <v>283</v>
      </c>
      <c r="O326" s="401">
        <v>0.35692579194260587</v>
      </c>
    </row>
    <row r="327" spans="14:15" x14ac:dyDescent="0.35">
      <c r="N327" s="262">
        <v>284</v>
      </c>
      <c r="O327" s="401">
        <v>0.35532804283021635</v>
      </c>
    </row>
    <row r="328" spans="14:15" x14ac:dyDescent="0.35">
      <c r="N328" s="262">
        <v>285</v>
      </c>
      <c r="O328" s="401">
        <v>0.36256266399560722</v>
      </c>
    </row>
    <row r="329" spans="14:15" x14ac:dyDescent="0.35">
      <c r="N329" s="262">
        <v>286</v>
      </c>
      <c r="O329" s="401">
        <v>0.36596815089558721</v>
      </c>
    </row>
    <row r="330" spans="14:15" x14ac:dyDescent="0.35">
      <c r="N330" s="262">
        <v>287</v>
      </c>
      <c r="O330" s="401">
        <v>0.37089422045811005</v>
      </c>
    </row>
    <row r="331" spans="14:15" x14ac:dyDescent="0.35">
      <c r="N331" s="262">
        <v>288</v>
      </c>
      <c r="O331" s="401">
        <v>0.36440499818072758</v>
      </c>
    </row>
    <row r="332" spans="14:15" x14ac:dyDescent="0.35">
      <c r="N332" s="262">
        <v>289</v>
      </c>
      <c r="O332" s="401">
        <v>0.36487493410906779</v>
      </c>
    </row>
    <row r="333" spans="14:15" x14ac:dyDescent="0.35">
      <c r="N333" s="262">
        <v>290</v>
      </c>
      <c r="O333" s="401">
        <v>0.36576601332788683</v>
      </c>
    </row>
    <row r="334" spans="14:15" x14ac:dyDescent="0.35">
      <c r="N334" s="262">
        <v>291</v>
      </c>
      <c r="O334" s="401">
        <v>0.34906440200698419</v>
      </c>
    </row>
    <row r="335" spans="14:15" x14ac:dyDescent="0.35">
      <c r="N335" s="262">
        <v>292</v>
      </c>
      <c r="O335" s="401">
        <v>0.3667490818215231</v>
      </c>
    </row>
    <row r="336" spans="14:15" x14ac:dyDescent="0.35">
      <c r="N336" s="262">
        <v>293</v>
      </c>
      <c r="O336" s="401">
        <v>0.36380851419944715</v>
      </c>
    </row>
    <row r="337" spans="14:15" x14ac:dyDescent="0.35">
      <c r="N337" s="262">
        <v>294</v>
      </c>
      <c r="O337" s="401">
        <v>0.35959169310245032</v>
      </c>
    </row>
    <row r="338" spans="14:15" x14ac:dyDescent="0.35">
      <c r="N338" s="262">
        <v>295</v>
      </c>
      <c r="O338" s="401">
        <v>0.35975755883274441</v>
      </c>
    </row>
    <row r="339" spans="14:15" x14ac:dyDescent="0.35">
      <c r="N339" s="262">
        <v>296</v>
      </c>
      <c r="O339" s="401">
        <v>0.36585999917926593</v>
      </c>
    </row>
    <row r="340" spans="14:15" x14ac:dyDescent="0.35">
      <c r="N340" s="262">
        <v>297</v>
      </c>
      <c r="O340" s="401">
        <v>0.35449262481230059</v>
      </c>
    </row>
    <row r="341" spans="14:15" x14ac:dyDescent="0.35">
      <c r="N341" s="262">
        <v>298</v>
      </c>
      <c r="O341" s="401">
        <v>0.36078953735771568</v>
      </c>
    </row>
    <row r="342" spans="14:15" x14ac:dyDescent="0.35">
      <c r="N342" s="262">
        <v>299</v>
      </c>
      <c r="O342" s="401">
        <v>0.36770511537257056</v>
      </c>
    </row>
    <row r="343" spans="14:15" x14ac:dyDescent="0.35">
      <c r="N343" s="262">
        <v>300</v>
      </c>
      <c r="O343" s="401">
        <v>0.35883390087657729</v>
      </c>
    </row>
    <row r="344" spans="14:15" x14ac:dyDescent="0.35">
      <c r="N344" s="262">
        <v>301</v>
      </c>
      <c r="O344" s="401">
        <v>0.36320026559323537</v>
      </c>
    </row>
    <row r="345" spans="14:15" x14ac:dyDescent="0.35">
      <c r="N345" s="262">
        <v>302</v>
      </c>
      <c r="O345" s="401">
        <v>0.35320016076244354</v>
      </c>
    </row>
    <row r="346" spans="14:15" x14ac:dyDescent="0.35">
      <c r="N346" s="262">
        <v>303</v>
      </c>
      <c r="O346" s="401">
        <v>0.3697593627277187</v>
      </c>
    </row>
    <row r="347" spans="14:15" x14ac:dyDescent="0.35">
      <c r="N347" s="262">
        <v>304</v>
      </c>
      <c r="O347" s="401">
        <v>0.3693299817787401</v>
      </c>
    </row>
    <row r="348" spans="14:15" x14ac:dyDescent="0.35">
      <c r="N348" s="262">
        <v>305</v>
      </c>
      <c r="O348" s="401">
        <v>0.37299428264226075</v>
      </c>
    </row>
    <row r="349" spans="14:15" x14ac:dyDescent="0.35">
      <c r="N349" s="262">
        <v>306</v>
      </c>
      <c r="O349" s="401">
        <v>0.37093889086915777</v>
      </c>
    </row>
    <row r="350" spans="14:15" x14ac:dyDescent="0.35">
      <c r="N350" s="262">
        <v>307</v>
      </c>
      <c r="O350" s="401">
        <v>0.36272755742096097</v>
      </c>
    </row>
    <row r="351" spans="14:15" x14ac:dyDescent="0.35">
      <c r="N351" s="262">
        <v>308</v>
      </c>
      <c r="O351" s="401">
        <v>0.35925697828888747</v>
      </c>
    </row>
    <row r="352" spans="14:15" x14ac:dyDescent="0.35">
      <c r="N352" s="262">
        <v>309</v>
      </c>
      <c r="O352" s="401">
        <v>0.37069434131285051</v>
      </c>
    </row>
    <row r="353" spans="14:15" x14ac:dyDescent="0.35">
      <c r="N353" s="262">
        <v>310</v>
      </c>
      <c r="O353" s="401">
        <v>0.36736946483094202</v>
      </c>
    </row>
    <row r="354" spans="14:15" x14ac:dyDescent="0.35">
      <c r="N354" s="262">
        <v>311</v>
      </c>
      <c r="O354" s="401">
        <v>0.35913528415628937</v>
      </c>
    </row>
    <row r="355" spans="14:15" x14ac:dyDescent="0.35">
      <c r="N355" s="262">
        <v>312</v>
      </c>
      <c r="O355" s="401">
        <v>0.35752667190005716</v>
      </c>
    </row>
    <row r="356" spans="14:15" x14ac:dyDescent="0.35">
      <c r="N356" s="262">
        <v>313</v>
      </c>
      <c r="O356" s="401">
        <v>0.35999359238908113</v>
      </c>
    </row>
    <row r="357" spans="14:15" x14ac:dyDescent="0.35">
      <c r="N357" s="262">
        <v>314</v>
      </c>
      <c r="O357" s="401">
        <v>0.36498006043078446</v>
      </c>
    </row>
    <row r="358" spans="14:15" x14ac:dyDescent="0.35">
      <c r="N358" s="262">
        <v>315</v>
      </c>
      <c r="O358" s="401">
        <v>0.3666378764623397</v>
      </c>
    </row>
    <row r="359" spans="14:15" x14ac:dyDescent="0.35">
      <c r="N359" s="262">
        <v>316</v>
      </c>
      <c r="O359" s="401">
        <v>0.36914420590505359</v>
      </c>
    </row>
    <row r="360" spans="14:15" x14ac:dyDescent="0.35">
      <c r="N360" s="262">
        <v>317</v>
      </c>
      <c r="O360" s="401">
        <v>0.36610455586760149</v>
      </c>
    </row>
    <row r="361" spans="14:15" x14ac:dyDescent="0.35">
      <c r="N361" s="262">
        <v>318</v>
      </c>
      <c r="O361" s="401">
        <v>0.36124486034468561</v>
      </c>
    </row>
    <row r="362" spans="14:15" x14ac:dyDescent="0.35">
      <c r="N362" s="262">
        <v>319</v>
      </c>
      <c r="O362" s="401">
        <v>0.37372380241197822</v>
      </c>
    </row>
    <row r="363" spans="14:15" x14ac:dyDescent="0.35">
      <c r="N363" s="262">
        <v>320</v>
      </c>
      <c r="O363" s="401">
        <v>0.35738511403061946</v>
      </c>
    </row>
    <row r="364" spans="14:15" x14ac:dyDescent="0.35">
      <c r="N364" s="262">
        <v>321</v>
      </c>
      <c r="O364" s="401">
        <v>0.36431915350200228</v>
      </c>
    </row>
    <row r="365" spans="14:15" x14ac:dyDescent="0.35">
      <c r="N365" s="262">
        <v>322</v>
      </c>
      <c r="O365" s="401">
        <v>0.37286019981667851</v>
      </c>
    </row>
    <row r="366" spans="14:15" x14ac:dyDescent="0.35">
      <c r="N366" s="262">
        <v>323</v>
      </c>
      <c r="O366" s="401">
        <v>0.36243304590555225</v>
      </c>
    </row>
    <row r="367" spans="14:15" x14ac:dyDescent="0.35">
      <c r="N367" s="262">
        <v>324</v>
      </c>
      <c r="O367" s="401">
        <v>0.36224050708743927</v>
      </c>
    </row>
    <row r="368" spans="14:15" x14ac:dyDescent="0.35">
      <c r="N368" s="262">
        <v>325</v>
      </c>
      <c r="O368" s="401">
        <v>0.35910098162472015</v>
      </c>
    </row>
    <row r="369" spans="14:15" x14ac:dyDescent="0.35">
      <c r="N369" s="262">
        <v>326</v>
      </c>
      <c r="O369" s="401">
        <v>0.36805072774469383</v>
      </c>
    </row>
    <row r="370" spans="14:15" x14ac:dyDescent="0.35">
      <c r="N370" s="262">
        <v>327</v>
      </c>
      <c r="O370" s="401">
        <v>0.36236679813322303</v>
      </c>
    </row>
    <row r="371" spans="14:15" x14ac:dyDescent="0.35">
      <c r="N371" s="262">
        <v>328</v>
      </c>
      <c r="O371" s="401">
        <v>0.35535028906889754</v>
      </c>
    </row>
    <row r="372" spans="14:15" x14ac:dyDescent="0.35">
      <c r="N372" s="262">
        <v>329</v>
      </c>
      <c r="O372" s="401">
        <v>0.36351513300324978</v>
      </c>
    </row>
    <row r="373" spans="14:15" x14ac:dyDescent="0.35">
      <c r="N373" s="262">
        <v>330</v>
      </c>
      <c r="O373" s="401">
        <v>0.36684239937109919</v>
      </c>
    </row>
    <row r="374" spans="14:15" x14ac:dyDescent="0.35">
      <c r="N374" s="262">
        <v>331</v>
      </c>
      <c r="O374" s="401">
        <v>0.36098885490212052</v>
      </c>
    </row>
    <row r="375" spans="14:15" x14ac:dyDescent="0.35">
      <c r="N375" s="262">
        <v>332</v>
      </c>
      <c r="O375" s="401">
        <v>0.36005215782717115</v>
      </c>
    </row>
    <row r="376" spans="14:15" x14ac:dyDescent="0.35">
      <c r="N376" s="262">
        <v>333</v>
      </c>
      <c r="O376" s="401">
        <v>0.34771481572295082</v>
      </c>
    </row>
    <row r="377" spans="14:15" x14ac:dyDescent="0.35">
      <c r="N377" s="262">
        <v>334</v>
      </c>
      <c r="O377" s="401">
        <v>0.35774332247730523</v>
      </c>
    </row>
    <row r="378" spans="14:15" x14ac:dyDescent="0.35">
      <c r="N378" s="262">
        <v>335</v>
      </c>
      <c r="O378" s="401">
        <v>0.36124523433689659</v>
      </c>
    </row>
    <row r="379" spans="14:15" x14ac:dyDescent="0.35">
      <c r="N379" s="262">
        <v>336</v>
      </c>
      <c r="O379" s="401">
        <v>0.3612719598214853</v>
      </c>
    </row>
    <row r="380" spans="14:15" x14ac:dyDescent="0.35">
      <c r="N380" s="262">
        <v>337</v>
      </c>
      <c r="O380" s="401">
        <v>0.35802220181957889</v>
      </c>
    </row>
    <row r="381" spans="14:15" x14ac:dyDescent="0.35">
      <c r="N381" s="262">
        <v>338</v>
      </c>
      <c r="O381" s="401">
        <v>0.37156161863504167</v>
      </c>
    </row>
    <row r="382" spans="14:15" x14ac:dyDescent="0.35">
      <c r="N382" s="262">
        <v>339</v>
      </c>
      <c r="O382" s="401">
        <v>0.35831409367525624</v>
      </c>
    </row>
    <row r="383" spans="14:15" x14ac:dyDescent="0.35">
      <c r="N383" s="262">
        <v>340</v>
      </c>
      <c r="O383" s="401">
        <v>0.36769891901184737</v>
      </c>
    </row>
    <row r="384" spans="14:15" x14ac:dyDescent="0.35">
      <c r="N384" s="262">
        <v>341</v>
      </c>
      <c r="O384" s="401">
        <v>0.36666386651906957</v>
      </c>
    </row>
    <row r="385" spans="14:15" x14ac:dyDescent="0.35">
      <c r="N385" s="262">
        <v>342</v>
      </c>
      <c r="O385" s="401">
        <v>0.35865887963152976</v>
      </c>
    </row>
    <row r="386" spans="14:15" x14ac:dyDescent="0.35">
      <c r="N386" s="262">
        <v>343</v>
      </c>
      <c r="O386" s="401">
        <v>0.36720341911182852</v>
      </c>
    </row>
    <row r="387" spans="14:15" x14ac:dyDescent="0.35">
      <c r="N387" s="262">
        <v>344</v>
      </c>
      <c r="O387" s="401">
        <v>0.3586978601184927</v>
      </c>
    </row>
    <row r="388" spans="14:15" x14ac:dyDescent="0.35">
      <c r="N388" s="262">
        <v>345</v>
      </c>
      <c r="O388" s="401">
        <v>0.37608219837740298</v>
      </c>
    </row>
    <row r="389" spans="14:15" x14ac:dyDescent="0.35">
      <c r="N389" s="262">
        <v>346</v>
      </c>
      <c r="O389" s="401">
        <v>0.3511952670296099</v>
      </c>
    </row>
    <row r="390" spans="14:15" x14ac:dyDescent="0.35">
      <c r="N390" s="262">
        <v>347</v>
      </c>
      <c r="O390" s="401">
        <v>0.37319680473614092</v>
      </c>
    </row>
    <row r="391" spans="14:15" x14ac:dyDescent="0.35">
      <c r="N391" s="262">
        <v>348</v>
      </c>
      <c r="O391" s="401">
        <v>0.35853938699407317</v>
      </c>
    </row>
    <row r="392" spans="14:15" x14ac:dyDescent="0.35">
      <c r="N392" s="262">
        <v>349</v>
      </c>
      <c r="O392" s="401">
        <v>0.3490091677521634</v>
      </c>
    </row>
    <row r="393" spans="14:15" x14ac:dyDescent="0.35">
      <c r="N393" s="262">
        <v>350</v>
      </c>
      <c r="O393" s="401">
        <v>0.37036522331510202</v>
      </c>
    </row>
    <row r="394" spans="14:15" x14ac:dyDescent="0.35">
      <c r="N394" s="262">
        <v>351</v>
      </c>
      <c r="O394" s="401">
        <v>0.37056326147995233</v>
      </c>
    </row>
    <row r="395" spans="14:15" x14ac:dyDescent="0.35">
      <c r="N395" s="262">
        <v>352</v>
      </c>
      <c r="O395" s="401">
        <v>0.37178341610458365</v>
      </c>
    </row>
    <row r="396" spans="14:15" x14ac:dyDescent="0.35">
      <c r="N396" s="262">
        <v>353</v>
      </c>
      <c r="O396" s="401">
        <v>0.34927184281574775</v>
      </c>
    </row>
    <row r="397" spans="14:15" x14ac:dyDescent="0.35">
      <c r="N397" s="262">
        <v>354</v>
      </c>
      <c r="O397" s="401">
        <v>0.36312475936476707</v>
      </c>
    </row>
    <row r="398" spans="14:15" x14ac:dyDescent="0.35">
      <c r="N398" s="262">
        <v>355</v>
      </c>
      <c r="O398" s="401">
        <v>0.36538837158378734</v>
      </c>
    </row>
    <row r="399" spans="14:15" x14ac:dyDescent="0.35">
      <c r="N399" s="262">
        <v>356</v>
      </c>
      <c r="O399" s="401">
        <v>0.36502628215220545</v>
      </c>
    </row>
    <row r="400" spans="14:15" x14ac:dyDescent="0.35">
      <c r="N400" s="262">
        <v>357</v>
      </c>
      <c r="O400" s="401">
        <v>0.34830459206537889</v>
      </c>
    </row>
    <row r="401" spans="14:15" x14ac:dyDescent="0.35">
      <c r="N401" s="262">
        <v>358</v>
      </c>
      <c r="O401" s="401">
        <v>0.36171190441707535</v>
      </c>
    </row>
    <row r="402" spans="14:15" x14ac:dyDescent="0.35">
      <c r="N402" s="262">
        <v>359</v>
      </c>
      <c r="O402" s="401">
        <v>0.35904259262508931</v>
      </c>
    </row>
    <row r="403" spans="14:15" x14ac:dyDescent="0.35">
      <c r="N403" s="262">
        <v>360</v>
      </c>
      <c r="O403" s="401">
        <v>0.36260227951220991</v>
      </c>
    </row>
    <row r="404" spans="14:15" x14ac:dyDescent="0.35">
      <c r="N404" s="262">
        <v>361</v>
      </c>
      <c r="O404" s="401">
        <v>0.3665001486733801</v>
      </c>
    </row>
    <row r="405" spans="14:15" x14ac:dyDescent="0.35">
      <c r="N405" s="262">
        <v>362</v>
      </c>
      <c r="O405" s="401">
        <v>0.361546272567703</v>
      </c>
    </row>
    <row r="406" spans="14:15" x14ac:dyDescent="0.35">
      <c r="N406" s="262">
        <v>363</v>
      </c>
      <c r="O406" s="401">
        <v>0.35743974737461781</v>
      </c>
    </row>
    <row r="407" spans="14:15" x14ac:dyDescent="0.35">
      <c r="N407" s="262">
        <v>364</v>
      </c>
      <c r="O407" s="401">
        <v>0.36868703269408321</v>
      </c>
    </row>
    <row r="408" spans="14:15" x14ac:dyDescent="0.35">
      <c r="N408" s="262">
        <v>365</v>
      </c>
      <c r="O408" s="401">
        <v>0.35577239116023462</v>
      </c>
    </row>
    <row r="409" spans="14:15" x14ac:dyDescent="0.35">
      <c r="N409" s="262">
        <v>366</v>
      </c>
      <c r="O409" s="401">
        <v>0.36250679485004533</v>
      </c>
    </row>
    <row r="410" spans="14:15" x14ac:dyDescent="0.35">
      <c r="N410" s="262">
        <v>367</v>
      </c>
      <c r="O410" s="401">
        <v>0.36630608099938411</v>
      </c>
    </row>
    <row r="411" spans="14:15" x14ac:dyDescent="0.35">
      <c r="N411" s="262">
        <v>368</v>
      </c>
      <c r="O411" s="401">
        <v>0.36385289927535469</v>
      </c>
    </row>
    <row r="412" spans="14:15" x14ac:dyDescent="0.35">
      <c r="N412" s="262">
        <v>369</v>
      </c>
      <c r="O412" s="401">
        <v>0.36082674125610525</v>
      </c>
    </row>
    <row r="413" spans="14:15" x14ac:dyDescent="0.35">
      <c r="N413" s="262">
        <v>370</v>
      </c>
      <c r="O413" s="401">
        <v>0.37317779666907613</v>
      </c>
    </row>
    <row r="414" spans="14:15" x14ac:dyDescent="0.35">
      <c r="N414" s="262">
        <v>371</v>
      </c>
      <c r="O414" s="401">
        <v>0.37246106854270367</v>
      </c>
    </row>
    <row r="415" spans="14:15" x14ac:dyDescent="0.35">
      <c r="N415" s="262">
        <v>372</v>
      </c>
      <c r="O415" s="401">
        <v>0.3599384622193742</v>
      </c>
    </row>
    <row r="416" spans="14:15" x14ac:dyDescent="0.35">
      <c r="N416" s="262">
        <v>373</v>
      </c>
      <c r="O416" s="401">
        <v>0.35447190916556415</v>
      </c>
    </row>
    <row r="417" spans="14:15" x14ac:dyDescent="0.35">
      <c r="N417" s="262">
        <v>374</v>
      </c>
      <c r="O417" s="401">
        <v>0.36129759834270025</v>
      </c>
    </row>
    <row r="418" spans="14:15" x14ac:dyDescent="0.35">
      <c r="N418" s="262">
        <v>375</v>
      </c>
      <c r="O418" s="401">
        <v>0.35195874979252961</v>
      </c>
    </row>
    <row r="419" spans="14:15" x14ac:dyDescent="0.35">
      <c r="N419" s="262">
        <v>376</v>
      </c>
      <c r="O419" s="401">
        <v>0.36642256789619809</v>
      </c>
    </row>
    <row r="420" spans="14:15" x14ac:dyDescent="0.35">
      <c r="N420" s="262">
        <v>377</v>
      </c>
      <c r="O420" s="401">
        <v>0.3693517752845612</v>
      </c>
    </row>
    <row r="421" spans="14:15" x14ac:dyDescent="0.35">
      <c r="N421" s="262">
        <v>378</v>
      </c>
      <c r="O421" s="401">
        <v>0.36536956011497956</v>
      </c>
    </row>
    <row r="422" spans="14:15" x14ac:dyDescent="0.35">
      <c r="N422" s="262">
        <v>379</v>
      </c>
      <c r="O422" s="401">
        <v>0.35952035041004926</v>
      </c>
    </row>
    <row r="423" spans="14:15" x14ac:dyDescent="0.35">
      <c r="N423" s="262">
        <v>380</v>
      </c>
      <c r="O423" s="401">
        <v>0.36068489349374389</v>
      </c>
    </row>
    <row r="424" spans="14:15" x14ac:dyDescent="0.35">
      <c r="N424" s="262">
        <v>381</v>
      </c>
      <c r="O424" s="401">
        <v>0.36334411167842773</v>
      </c>
    </row>
    <row r="425" spans="14:15" x14ac:dyDescent="0.35">
      <c r="N425" s="262">
        <v>382</v>
      </c>
      <c r="O425" s="401">
        <v>0.36632300177838606</v>
      </c>
    </row>
    <row r="426" spans="14:15" x14ac:dyDescent="0.35">
      <c r="N426" s="262">
        <v>383</v>
      </c>
      <c r="O426" s="401">
        <v>0.35656218735195777</v>
      </c>
    </row>
    <row r="427" spans="14:15" x14ac:dyDescent="0.35">
      <c r="N427" s="262">
        <v>384</v>
      </c>
      <c r="O427" s="401">
        <v>0.36459238193787247</v>
      </c>
    </row>
    <row r="428" spans="14:15" x14ac:dyDescent="0.35">
      <c r="N428" s="262">
        <v>385</v>
      </c>
      <c r="O428" s="401">
        <v>0.35821003793603423</v>
      </c>
    </row>
    <row r="429" spans="14:15" x14ac:dyDescent="0.35">
      <c r="N429" s="262">
        <v>386</v>
      </c>
      <c r="O429" s="401">
        <v>0.36088919222128535</v>
      </c>
    </row>
    <row r="430" spans="14:15" x14ac:dyDescent="0.35">
      <c r="N430" s="262">
        <v>387</v>
      </c>
      <c r="O430" s="401">
        <v>0.36132249610398426</v>
      </c>
    </row>
    <row r="431" spans="14:15" x14ac:dyDescent="0.35">
      <c r="N431" s="262">
        <v>388</v>
      </c>
      <c r="O431" s="401">
        <v>0.36020803881628116</v>
      </c>
    </row>
    <row r="432" spans="14:15" x14ac:dyDescent="0.35">
      <c r="N432" s="262">
        <v>389</v>
      </c>
      <c r="O432" s="401">
        <v>0.3638168640990822</v>
      </c>
    </row>
    <row r="433" spans="14:15" x14ac:dyDescent="0.35">
      <c r="N433" s="262">
        <v>390</v>
      </c>
      <c r="O433" s="401">
        <v>0.35482404416683533</v>
      </c>
    </row>
    <row r="434" spans="14:15" x14ac:dyDescent="0.35">
      <c r="N434" s="262">
        <v>391</v>
      </c>
      <c r="O434" s="401">
        <v>0.36891024320325649</v>
      </c>
    </row>
    <row r="435" spans="14:15" x14ac:dyDescent="0.35">
      <c r="N435" s="262">
        <v>392</v>
      </c>
      <c r="O435" s="401">
        <v>0.36462287919219705</v>
      </c>
    </row>
    <row r="436" spans="14:15" x14ac:dyDescent="0.35">
      <c r="N436" s="262">
        <v>393</v>
      </c>
      <c r="O436" s="401">
        <v>0.36251007337831198</v>
      </c>
    </row>
    <row r="437" spans="14:15" x14ac:dyDescent="0.35">
      <c r="N437" s="262">
        <v>394</v>
      </c>
      <c r="O437" s="401">
        <v>0.36137139111399086</v>
      </c>
    </row>
    <row r="438" spans="14:15" x14ac:dyDescent="0.35">
      <c r="N438" s="262">
        <v>395</v>
      </c>
      <c r="O438" s="401">
        <v>0.35606084558646911</v>
      </c>
    </row>
    <row r="439" spans="14:15" x14ac:dyDescent="0.35">
      <c r="N439" s="262">
        <v>396</v>
      </c>
      <c r="O439" s="401">
        <v>0.36033368499539487</v>
      </c>
    </row>
    <row r="440" spans="14:15" x14ac:dyDescent="0.35">
      <c r="N440" s="262">
        <v>397</v>
      </c>
      <c r="O440" s="401">
        <v>0.35690150323953529</v>
      </c>
    </row>
    <row r="441" spans="14:15" x14ac:dyDescent="0.35">
      <c r="N441" s="262">
        <v>398</v>
      </c>
      <c r="O441" s="401">
        <v>0.35856712539943247</v>
      </c>
    </row>
    <row r="442" spans="14:15" x14ac:dyDescent="0.35">
      <c r="N442" s="262">
        <v>399</v>
      </c>
      <c r="O442" s="401">
        <v>0.35530944647393059</v>
      </c>
    </row>
    <row r="443" spans="14:15" x14ac:dyDescent="0.35">
      <c r="N443" s="262">
        <v>400</v>
      </c>
      <c r="O443" s="401">
        <v>0.36075997537927118</v>
      </c>
    </row>
    <row r="444" spans="14:15" x14ac:dyDescent="0.35">
      <c r="N444" s="262">
        <v>401</v>
      </c>
      <c r="O444" s="401">
        <v>0.3526168301664232</v>
      </c>
    </row>
    <row r="445" spans="14:15" x14ac:dyDescent="0.35">
      <c r="N445" s="262">
        <v>402</v>
      </c>
      <c r="O445" s="401">
        <v>0.35166871783010945</v>
      </c>
    </row>
    <row r="446" spans="14:15" x14ac:dyDescent="0.35">
      <c r="N446" s="262">
        <v>403</v>
      </c>
      <c r="O446" s="401">
        <v>0.35157492437563631</v>
      </c>
    </row>
    <row r="447" spans="14:15" x14ac:dyDescent="0.35">
      <c r="N447" s="262">
        <v>404</v>
      </c>
      <c r="O447" s="401">
        <v>0.36886002106220639</v>
      </c>
    </row>
    <row r="448" spans="14:15" x14ac:dyDescent="0.35">
      <c r="N448" s="262">
        <v>405</v>
      </c>
      <c r="O448" s="401">
        <v>0.3442179487720114</v>
      </c>
    </row>
    <row r="449" spans="14:15" x14ac:dyDescent="0.35">
      <c r="N449" s="262">
        <v>406</v>
      </c>
      <c r="O449" s="401">
        <v>0.35750906390015813</v>
      </c>
    </row>
    <row r="450" spans="14:15" x14ac:dyDescent="0.35">
      <c r="N450" s="262">
        <v>407</v>
      </c>
      <c r="O450" s="401">
        <v>0.35485575008124037</v>
      </c>
    </row>
    <row r="451" spans="14:15" x14ac:dyDescent="0.35">
      <c r="N451" s="262">
        <v>408</v>
      </c>
      <c r="O451" s="401">
        <v>0.35294647248094413</v>
      </c>
    </row>
    <row r="452" spans="14:15" x14ac:dyDescent="0.35">
      <c r="N452" s="262">
        <v>409</v>
      </c>
      <c r="O452" s="401">
        <v>0.34946527516995651</v>
      </c>
    </row>
    <row r="453" spans="14:15" x14ac:dyDescent="0.35">
      <c r="N453" s="262">
        <v>410</v>
      </c>
      <c r="O453" s="401">
        <v>0.35587373266283095</v>
      </c>
    </row>
    <row r="454" spans="14:15" x14ac:dyDescent="0.35">
      <c r="N454" s="262">
        <v>411</v>
      </c>
      <c r="O454" s="401">
        <v>0.36732269470476608</v>
      </c>
    </row>
    <row r="455" spans="14:15" x14ac:dyDescent="0.35">
      <c r="N455" s="262">
        <v>412</v>
      </c>
      <c r="O455" s="401">
        <v>0.37675392773676597</v>
      </c>
    </row>
    <row r="456" spans="14:15" x14ac:dyDescent="0.35">
      <c r="N456" s="262">
        <v>413</v>
      </c>
      <c r="O456" s="401">
        <v>0.36174292036017919</v>
      </c>
    </row>
    <row r="457" spans="14:15" x14ac:dyDescent="0.35">
      <c r="N457" s="262">
        <v>414</v>
      </c>
      <c r="O457" s="401">
        <v>0.355558845258787</v>
      </c>
    </row>
    <row r="458" spans="14:15" x14ac:dyDescent="0.35">
      <c r="N458" s="262">
        <v>415</v>
      </c>
      <c r="O458" s="401">
        <v>0.36600538912946257</v>
      </c>
    </row>
    <row r="459" spans="14:15" x14ac:dyDescent="0.35">
      <c r="N459" s="262">
        <v>416</v>
      </c>
      <c r="O459" s="401">
        <v>0.34658296298436309</v>
      </c>
    </row>
    <row r="460" spans="14:15" x14ac:dyDescent="0.35">
      <c r="N460" s="262">
        <v>417</v>
      </c>
      <c r="O460" s="401">
        <v>0.36156602159546503</v>
      </c>
    </row>
    <row r="461" spans="14:15" x14ac:dyDescent="0.35">
      <c r="N461" s="262">
        <v>418</v>
      </c>
      <c r="O461" s="401">
        <v>0.35895457184231616</v>
      </c>
    </row>
    <row r="462" spans="14:15" x14ac:dyDescent="0.35">
      <c r="N462" s="262">
        <v>419</v>
      </c>
      <c r="O462" s="401">
        <v>0.35038654937897662</v>
      </c>
    </row>
    <row r="463" spans="14:15" x14ac:dyDescent="0.35">
      <c r="N463" s="262">
        <v>420</v>
      </c>
      <c r="O463" s="401">
        <v>0.36298117062557811</v>
      </c>
    </row>
    <row r="464" spans="14:15" x14ac:dyDescent="0.35">
      <c r="N464" s="262">
        <v>421</v>
      </c>
      <c r="O464" s="401">
        <v>0.3594073367830215</v>
      </c>
    </row>
    <row r="465" spans="14:15" x14ac:dyDescent="0.35">
      <c r="N465" s="262">
        <v>422</v>
      </c>
      <c r="O465" s="401">
        <v>0.35552994497263479</v>
      </c>
    </row>
    <row r="466" spans="14:15" x14ac:dyDescent="0.35">
      <c r="N466" s="262">
        <v>423</v>
      </c>
      <c r="O466" s="401">
        <v>0.34967823093356509</v>
      </c>
    </row>
    <row r="467" spans="14:15" x14ac:dyDescent="0.35">
      <c r="N467" s="262">
        <v>424</v>
      </c>
      <c r="O467" s="401">
        <v>0.35086987201607278</v>
      </c>
    </row>
    <row r="468" spans="14:15" x14ac:dyDescent="0.35">
      <c r="N468" s="262">
        <v>425</v>
      </c>
      <c r="O468" s="401">
        <v>0.37010366312974829</v>
      </c>
    </row>
    <row r="469" spans="14:15" x14ac:dyDescent="0.35">
      <c r="N469" s="262">
        <v>426</v>
      </c>
      <c r="O469" s="401">
        <v>0.36708428032993767</v>
      </c>
    </row>
    <row r="470" spans="14:15" x14ac:dyDescent="0.35">
      <c r="N470" s="262">
        <v>427</v>
      </c>
      <c r="O470" s="401">
        <v>0.35843119881565477</v>
      </c>
    </row>
    <row r="471" spans="14:15" x14ac:dyDescent="0.35">
      <c r="N471" s="262">
        <v>428</v>
      </c>
      <c r="O471" s="401">
        <v>0.36915610324327597</v>
      </c>
    </row>
    <row r="472" spans="14:15" x14ac:dyDescent="0.35">
      <c r="N472" s="262">
        <v>429</v>
      </c>
      <c r="O472" s="401">
        <v>0.37836628440703213</v>
      </c>
    </row>
    <row r="473" spans="14:15" x14ac:dyDescent="0.35">
      <c r="N473" s="262">
        <v>430</v>
      </c>
      <c r="O473" s="401">
        <v>0.3651644157641083</v>
      </c>
    </row>
    <row r="474" spans="14:15" x14ac:dyDescent="0.35">
      <c r="N474" s="262">
        <v>431</v>
      </c>
      <c r="O474" s="401">
        <v>0.35499371685329728</v>
      </c>
    </row>
    <row r="475" spans="14:15" x14ac:dyDescent="0.35">
      <c r="N475" s="262">
        <v>432</v>
      </c>
      <c r="O475" s="401">
        <v>0.36625092385355917</v>
      </c>
    </row>
    <row r="476" spans="14:15" x14ac:dyDescent="0.35">
      <c r="N476" s="262">
        <v>433</v>
      </c>
      <c r="O476" s="401">
        <v>0.36481942416848301</v>
      </c>
    </row>
    <row r="477" spans="14:15" x14ac:dyDescent="0.35">
      <c r="N477" s="262">
        <v>434</v>
      </c>
      <c r="O477" s="401">
        <v>0.3708665122058532</v>
      </c>
    </row>
    <row r="478" spans="14:15" x14ac:dyDescent="0.35">
      <c r="N478" s="262">
        <v>435</v>
      </c>
      <c r="O478" s="401">
        <v>0.36628681658179141</v>
      </c>
    </row>
    <row r="479" spans="14:15" x14ac:dyDescent="0.35">
      <c r="N479" s="262">
        <v>436</v>
      </c>
      <c r="O479" s="401">
        <v>0.36432569186021846</v>
      </c>
    </row>
    <row r="480" spans="14:15" x14ac:dyDescent="0.35">
      <c r="N480" s="262">
        <v>437</v>
      </c>
      <c r="O480" s="401">
        <v>0.35959517125427509</v>
      </c>
    </row>
    <row r="481" spans="14:15" x14ac:dyDescent="0.35">
      <c r="N481" s="262">
        <v>438</v>
      </c>
      <c r="O481" s="401">
        <v>0.35399432671423092</v>
      </c>
    </row>
    <row r="482" spans="14:15" x14ac:dyDescent="0.35">
      <c r="N482" s="262">
        <v>439</v>
      </c>
      <c r="O482" s="401">
        <v>0.36392433926191137</v>
      </c>
    </row>
    <row r="483" spans="14:15" x14ac:dyDescent="0.35">
      <c r="N483" s="262">
        <v>440</v>
      </c>
      <c r="O483" s="401">
        <v>0.36665773368668875</v>
      </c>
    </row>
    <row r="484" spans="14:15" x14ac:dyDescent="0.35">
      <c r="N484" s="262">
        <v>441</v>
      </c>
      <c r="O484" s="401">
        <v>0.35690751528295639</v>
      </c>
    </row>
    <row r="485" spans="14:15" x14ac:dyDescent="0.35">
      <c r="N485" s="262">
        <v>442</v>
      </c>
      <c r="O485" s="401">
        <v>0.36533574768191857</v>
      </c>
    </row>
    <row r="486" spans="14:15" x14ac:dyDescent="0.35">
      <c r="N486" s="262">
        <v>443</v>
      </c>
      <c r="O486" s="401">
        <v>0.36697981618429454</v>
      </c>
    </row>
    <row r="487" spans="14:15" x14ac:dyDescent="0.35">
      <c r="N487" s="262">
        <v>444</v>
      </c>
      <c r="O487" s="401">
        <v>0.36449131485386688</v>
      </c>
    </row>
    <row r="488" spans="14:15" x14ac:dyDescent="0.35">
      <c r="N488" s="262">
        <v>445</v>
      </c>
      <c r="O488" s="401">
        <v>0.36027764737678947</v>
      </c>
    </row>
    <row r="489" spans="14:15" x14ac:dyDescent="0.35">
      <c r="N489" s="262">
        <v>446</v>
      </c>
      <c r="O489" s="401">
        <v>0.36013138824055746</v>
      </c>
    </row>
    <row r="490" spans="14:15" x14ac:dyDescent="0.35">
      <c r="N490" s="262">
        <v>447</v>
      </c>
      <c r="O490" s="401">
        <v>0.37187976349424878</v>
      </c>
    </row>
    <row r="491" spans="14:15" x14ac:dyDescent="0.35">
      <c r="N491" s="262">
        <v>448</v>
      </c>
      <c r="O491" s="401">
        <v>0.36407780530861089</v>
      </c>
    </row>
    <row r="492" spans="14:15" x14ac:dyDescent="0.35">
      <c r="N492" s="262">
        <v>449</v>
      </c>
      <c r="O492" s="401">
        <v>0.36333881932255196</v>
      </c>
    </row>
    <row r="493" spans="14:15" x14ac:dyDescent="0.35">
      <c r="N493" s="262">
        <v>450</v>
      </c>
      <c r="O493" s="401">
        <v>0.36359108145037311</v>
      </c>
    </row>
    <row r="494" spans="14:15" x14ac:dyDescent="0.35">
      <c r="N494" s="262">
        <v>451</v>
      </c>
      <c r="O494" s="401">
        <v>0.36244415879778091</v>
      </c>
    </row>
    <row r="495" spans="14:15" x14ac:dyDescent="0.35">
      <c r="N495" s="262">
        <v>452</v>
      </c>
      <c r="O495" s="401">
        <v>0.36886985099393743</v>
      </c>
    </row>
    <row r="496" spans="14:15" x14ac:dyDescent="0.35">
      <c r="N496" s="262">
        <v>453</v>
      </c>
      <c r="O496" s="401">
        <v>0.35886439529853709</v>
      </c>
    </row>
    <row r="497" spans="14:15" x14ac:dyDescent="0.35">
      <c r="N497" s="262">
        <v>454</v>
      </c>
      <c r="O497" s="401">
        <v>0.37337616397010143</v>
      </c>
    </row>
    <row r="498" spans="14:15" x14ac:dyDescent="0.35">
      <c r="N498" s="262">
        <v>455</v>
      </c>
      <c r="O498" s="401">
        <v>0.35215582694922687</v>
      </c>
    </row>
    <row r="499" spans="14:15" x14ac:dyDescent="0.35">
      <c r="N499" s="262">
        <v>456</v>
      </c>
      <c r="O499" s="401">
        <v>0.37080638069218397</v>
      </c>
    </row>
    <row r="500" spans="14:15" x14ac:dyDescent="0.35">
      <c r="N500" s="262">
        <v>457</v>
      </c>
      <c r="O500" s="401">
        <v>0.36087285279694803</v>
      </c>
    </row>
    <row r="501" spans="14:15" x14ac:dyDescent="0.35">
      <c r="N501" s="262">
        <v>458</v>
      </c>
      <c r="O501" s="401">
        <v>0.37147295597294239</v>
      </c>
    </row>
    <row r="502" spans="14:15" x14ac:dyDescent="0.35">
      <c r="N502" s="262">
        <v>459</v>
      </c>
      <c r="O502" s="401">
        <v>0.34472910175461768</v>
      </c>
    </row>
    <row r="503" spans="14:15" x14ac:dyDescent="0.35">
      <c r="N503" s="262">
        <v>460</v>
      </c>
      <c r="O503" s="401">
        <v>0.36244431921038145</v>
      </c>
    </row>
    <row r="504" spans="14:15" x14ac:dyDescent="0.35">
      <c r="N504" s="262">
        <v>461</v>
      </c>
      <c r="O504" s="401">
        <v>0.35838461029008983</v>
      </c>
    </row>
    <row r="505" spans="14:15" x14ac:dyDescent="0.35">
      <c r="N505" s="262">
        <v>462</v>
      </c>
      <c r="O505" s="401">
        <v>0.36335815656183579</v>
      </c>
    </row>
    <row r="506" spans="14:15" x14ac:dyDescent="0.35">
      <c r="N506" s="262">
        <v>463</v>
      </c>
      <c r="O506" s="401">
        <v>0.37432615796439461</v>
      </c>
    </row>
    <row r="507" spans="14:15" x14ac:dyDescent="0.35">
      <c r="N507" s="262">
        <v>464</v>
      </c>
      <c r="O507" s="401">
        <v>0.35971432537924763</v>
      </c>
    </row>
    <row r="508" spans="14:15" x14ac:dyDescent="0.35">
      <c r="N508" s="262">
        <v>465</v>
      </c>
      <c r="O508" s="401">
        <v>0.36313039683825132</v>
      </c>
    </row>
    <row r="509" spans="14:15" x14ac:dyDescent="0.35">
      <c r="N509" s="262">
        <v>466</v>
      </c>
      <c r="O509" s="401">
        <v>0.3737953463910606</v>
      </c>
    </row>
    <row r="510" spans="14:15" x14ac:dyDescent="0.35">
      <c r="N510" s="262">
        <v>467</v>
      </c>
      <c r="O510" s="401">
        <v>0.36435108256215787</v>
      </c>
    </row>
    <row r="511" spans="14:15" x14ac:dyDescent="0.35">
      <c r="N511" s="262">
        <v>468</v>
      </c>
      <c r="O511" s="401">
        <v>0.35513038439792211</v>
      </c>
    </row>
    <row r="512" spans="14:15" x14ac:dyDescent="0.35">
      <c r="N512" s="262">
        <v>469</v>
      </c>
      <c r="O512" s="401">
        <v>0.36041324958072352</v>
      </c>
    </row>
    <row r="513" spans="14:15" x14ac:dyDescent="0.35">
      <c r="N513" s="262">
        <v>470</v>
      </c>
      <c r="O513" s="401">
        <v>0.35083140939770718</v>
      </c>
    </row>
    <row r="514" spans="14:15" x14ac:dyDescent="0.35">
      <c r="N514" s="262">
        <v>471</v>
      </c>
      <c r="O514" s="401">
        <v>0.36531379281958132</v>
      </c>
    </row>
    <row r="515" spans="14:15" x14ac:dyDescent="0.35">
      <c r="N515" s="262">
        <v>472</v>
      </c>
      <c r="O515" s="401">
        <v>0.3670629536835599</v>
      </c>
    </row>
    <row r="516" spans="14:15" x14ac:dyDescent="0.35">
      <c r="N516" s="262">
        <v>473</v>
      </c>
      <c r="O516" s="401">
        <v>0.35729453987213211</v>
      </c>
    </row>
    <row r="517" spans="14:15" x14ac:dyDescent="0.35">
      <c r="N517" s="262">
        <v>474</v>
      </c>
      <c r="O517" s="401">
        <v>0.36400056613928267</v>
      </c>
    </row>
    <row r="518" spans="14:15" x14ac:dyDescent="0.35">
      <c r="N518" s="262">
        <v>475</v>
      </c>
      <c r="O518" s="401">
        <v>0.35903799335248854</v>
      </c>
    </row>
    <row r="519" spans="14:15" x14ac:dyDescent="0.35">
      <c r="N519" s="262">
        <v>476</v>
      </c>
      <c r="O519" s="401">
        <v>0.37098081903965219</v>
      </c>
    </row>
    <row r="520" spans="14:15" x14ac:dyDescent="0.35">
      <c r="N520" s="262">
        <v>477</v>
      </c>
      <c r="O520" s="401">
        <v>0.37028742199015929</v>
      </c>
    </row>
    <row r="521" spans="14:15" x14ac:dyDescent="0.35">
      <c r="N521" s="262">
        <v>478</v>
      </c>
      <c r="O521" s="401">
        <v>0.35718531516165819</v>
      </c>
    </row>
    <row r="522" spans="14:15" x14ac:dyDescent="0.35">
      <c r="N522" s="262">
        <v>479</v>
      </c>
      <c r="O522" s="401">
        <v>0.35888112645251224</v>
      </c>
    </row>
    <row r="523" spans="14:15" x14ac:dyDescent="0.35">
      <c r="N523" s="262">
        <v>480</v>
      </c>
      <c r="O523" s="401">
        <v>0.35971913999848271</v>
      </c>
    </row>
    <row r="524" spans="14:15" x14ac:dyDescent="0.35">
      <c r="N524" s="262">
        <v>481</v>
      </c>
      <c r="O524" s="401">
        <v>0.35480441452600586</v>
      </c>
    </row>
    <row r="525" spans="14:15" x14ac:dyDescent="0.35">
      <c r="N525" s="262">
        <v>482</v>
      </c>
      <c r="O525" s="401">
        <v>0.34913153064078584</v>
      </c>
    </row>
    <row r="526" spans="14:15" x14ac:dyDescent="0.35">
      <c r="N526" s="262">
        <v>483</v>
      </c>
      <c r="O526" s="401">
        <v>0.36417530087717398</v>
      </c>
    </row>
    <row r="527" spans="14:15" x14ac:dyDescent="0.35">
      <c r="N527" s="262">
        <v>484</v>
      </c>
      <c r="O527" s="401">
        <v>0.36482738270524417</v>
      </c>
    </row>
    <row r="528" spans="14:15" x14ac:dyDescent="0.35">
      <c r="N528" s="262">
        <v>485</v>
      </c>
      <c r="O528" s="401">
        <v>0.36446182249305537</v>
      </c>
    </row>
    <row r="529" spans="14:15" x14ac:dyDescent="0.35">
      <c r="N529" s="262">
        <v>486</v>
      </c>
      <c r="O529" s="401">
        <v>0.360307344992846</v>
      </c>
    </row>
    <row r="530" spans="14:15" x14ac:dyDescent="0.35">
      <c r="N530" s="262">
        <v>487</v>
      </c>
      <c r="O530" s="401">
        <v>0.35924317041701181</v>
      </c>
    </row>
    <row r="531" spans="14:15" x14ac:dyDescent="0.35">
      <c r="N531" s="262">
        <v>488</v>
      </c>
      <c r="O531" s="401">
        <v>0.36308797835244122</v>
      </c>
    </row>
    <row r="532" spans="14:15" x14ac:dyDescent="0.35">
      <c r="N532" s="262">
        <v>489</v>
      </c>
      <c r="O532" s="401">
        <v>0.3533587126829203</v>
      </c>
    </row>
    <row r="533" spans="14:15" x14ac:dyDescent="0.35">
      <c r="N533" s="262">
        <v>490</v>
      </c>
      <c r="O533" s="401">
        <v>0.36524242995993284</v>
      </c>
    </row>
    <row r="534" spans="14:15" x14ac:dyDescent="0.35">
      <c r="N534" s="262">
        <v>491</v>
      </c>
      <c r="O534" s="401">
        <v>0.36196840939739428</v>
      </c>
    </row>
    <row r="535" spans="14:15" x14ac:dyDescent="0.35">
      <c r="N535" s="262">
        <v>492</v>
      </c>
      <c r="O535" s="401">
        <v>0.35407682791362327</v>
      </c>
    </row>
    <row r="536" spans="14:15" x14ac:dyDescent="0.35">
      <c r="N536" s="262">
        <v>493</v>
      </c>
      <c r="O536" s="401">
        <v>0.36464103326727826</v>
      </c>
    </row>
    <row r="537" spans="14:15" x14ac:dyDescent="0.35">
      <c r="N537" s="262">
        <v>494</v>
      </c>
      <c r="O537" s="401">
        <v>0.36350122954728503</v>
      </c>
    </row>
    <row r="538" spans="14:15" x14ac:dyDescent="0.35">
      <c r="N538" s="262">
        <v>495</v>
      </c>
      <c r="O538" s="401">
        <v>0.35707454182436771</v>
      </c>
    </row>
    <row r="539" spans="14:15" x14ac:dyDescent="0.35">
      <c r="N539" s="262">
        <v>496</v>
      </c>
      <c r="O539" s="401">
        <v>0.36762178071912066</v>
      </c>
    </row>
    <row r="540" spans="14:15" x14ac:dyDescent="0.35">
      <c r="N540" s="262">
        <v>497</v>
      </c>
      <c r="O540" s="401">
        <v>0.35522254542979304</v>
      </c>
    </row>
    <row r="541" spans="14:15" x14ac:dyDescent="0.35">
      <c r="N541" s="262">
        <v>498</v>
      </c>
      <c r="O541" s="401">
        <v>0.35674521430036754</v>
      </c>
    </row>
    <row r="542" spans="14:15" x14ac:dyDescent="0.35">
      <c r="N542" s="262">
        <v>499</v>
      </c>
      <c r="O542" s="401">
        <v>0.36154442487386595</v>
      </c>
    </row>
    <row r="543" spans="14:15" x14ac:dyDescent="0.35">
      <c r="N543" s="262">
        <v>500</v>
      </c>
      <c r="O543" s="401">
        <v>0.36088819348334322</v>
      </c>
    </row>
    <row r="544" spans="14:15" x14ac:dyDescent="0.35">
      <c r="N544" s="262">
        <v>501</v>
      </c>
      <c r="O544" s="401">
        <v>0.35849791433032596</v>
      </c>
    </row>
    <row r="545" spans="14:15" x14ac:dyDescent="0.35">
      <c r="N545" s="262">
        <v>502</v>
      </c>
      <c r="O545" s="401">
        <v>0.36135853106993454</v>
      </c>
    </row>
    <row r="546" spans="14:15" x14ac:dyDescent="0.35">
      <c r="N546" s="262">
        <v>503</v>
      </c>
      <c r="O546" s="401">
        <v>0.35877621239579915</v>
      </c>
    </row>
    <row r="547" spans="14:15" x14ac:dyDescent="0.35">
      <c r="N547" s="262">
        <v>504</v>
      </c>
      <c r="O547" s="401">
        <v>0.36113949326219341</v>
      </c>
    </row>
    <row r="548" spans="14:15" x14ac:dyDescent="0.35">
      <c r="N548" s="262">
        <v>505</v>
      </c>
      <c r="O548" s="401">
        <v>0.35799113091935508</v>
      </c>
    </row>
    <row r="549" spans="14:15" x14ac:dyDescent="0.35">
      <c r="N549" s="262">
        <v>506</v>
      </c>
      <c r="O549" s="401">
        <v>0.37267396004178655</v>
      </c>
    </row>
    <row r="550" spans="14:15" x14ac:dyDescent="0.35">
      <c r="N550" s="262">
        <v>507</v>
      </c>
      <c r="O550" s="401">
        <v>0.36951533362449873</v>
      </c>
    </row>
    <row r="551" spans="14:15" x14ac:dyDescent="0.35">
      <c r="N551" s="262">
        <v>508</v>
      </c>
      <c r="O551" s="401">
        <v>0.37039165207600866</v>
      </c>
    </row>
    <row r="552" spans="14:15" x14ac:dyDescent="0.35">
      <c r="N552" s="262">
        <v>509</v>
      </c>
      <c r="O552" s="401">
        <v>0.36001123962989823</v>
      </c>
    </row>
    <row r="553" spans="14:15" x14ac:dyDescent="0.35">
      <c r="N553" s="262">
        <v>510</v>
      </c>
      <c r="O553" s="401">
        <v>0.36896588275565789</v>
      </c>
    </row>
    <row r="554" spans="14:15" x14ac:dyDescent="0.35">
      <c r="N554" s="262">
        <v>511</v>
      </c>
      <c r="O554" s="401">
        <v>0.36394075922707136</v>
      </c>
    </row>
    <row r="555" spans="14:15" x14ac:dyDescent="0.35">
      <c r="N555" s="262">
        <v>512</v>
      </c>
      <c r="O555" s="401">
        <v>0.35888187666135796</v>
      </c>
    </row>
    <row r="556" spans="14:15" x14ac:dyDescent="0.35">
      <c r="N556" s="262">
        <v>513</v>
      </c>
      <c r="O556" s="401">
        <v>0.3690348429757333</v>
      </c>
    </row>
    <row r="557" spans="14:15" x14ac:dyDescent="0.35">
      <c r="N557" s="262">
        <v>514</v>
      </c>
      <c r="O557" s="401">
        <v>0.36742624791052259</v>
      </c>
    </row>
    <row r="558" spans="14:15" x14ac:dyDescent="0.35">
      <c r="N558" s="262">
        <v>515</v>
      </c>
      <c r="O558" s="401">
        <v>0.34883102767174456</v>
      </c>
    </row>
    <row r="559" spans="14:15" x14ac:dyDescent="0.35">
      <c r="N559" s="262">
        <v>516</v>
      </c>
      <c r="O559" s="401">
        <v>0.35260409361665257</v>
      </c>
    </row>
    <row r="560" spans="14:15" x14ac:dyDescent="0.35">
      <c r="N560" s="262">
        <v>517</v>
      </c>
      <c r="O560" s="401">
        <v>0.36521753980854288</v>
      </c>
    </row>
    <row r="561" spans="14:15" x14ac:dyDescent="0.35">
      <c r="N561" s="262">
        <v>518</v>
      </c>
      <c r="O561" s="401">
        <v>0.36473126736489991</v>
      </c>
    </row>
    <row r="562" spans="14:15" x14ac:dyDescent="0.35">
      <c r="N562" s="262">
        <v>519</v>
      </c>
      <c r="O562" s="401">
        <v>0.37077777644764365</v>
      </c>
    </row>
    <row r="563" spans="14:15" x14ac:dyDescent="0.35">
      <c r="N563" s="262">
        <v>520</v>
      </c>
      <c r="O563" s="401">
        <v>0.36825684533812431</v>
      </c>
    </row>
    <row r="564" spans="14:15" x14ac:dyDescent="0.35">
      <c r="N564" s="262">
        <v>521</v>
      </c>
      <c r="O564" s="401">
        <v>0.3667243342126274</v>
      </c>
    </row>
    <row r="565" spans="14:15" x14ac:dyDescent="0.35">
      <c r="N565" s="262">
        <v>522</v>
      </c>
      <c r="O565" s="401">
        <v>0.35778932168377353</v>
      </c>
    </row>
    <row r="566" spans="14:15" x14ac:dyDescent="0.35">
      <c r="N566" s="262">
        <v>523</v>
      </c>
      <c r="O566" s="401">
        <v>0.36841588187224317</v>
      </c>
    </row>
    <row r="567" spans="14:15" x14ac:dyDescent="0.35">
      <c r="N567" s="262">
        <v>524</v>
      </c>
      <c r="O567" s="401">
        <v>0.36309520464128919</v>
      </c>
    </row>
    <row r="568" spans="14:15" x14ac:dyDescent="0.35">
      <c r="N568" s="262">
        <v>525</v>
      </c>
      <c r="O568" s="401">
        <v>0.36018633227792907</v>
      </c>
    </row>
    <row r="569" spans="14:15" x14ac:dyDescent="0.35">
      <c r="N569" s="262">
        <v>526</v>
      </c>
      <c r="O569" s="401">
        <v>0.3563269070791526</v>
      </c>
    </row>
    <row r="570" spans="14:15" x14ac:dyDescent="0.35">
      <c r="N570" s="262">
        <v>527</v>
      </c>
      <c r="O570" s="401">
        <v>0.35276316069569402</v>
      </c>
    </row>
    <row r="571" spans="14:15" x14ac:dyDescent="0.35">
      <c r="N571" s="262">
        <v>528</v>
      </c>
      <c r="O571" s="401">
        <v>0.36081838068513661</v>
      </c>
    </row>
    <row r="572" spans="14:15" x14ac:dyDescent="0.35">
      <c r="N572" s="262">
        <v>529</v>
      </c>
      <c r="O572" s="401">
        <v>0.35846135809081159</v>
      </c>
    </row>
    <row r="573" spans="14:15" x14ac:dyDescent="0.35">
      <c r="N573" s="262">
        <v>530</v>
      </c>
      <c r="O573" s="401">
        <v>0.35954244546258374</v>
      </c>
    </row>
    <row r="574" spans="14:15" x14ac:dyDescent="0.35">
      <c r="N574" s="262">
        <v>531</v>
      </c>
      <c r="O574" s="401">
        <v>0.3753391369817578</v>
      </c>
    </row>
    <row r="575" spans="14:15" x14ac:dyDescent="0.35">
      <c r="N575" s="262">
        <v>532</v>
      </c>
      <c r="O575" s="401">
        <v>0.36170556480375771</v>
      </c>
    </row>
    <row r="576" spans="14:15" x14ac:dyDescent="0.35">
      <c r="N576" s="262">
        <v>533</v>
      </c>
      <c r="O576" s="401">
        <v>0.36005161210170611</v>
      </c>
    </row>
    <row r="577" spans="14:15" x14ac:dyDescent="0.35">
      <c r="N577" s="262">
        <v>534</v>
      </c>
      <c r="O577" s="401">
        <v>0.3662436504087232</v>
      </c>
    </row>
    <row r="578" spans="14:15" x14ac:dyDescent="0.35">
      <c r="N578" s="262">
        <v>535</v>
      </c>
      <c r="O578" s="401">
        <v>0.36157600946186741</v>
      </c>
    </row>
    <row r="579" spans="14:15" x14ac:dyDescent="0.35">
      <c r="N579" s="262">
        <v>536</v>
      </c>
      <c r="O579" s="401">
        <v>0.37285174182823888</v>
      </c>
    </row>
    <row r="580" spans="14:15" x14ac:dyDescent="0.35">
      <c r="N580" s="262">
        <v>537</v>
      </c>
      <c r="O580" s="401">
        <v>0.36724295095337767</v>
      </c>
    </row>
    <row r="581" spans="14:15" x14ac:dyDescent="0.35">
      <c r="N581" s="262">
        <v>538</v>
      </c>
      <c r="O581" s="401">
        <v>0.36193042792376451</v>
      </c>
    </row>
    <row r="582" spans="14:15" x14ac:dyDescent="0.35">
      <c r="N582" s="262">
        <v>539</v>
      </c>
      <c r="O582" s="401">
        <v>0.35234726863571053</v>
      </c>
    </row>
    <row r="583" spans="14:15" x14ac:dyDescent="0.35">
      <c r="N583" s="262">
        <v>540</v>
      </c>
      <c r="O583" s="401">
        <v>0.3711443019427938</v>
      </c>
    </row>
    <row r="584" spans="14:15" x14ac:dyDescent="0.35">
      <c r="N584" s="262">
        <v>541</v>
      </c>
      <c r="O584" s="401">
        <v>0.36759319860901529</v>
      </c>
    </row>
    <row r="585" spans="14:15" x14ac:dyDescent="0.35">
      <c r="N585" s="262">
        <v>542</v>
      </c>
      <c r="O585" s="401">
        <v>0.36166951163719885</v>
      </c>
    </row>
    <row r="586" spans="14:15" x14ac:dyDescent="0.35">
      <c r="N586" s="262">
        <v>543</v>
      </c>
      <c r="O586" s="401">
        <v>0.37137820533041355</v>
      </c>
    </row>
    <row r="587" spans="14:15" x14ac:dyDescent="0.35">
      <c r="N587" s="262">
        <v>544</v>
      </c>
      <c r="O587" s="401">
        <v>0.36420302624815837</v>
      </c>
    </row>
    <row r="588" spans="14:15" x14ac:dyDescent="0.35">
      <c r="N588" s="262">
        <v>545</v>
      </c>
      <c r="O588" s="401">
        <v>0.35893276118993667</v>
      </c>
    </row>
    <row r="589" spans="14:15" x14ac:dyDescent="0.35">
      <c r="N589" s="262">
        <v>546</v>
      </c>
      <c r="O589" s="401">
        <v>0.3570542661645415</v>
      </c>
    </row>
    <row r="590" spans="14:15" x14ac:dyDescent="0.35">
      <c r="N590" s="262">
        <v>547</v>
      </c>
      <c r="O590" s="401">
        <v>0.37008300580208742</v>
      </c>
    </row>
    <row r="591" spans="14:15" x14ac:dyDescent="0.35">
      <c r="N591" s="262">
        <v>548</v>
      </c>
      <c r="O591" s="401">
        <v>0.36587164735916322</v>
      </c>
    </row>
    <row r="592" spans="14:15" x14ac:dyDescent="0.35">
      <c r="N592" s="262">
        <v>549</v>
      </c>
      <c r="O592" s="401">
        <v>0.36039516164981356</v>
      </c>
    </row>
    <row r="593" spans="14:15" x14ac:dyDescent="0.35">
      <c r="N593" s="262">
        <v>550</v>
      </c>
      <c r="O593" s="401">
        <v>0.35419273107245597</v>
      </c>
    </row>
    <row r="594" spans="14:15" x14ac:dyDescent="0.35">
      <c r="N594" s="262">
        <v>551</v>
      </c>
      <c r="O594" s="401">
        <v>0.35835191096405872</v>
      </c>
    </row>
    <row r="595" spans="14:15" x14ac:dyDescent="0.35">
      <c r="N595" s="262">
        <v>552</v>
      </c>
      <c r="O595" s="401">
        <v>0.35753517915238042</v>
      </c>
    </row>
    <row r="596" spans="14:15" x14ac:dyDescent="0.35">
      <c r="N596" s="262">
        <v>553</v>
      </c>
      <c r="O596" s="401">
        <v>0.3645194284716804</v>
      </c>
    </row>
    <row r="597" spans="14:15" x14ac:dyDescent="0.35">
      <c r="N597" s="262">
        <v>554</v>
      </c>
      <c r="O597" s="401">
        <v>0.36928141653004687</v>
      </c>
    </row>
    <row r="598" spans="14:15" x14ac:dyDescent="0.35">
      <c r="N598" s="262">
        <v>555</v>
      </c>
      <c r="O598" s="401">
        <v>0.3671036329847992</v>
      </c>
    </row>
    <row r="599" spans="14:15" x14ac:dyDescent="0.35">
      <c r="N599" s="262">
        <v>556</v>
      </c>
      <c r="O599" s="401">
        <v>0.3614214711102588</v>
      </c>
    </row>
    <row r="600" spans="14:15" x14ac:dyDescent="0.35">
      <c r="N600" s="262">
        <v>557</v>
      </c>
      <c r="O600" s="401">
        <v>0.36196237438390222</v>
      </c>
    </row>
    <row r="601" spans="14:15" x14ac:dyDescent="0.35">
      <c r="N601" s="262">
        <v>558</v>
      </c>
      <c r="O601" s="401">
        <v>0.37104634365964517</v>
      </c>
    </row>
    <row r="602" spans="14:15" x14ac:dyDescent="0.35">
      <c r="N602" s="262">
        <v>559</v>
      </c>
      <c r="O602" s="401">
        <v>0.36035422591877952</v>
      </c>
    </row>
    <row r="603" spans="14:15" x14ac:dyDescent="0.35">
      <c r="N603" s="262">
        <v>560</v>
      </c>
      <c r="O603" s="401">
        <v>0.36701304057729356</v>
      </c>
    </row>
    <row r="604" spans="14:15" x14ac:dyDescent="0.35">
      <c r="N604" s="262">
        <v>561</v>
      </c>
      <c r="O604" s="401">
        <v>0.37326533527973771</v>
      </c>
    </row>
    <row r="605" spans="14:15" x14ac:dyDescent="0.35">
      <c r="N605" s="262">
        <v>562</v>
      </c>
      <c r="O605" s="401">
        <v>0.35708815023760243</v>
      </c>
    </row>
    <row r="606" spans="14:15" x14ac:dyDescent="0.35">
      <c r="N606" s="262">
        <v>563</v>
      </c>
      <c r="O606" s="401">
        <v>0.36258337327537804</v>
      </c>
    </row>
    <row r="607" spans="14:15" x14ac:dyDescent="0.35">
      <c r="N607" s="262">
        <v>564</v>
      </c>
      <c r="O607" s="401">
        <v>0.36695396625391541</v>
      </c>
    </row>
    <row r="608" spans="14:15" x14ac:dyDescent="0.35">
      <c r="N608" s="262">
        <v>565</v>
      </c>
      <c r="O608" s="401">
        <v>0.37407259011736271</v>
      </c>
    </row>
    <row r="609" spans="14:15" x14ac:dyDescent="0.35">
      <c r="N609" s="262">
        <v>566</v>
      </c>
      <c r="O609" s="401">
        <v>0.37008540222074493</v>
      </c>
    </row>
    <row r="610" spans="14:15" x14ac:dyDescent="0.35">
      <c r="N610" s="262">
        <v>567</v>
      </c>
      <c r="O610" s="401">
        <v>0.35585116276909701</v>
      </c>
    </row>
    <row r="611" spans="14:15" x14ac:dyDescent="0.35">
      <c r="N611" s="262">
        <v>568</v>
      </c>
      <c r="O611" s="401">
        <v>0.35651263363036456</v>
      </c>
    </row>
    <row r="612" spans="14:15" x14ac:dyDescent="0.35">
      <c r="N612" s="262">
        <v>569</v>
      </c>
      <c r="O612" s="401">
        <v>0.37443084363887258</v>
      </c>
    </row>
    <row r="613" spans="14:15" x14ac:dyDescent="0.35">
      <c r="N613" s="262">
        <v>570</v>
      </c>
      <c r="O613" s="401">
        <v>0.38500913805774828</v>
      </c>
    </row>
    <row r="614" spans="14:15" x14ac:dyDescent="0.35">
      <c r="N614" s="262">
        <v>571</v>
      </c>
      <c r="O614" s="401">
        <v>0.36184870948919512</v>
      </c>
    </row>
    <row r="615" spans="14:15" x14ac:dyDescent="0.35">
      <c r="N615" s="262">
        <v>572</v>
      </c>
      <c r="O615" s="401">
        <v>0.367896733048374</v>
      </c>
    </row>
    <row r="616" spans="14:15" x14ac:dyDescent="0.35">
      <c r="N616" s="262">
        <v>573</v>
      </c>
      <c r="O616" s="401">
        <v>0.36868747426500326</v>
      </c>
    </row>
    <row r="617" spans="14:15" x14ac:dyDescent="0.35">
      <c r="N617" s="262">
        <v>574</v>
      </c>
      <c r="O617" s="401">
        <v>0.37100783461492104</v>
      </c>
    </row>
    <row r="618" spans="14:15" x14ac:dyDescent="0.35">
      <c r="N618" s="262">
        <v>575</v>
      </c>
      <c r="O618" s="401">
        <v>0.36173639309409689</v>
      </c>
    </row>
    <row r="619" spans="14:15" x14ac:dyDescent="0.35">
      <c r="N619" s="262">
        <v>576</v>
      </c>
      <c r="O619" s="401">
        <v>0.351209910834964</v>
      </c>
    </row>
    <row r="620" spans="14:15" x14ac:dyDescent="0.35">
      <c r="N620" s="262">
        <v>577</v>
      </c>
      <c r="O620" s="401">
        <v>0.35547576975642303</v>
      </c>
    </row>
    <row r="621" spans="14:15" x14ac:dyDescent="0.35">
      <c r="N621" s="262">
        <v>578</v>
      </c>
      <c r="O621" s="401">
        <v>0.35358130187079406</v>
      </c>
    </row>
    <row r="622" spans="14:15" x14ac:dyDescent="0.35">
      <c r="N622" s="262">
        <v>579</v>
      </c>
      <c r="O622" s="401">
        <v>0.36523424969553253</v>
      </c>
    </row>
    <row r="623" spans="14:15" x14ac:dyDescent="0.35">
      <c r="N623" s="262">
        <v>580</v>
      </c>
      <c r="O623" s="401">
        <v>0.37229434452063592</v>
      </c>
    </row>
    <row r="624" spans="14:15" x14ac:dyDescent="0.35">
      <c r="N624" s="262">
        <v>581</v>
      </c>
      <c r="O624" s="401">
        <v>0.36235737808426483</v>
      </c>
    </row>
    <row r="625" spans="14:15" x14ac:dyDescent="0.35">
      <c r="N625" s="262">
        <v>582</v>
      </c>
      <c r="O625" s="401">
        <v>0.3522073864654196</v>
      </c>
    </row>
    <row r="626" spans="14:15" x14ac:dyDescent="0.35">
      <c r="N626" s="262">
        <v>583</v>
      </c>
      <c r="O626" s="401">
        <v>0.36638272987165466</v>
      </c>
    </row>
    <row r="627" spans="14:15" x14ac:dyDescent="0.35">
      <c r="N627" s="262">
        <v>584</v>
      </c>
      <c r="O627" s="401">
        <v>0.36019883903305394</v>
      </c>
    </row>
    <row r="628" spans="14:15" x14ac:dyDescent="0.35">
      <c r="N628" s="262">
        <v>585</v>
      </c>
      <c r="O628" s="401">
        <v>0.35929444064376059</v>
      </c>
    </row>
    <row r="629" spans="14:15" x14ac:dyDescent="0.35">
      <c r="N629" s="262">
        <v>586</v>
      </c>
      <c r="O629" s="401">
        <v>0.36243533515594972</v>
      </c>
    </row>
    <row r="630" spans="14:15" x14ac:dyDescent="0.35">
      <c r="N630" s="262">
        <v>587</v>
      </c>
      <c r="O630" s="401">
        <v>0.36850407724839407</v>
      </c>
    </row>
    <row r="631" spans="14:15" x14ac:dyDescent="0.35">
      <c r="N631" s="262">
        <v>588</v>
      </c>
      <c r="O631" s="401">
        <v>0.36099359864223191</v>
      </c>
    </row>
    <row r="632" spans="14:15" x14ac:dyDescent="0.35">
      <c r="N632" s="262">
        <v>589</v>
      </c>
      <c r="O632" s="401">
        <v>0.3546018084662883</v>
      </c>
    </row>
    <row r="633" spans="14:15" x14ac:dyDescent="0.35">
      <c r="N633" s="262">
        <v>590</v>
      </c>
      <c r="O633" s="401">
        <v>0.36513722713990604</v>
      </c>
    </row>
    <row r="634" spans="14:15" x14ac:dyDescent="0.35">
      <c r="N634" s="262">
        <v>591</v>
      </c>
      <c r="O634" s="401">
        <v>0.36026104898858713</v>
      </c>
    </row>
    <row r="635" spans="14:15" x14ac:dyDescent="0.35">
      <c r="N635" s="262">
        <v>592</v>
      </c>
      <c r="O635" s="401">
        <v>0.36095777465003542</v>
      </c>
    </row>
    <row r="636" spans="14:15" x14ac:dyDescent="0.35">
      <c r="N636" s="262">
        <v>593</v>
      </c>
      <c r="O636" s="401">
        <v>0.36827161273469033</v>
      </c>
    </row>
    <row r="637" spans="14:15" x14ac:dyDescent="0.35">
      <c r="N637" s="262">
        <v>594</v>
      </c>
      <c r="O637" s="401">
        <v>0.37722577391987033</v>
      </c>
    </row>
    <row r="638" spans="14:15" x14ac:dyDescent="0.35">
      <c r="N638" s="262">
        <v>595</v>
      </c>
      <c r="O638" s="401">
        <v>0.36282815186669981</v>
      </c>
    </row>
    <row r="639" spans="14:15" x14ac:dyDescent="0.35">
      <c r="N639" s="262">
        <v>596</v>
      </c>
      <c r="O639" s="401">
        <v>0.36524585661465103</v>
      </c>
    </row>
    <row r="640" spans="14:15" x14ac:dyDescent="0.35">
      <c r="N640" s="262">
        <v>597</v>
      </c>
      <c r="O640" s="401">
        <v>0.37164665669172003</v>
      </c>
    </row>
    <row r="641" spans="14:15" x14ac:dyDescent="0.35">
      <c r="N641" s="262">
        <v>598</v>
      </c>
      <c r="O641" s="401">
        <v>0.35710255819345615</v>
      </c>
    </row>
    <row r="642" spans="14:15" x14ac:dyDescent="0.35">
      <c r="N642" s="262">
        <v>599</v>
      </c>
      <c r="O642" s="401">
        <v>0.35723072216570562</v>
      </c>
    </row>
    <row r="643" spans="14:15" x14ac:dyDescent="0.35">
      <c r="N643" s="262">
        <v>600</v>
      </c>
      <c r="O643" s="401">
        <v>0.3615655499242787</v>
      </c>
    </row>
    <row r="644" spans="14:15" x14ac:dyDescent="0.35">
      <c r="N644" s="262">
        <v>601</v>
      </c>
      <c r="O644" s="401">
        <v>0.36125740772175274</v>
      </c>
    </row>
    <row r="645" spans="14:15" x14ac:dyDescent="0.35">
      <c r="N645" s="262">
        <v>602</v>
      </c>
      <c r="O645" s="401">
        <v>0.3684903351202542</v>
      </c>
    </row>
    <row r="646" spans="14:15" x14ac:dyDescent="0.35">
      <c r="N646" s="262">
        <v>603</v>
      </c>
      <c r="O646" s="401">
        <v>0.36774348681991875</v>
      </c>
    </row>
    <row r="647" spans="14:15" x14ac:dyDescent="0.35">
      <c r="N647" s="262">
        <v>604</v>
      </c>
      <c r="O647" s="401">
        <v>0.36651617461386143</v>
      </c>
    </row>
    <row r="648" spans="14:15" x14ac:dyDescent="0.35">
      <c r="N648" s="262">
        <v>605</v>
      </c>
      <c r="O648" s="401">
        <v>0.36199700872936136</v>
      </c>
    </row>
    <row r="649" spans="14:15" x14ac:dyDescent="0.35">
      <c r="N649" s="262">
        <v>606</v>
      </c>
      <c r="O649" s="401">
        <v>0.36089811066342703</v>
      </c>
    </row>
    <row r="650" spans="14:15" x14ac:dyDescent="0.35">
      <c r="N650" s="262">
        <v>607</v>
      </c>
      <c r="O650" s="401">
        <v>0.36173498849725694</v>
      </c>
    </row>
    <row r="651" spans="14:15" x14ac:dyDescent="0.35">
      <c r="N651" s="262">
        <v>608</v>
      </c>
      <c r="O651" s="401">
        <v>0.36304735290896906</v>
      </c>
    </row>
    <row r="652" spans="14:15" x14ac:dyDescent="0.35">
      <c r="N652" s="262">
        <v>609</v>
      </c>
      <c r="O652" s="401">
        <v>0.35684260725324513</v>
      </c>
    </row>
    <row r="653" spans="14:15" x14ac:dyDescent="0.35">
      <c r="N653" s="262">
        <v>610</v>
      </c>
      <c r="O653" s="401">
        <v>0.35486022844587595</v>
      </c>
    </row>
    <row r="654" spans="14:15" x14ac:dyDescent="0.35">
      <c r="N654" s="262">
        <v>611</v>
      </c>
      <c r="O654" s="401">
        <v>0.36635466550355833</v>
      </c>
    </row>
    <row r="655" spans="14:15" x14ac:dyDescent="0.35">
      <c r="N655" s="262">
        <v>612</v>
      </c>
      <c r="O655" s="401">
        <v>0.37805064297136792</v>
      </c>
    </row>
    <row r="656" spans="14:15" x14ac:dyDescent="0.35">
      <c r="N656" s="262">
        <v>613</v>
      </c>
      <c r="O656" s="401">
        <v>0.36782426189929307</v>
      </c>
    </row>
    <row r="657" spans="14:15" x14ac:dyDescent="0.35">
      <c r="N657" s="262">
        <v>614</v>
      </c>
      <c r="O657" s="401">
        <v>0.35303994458723587</v>
      </c>
    </row>
    <row r="658" spans="14:15" x14ac:dyDescent="0.35">
      <c r="N658" s="262">
        <v>615</v>
      </c>
      <c r="O658" s="401">
        <v>0.36005370892744293</v>
      </c>
    </row>
    <row r="659" spans="14:15" x14ac:dyDescent="0.35">
      <c r="N659" s="262">
        <v>616</v>
      </c>
      <c r="O659" s="401">
        <v>0.36962492438397265</v>
      </c>
    </row>
    <row r="660" spans="14:15" x14ac:dyDescent="0.35">
      <c r="N660" s="262">
        <v>617</v>
      </c>
      <c r="O660" s="401">
        <v>0.36245922296857236</v>
      </c>
    </row>
    <row r="661" spans="14:15" x14ac:dyDescent="0.35">
      <c r="N661" s="262">
        <v>618</v>
      </c>
      <c r="O661" s="401">
        <v>0.36530200358634035</v>
      </c>
    </row>
    <row r="662" spans="14:15" x14ac:dyDescent="0.35">
      <c r="N662" s="262">
        <v>619</v>
      </c>
      <c r="O662" s="401">
        <v>0.37156941619223227</v>
      </c>
    </row>
    <row r="663" spans="14:15" x14ac:dyDescent="0.35">
      <c r="N663" s="262">
        <v>620</v>
      </c>
      <c r="O663" s="401">
        <v>0.36576281429660984</v>
      </c>
    </row>
    <row r="664" spans="14:15" x14ac:dyDescent="0.35">
      <c r="N664" s="262">
        <v>621</v>
      </c>
      <c r="O664" s="401">
        <v>0.36401830305511385</v>
      </c>
    </row>
    <row r="665" spans="14:15" x14ac:dyDescent="0.35">
      <c r="N665" s="262">
        <v>622</v>
      </c>
      <c r="O665" s="401">
        <v>0.36795871310189909</v>
      </c>
    </row>
    <row r="666" spans="14:15" x14ac:dyDescent="0.35">
      <c r="N666" s="262">
        <v>623</v>
      </c>
      <c r="O666" s="401">
        <v>0.36336960430343868</v>
      </c>
    </row>
    <row r="667" spans="14:15" x14ac:dyDescent="0.35">
      <c r="N667" s="262">
        <v>624</v>
      </c>
      <c r="O667" s="401">
        <v>0.3620559498949476</v>
      </c>
    </row>
    <row r="668" spans="14:15" x14ac:dyDescent="0.35">
      <c r="N668" s="262">
        <v>625</v>
      </c>
      <c r="O668" s="401">
        <v>0.3585018793677579</v>
      </c>
    </row>
    <row r="669" spans="14:15" x14ac:dyDescent="0.35">
      <c r="N669" s="262">
        <v>626</v>
      </c>
      <c r="O669" s="401">
        <v>0.35870517222548237</v>
      </c>
    </row>
    <row r="670" spans="14:15" x14ac:dyDescent="0.35">
      <c r="N670" s="262">
        <v>627</v>
      </c>
      <c r="O670" s="401">
        <v>0.36979471909126094</v>
      </c>
    </row>
    <row r="671" spans="14:15" x14ac:dyDescent="0.35">
      <c r="N671" s="262">
        <v>628</v>
      </c>
      <c r="O671" s="401">
        <v>0.35097286437133968</v>
      </c>
    </row>
    <row r="672" spans="14:15" x14ac:dyDescent="0.35">
      <c r="N672" s="262">
        <v>629</v>
      </c>
      <c r="O672" s="401">
        <v>0.35968366904730553</v>
      </c>
    </row>
    <row r="673" spans="14:15" x14ac:dyDescent="0.35">
      <c r="N673" s="262">
        <v>630</v>
      </c>
      <c r="O673" s="401">
        <v>0.37474081337543863</v>
      </c>
    </row>
    <row r="674" spans="14:15" x14ac:dyDescent="0.35">
      <c r="N674" s="262">
        <v>631</v>
      </c>
      <c r="O674" s="401">
        <v>0.36959186607980832</v>
      </c>
    </row>
    <row r="675" spans="14:15" x14ac:dyDescent="0.35">
      <c r="N675" s="262">
        <v>632</v>
      </c>
      <c r="O675" s="401">
        <v>0.36137086194638601</v>
      </c>
    </row>
    <row r="676" spans="14:15" x14ac:dyDescent="0.35">
      <c r="N676" s="262">
        <v>633</v>
      </c>
      <c r="O676" s="401">
        <v>0.37192928519336954</v>
      </c>
    </row>
    <row r="677" spans="14:15" x14ac:dyDescent="0.35">
      <c r="N677" s="262">
        <v>634</v>
      </c>
      <c r="O677" s="401">
        <v>0.36575685576544648</v>
      </c>
    </row>
    <row r="678" spans="14:15" x14ac:dyDescent="0.35">
      <c r="N678" s="262">
        <v>635</v>
      </c>
      <c r="O678" s="401">
        <v>0.36384142493905447</v>
      </c>
    </row>
    <row r="679" spans="14:15" x14ac:dyDescent="0.35">
      <c r="N679" s="262">
        <v>636</v>
      </c>
      <c r="O679" s="401">
        <v>0.36446855978249748</v>
      </c>
    </row>
    <row r="680" spans="14:15" x14ac:dyDescent="0.35">
      <c r="N680" s="262">
        <v>637</v>
      </c>
      <c r="O680" s="401">
        <v>0.36669357089993437</v>
      </c>
    </row>
    <row r="681" spans="14:15" x14ac:dyDescent="0.35">
      <c r="N681" s="262">
        <v>638</v>
      </c>
      <c r="O681" s="401">
        <v>0.3607082036454643</v>
      </c>
    </row>
    <row r="682" spans="14:15" x14ac:dyDescent="0.35">
      <c r="N682" s="262">
        <v>639</v>
      </c>
      <c r="O682" s="401">
        <v>0.36413433186473165</v>
      </c>
    </row>
    <row r="683" spans="14:15" x14ac:dyDescent="0.35">
      <c r="N683" s="262">
        <v>640</v>
      </c>
      <c r="O683" s="401">
        <v>0.36647228773784923</v>
      </c>
    </row>
    <row r="684" spans="14:15" x14ac:dyDescent="0.35">
      <c r="N684" s="262">
        <v>641</v>
      </c>
      <c r="O684" s="401">
        <v>0.35471469308959214</v>
      </c>
    </row>
    <row r="685" spans="14:15" x14ac:dyDescent="0.35">
      <c r="N685" s="262">
        <v>642</v>
      </c>
      <c r="O685" s="401">
        <v>0.35932238972216002</v>
      </c>
    </row>
    <row r="686" spans="14:15" x14ac:dyDescent="0.35">
      <c r="N686" s="262">
        <v>643</v>
      </c>
      <c r="O686" s="401">
        <v>0.34316203468286766</v>
      </c>
    </row>
    <row r="687" spans="14:15" x14ac:dyDescent="0.35">
      <c r="N687" s="262">
        <v>644</v>
      </c>
      <c r="O687" s="401">
        <v>0.3639772421070322</v>
      </c>
    </row>
    <row r="688" spans="14:15" x14ac:dyDescent="0.35">
      <c r="N688" s="262">
        <v>645</v>
      </c>
      <c r="O688" s="401">
        <v>0.3631146493992734</v>
      </c>
    </row>
    <row r="689" spans="14:15" x14ac:dyDescent="0.35">
      <c r="N689" s="262">
        <v>646</v>
      </c>
      <c r="O689" s="401">
        <v>0.35325551038090852</v>
      </c>
    </row>
    <row r="690" spans="14:15" x14ac:dyDescent="0.35">
      <c r="N690" s="262">
        <v>647</v>
      </c>
      <c r="O690" s="401">
        <v>0.3625992348595326</v>
      </c>
    </row>
    <row r="691" spans="14:15" x14ac:dyDescent="0.35">
      <c r="N691" s="262">
        <v>648</v>
      </c>
      <c r="O691" s="401">
        <v>0.35971572098137683</v>
      </c>
    </row>
    <row r="692" spans="14:15" x14ac:dyDescent="0.35">
      <c r="N692" s="262">
        <v>649</v>
      </c>
      <c r="O692" s="401">
        <v>0.37115479512816463</v>
      </c>
    </row>
    <row r="693" spans="14:15" x14ac:dyDescent="0.35">
      <c r="N693" s="262">
        <v>650</v>
      </c>
      <c r="O693" s="401">
        <v>0.367119989550728</v>
      </c>
    </row>
    <row r="694" spans="14:15" x14ac:dyDescent="0.35">
      <c r="N694" s="262">
        <v>651</v>
      </c>
      <c r="O694" s="401">
        <v>0.3628967462916044</v>
      </c>
    </row>
    <row r="695" spans="14:15" x14ac:dyDescent="0.35">
      <c r="N695" s="262">
        <v>652</v>
      </c>
      <c r="O695" s="401">
        <v>0.36902920289616015</v>
      </c>
    </row>
    <row r="696" spans="14:15" x14ac:dyDescent="0.35">
      <c r="N696" s="262">
        <v>653</v>
      </c>
      <c r="O696" s="401">
        <v>0.36965603184866969</v>
      </c>
    </row>
    <row r="697" spans="14:15" x14ac:dyDescent="0.35">
      <c r="N697" s="262">
        <v>654</v>
      </c>
      <c r="O697" s="401">
        <v>0.35568072425279174</v>
      </c>
    </row>
    <row r="698" spans="14:15" x14ac:dyDescent="0.35">
      <c r="N698" s="262">
        <v>655</v>
      </c>
      <c r="O698" s="401">
        <v>0.36959885914755408</v>
      </c>
    </row>
    <row r="699" spans="14:15" x14ac:dyDescent="0.35">
      <c r="N699" s="262">
        <v>656</v>
      </c>
      <c r="O699" s="401">
        <v>0.36490971234088465</v>
      </c>
    </row>
    <row r="700" spans="14:15" x14ac:dyDescent="0.35">
      <c r="N700" s="262">
        <v>657</v>
      </c>
      <c r="O700" s="401">
        <v>0.36593592351729831</v>
      </c>
    </row>
    <row r="701" spans="14:15" x14ac:dyDescent="0.35">
      <c r="N701" s="262">
        <v>658</v>
      </c>
      <c r="O701" s="401">
        <v>0.37077974244850709</v>
      </c>
    </row>
    <row r="702" spans="14:15" x14ac:dyDescent="0.35">
      <c r="N702" s="262">
        <v>659</v>
      </c>
      <c r="O702" s="401">
        <v>0.36540244415773881</v>
      </c>
    </row>
    <row r="703" spans="14:15" x14ac:dyDescent="0.35">
      <c r="N703" s="262">
        <v>660</v>
      </c>
      <c r="O703" s="401">
        <v>0.36548927428996847</v>
      </c>
    </row>
    <row r="704" spans="14:15" x14ac:dyDescent="0.35">
      <c r="N704" s="262">
        <v>661</v>
      </c>
      <c r="O704" s="401">
        <v>0.35789377568507752</v>
      </c>
    </row>
    <row r="705" spans="14:15" x14ac:dyDescent="0.35">
      <c r="N705" s="262">
        <v>662</v>
      </c>
      <c r="O705" s="401">
        <v>0.37099053733478726</v>
      </c>
    </row>
    <row r="706" spans="14:15" x14ac:dyDescent="0.35">
      <c r="N706" s="262">
        <v>663</v>
      </c>
      <c r="O706" s="401">
        <v>0.35751606137243552</v>
      </c>
    </row>
    <row r="707" spans="14:15" x14ac:dyDescent="0.35">
      <c r="N707" s="262">
        <v>664</v>
      </c>
      <c r="O707" s="401">
        <v>0.36344248616566399</v>
      </c>
    </row>
    <row r="708" spans="14:15" x14ac:dyDescent="0.35">
      <c r="N708" s="262">
        <v>665</v>
      </c>
      <c r="O708" s="401">
        <v>0.3581562201516193</v>
      </c>
    </row>
    <row r="709" spans="14:15" x14ac:dyDescent="0.35">
      <c r="N709" s="262">
        <v>666</v>
      </c>
      <c r="O709" s="401">
        <v>0.35886426887359058</v>
      </c>
    </row>
    <row r="710" spans="14:15" x14ac:dyDescent="0.35">
      <c r="N710" s="262">
        <v>667</v>
      </c>
      <c r="O710" s="401">
        <v>0.36022233558555694</v>
      </c>
    </row>
    <row r="711" spans="14:15" x14ac:dyDescent="0.35">
      <c r="N711" s="262">
        <v>668</v>
      </c>
      <c r="O711" s="401">
        <v>0.36173410937545425</v>
      </c>
    </row>
    <row r="712" spans="14:15" x14ac:dyDescent="0.35">
      <c r="N712" s="262">
        <v>669</v>
      </c>
      <c r="O712" s="401">
        <v>0.36294792106568874</v>
      </c>
    </row>
    <row r="713" spans="14:15" x14ac:dyDescent="0.35">
      <c r="N713" s="262">
        <v>670</v>
      </c>
      <c r="O713" s="401">
        <v>0.36864671388564152</v>
      </c>
    </row>
    <row r="714" spans="14:15" x14ac:dyDescent="0.35">
      <c r="N714" s="262">
        <v>671</v>
      </c>
      <c r="O714" s="401">
        <v>0.36011007149892738</v>
      </c>
    </row>
    <row r="715" spans="14:15" x14ac:dyDescent="0.35">
      <c r="N715" s="262">
        <v>672</v>
      </c>
      <c r="O715" s="401">
        <v>0.36361720036078071</v>
      </c>
    </row>
    <row r="716" spans="14:15" x14ac:dyDescent="0.35">
      <c r="N716" s="262">
        <v>673</v>
      </c>
      <c r="O716" s="401">
        <v>0.34987868778385245</v>
      </c>
    </row>
    <row r="717" spans="14:15" x14ac:dyDescent="0.35">
      <c r="N717" s="262">
        <v>674</v>
      </c>
      <c r="O717" s="401">
        <v>0.37048525607622196</v>
      </c>
    </row>
    <row r="718" spans="14:15" x14ac:dyDescent="0.35">
      <c r="N718" s="262">
        <v>675</v>
      </c>
      <c r="O718" s="401">
        <v>0.36867688623787664</v>
      </c>
    </row>
    <row r="719" spans="14:15" x14ac:dyDescent="0.35">
      <c r="N719" s="262">
        <v>676</v>
      </c>
      <c r="O719" s="401">
        <v>0.36513175624005667</v>
      </c>
    </row>
    <row r="720" spans="14:15" x14ac:dyDescent="0.35">
      <c r="N720" s="262">
        <v>677</v>
      </c>
      <c r="O720" s="401">
        <v>0.36456314117054989</v>
      </c>
    </row>
    <row r="721" spans="14:15" x14ac:dyDescent="0.35">
      <c r="N721" s="262">
        <v>678</v>
      </c>
      <c r="O721" s="401">
        <v>0.36375983239297205</v>
      </c>
    </row>
    <row r="722" spans="14:15" x14ac:dyDescent="0.35">
      <c r="N722" s="262">
        <v>679</v>
      </c>
      <c r="O722" s="401">
        <v>0.35891703229434113</v>
      </c>
    </row>
    <row r="723" spans="14:15" x14ac:dyDescent="0.35">
      <c r="N723" s="262">
        <v>680</v>
      </c>
      <c r="O723" s="401">
        <v>0.36837894835257479</v>
      </c>
    </row>
    <row r="724" spans="14:15" x14ac:dyDescent="0.35">
      <c r="N724" s="262">
        <v>681</v>
      </c>
      <c r="O724" s="401">
        <v>0.37216828510100863</v>
      </c>
    </row>
    <row r="725" spans="14:15" x14ac:dyDescent="0.35">
      <c r="N725" s="262">
        <v>682</v>
      </c>
      <c r="O725" s="401">
        <v>0.36456045736982601</v>
      </c>
    </row>
    <row r="726" spans="14:15" x14ac:dyDescent="0.35">
      <c r="N726" s="262">
        <v>683</v>
      </c>
      <c r="O726" s="401">
        <v>0.34415011919663074</v>
      </c>
    </row>
    <row r="727" spans="14:15" x14ac:dyDescent="0.35">
      <c r="N727" s="262">
        <v>684</v>
      </c>
      <c r="O727" s="401">
        <v>0.35200585851848132</v>
      </c>
    </row>
    <row r="728" spans="14:15" x14ac:dyDescent="0.35">
      <c r="N728" s="262">
        <v>685</v>
      </c>
      <c r="O728" s="401">
        <v>0.36395032571742925</v>
      </c>
    </row>
    <row r="729" spans="14:15" x14ac:dyDescent="0.35">
      <c r="N729" s="262">
        <v>686</v>
      </c>
      <c r="O729" s="401">
        <v>0.3590132990651731</v>
      </c>
    </row>
    <row r="730" spans="14:15" x14ac:dyDescent="0.35">
      <c r="N730" s="262">
        <v>687</v>
      </c>
      <c r="O730" s="401">
        <v>0.36877226125804996</v>
      </c>
    </row>
    <row r="731" spans="14:15" x14ac:dyDescent="0.35">
      <c r="N731" s="262">
        <v>688</v>
      </c>
      <c r="O731" s="401">
        <v>0.36736118506407589</v>
      </c>
    </row>
    <row r="732" spans="14:15" x14ac:dyDescent="0.35">
      <c r="N732" s="262">
        <v>689</v>
      </c>
      <c r="O732" s="401">
        <v>0.35966761941214132</v>
      </c>
    </row>
    <row r="733" spans="14:15" x14ac:dyDescent="0.35">
      <c r="N733" s="262">
        <v>690</v>
      </c>
      <c r="O733" s="401">
        <v>0.35781383666238087</v>
      </c>
    </row>
    <row r="734" spans="14:15" x14ac:dyDescent="0.35">
      <c r="N734" s="262">
        <v>691</v>
      </c>
      <c r="O734" s="401">
        <v>0.3603059791802401</v>
      </c>
    </row>
    <row r="735" spans="14:15" x14ac:dyDescent="0.35">
      <c r="N735" s="262">
        <v>692</v>
      </c>
      <c r="O735" s="401">
        <v>0.3615327819063594</v>
      </c>
    </row>
    <row r="736" spans="14:15" x14ac:dyDescent="0.35">
      <c r="N736" s="262">
        <v>693</v>
      </c>
      <c r="O736" s="401">
        <v>0.36117090328787249</v>
      </c>
    </row>
    <row r="737" spans="14:15" x14ac:dyDescent="0.35">
      <c r="N737" s="262">
        <v>694</v>
      </c>
      <c r="O737" s="401">
        <v>0.36428263796916061</v>
      </c>
    </row>
    <row r="738" spans="14:15" x14ac:dyDescent="0.35">
      <c r="N738" s="262">
        <v>695</v>
      </c>
      <c r="O738" s="401">
        <v>0.35449344462021504</v>
      </c>
    </row>
    <row r="739" spans="14:15" x14ac:dyDescent="0.35">
      <c r="N739" s="262">
        <v>696</v>
      </c>
      <c r="O739" s="401">
        <v>0.36661732218918974</v>
      </c>
    </row>
    <row r="740" spans="14:15" x14ac:dyDescent="0.35">
      <c r="N740" s="262">
        <v>697</v>
      </c>
      <c r="O740" s="401">
        <v>0.35651019313458798</v>
      </c>
    </row>
    <row r="741" spans="14:15" x14ac:dyDescent="0.35">
      <c r="N741" s="262">
        <v>698</v>
      </c>
      <c r="O741" s="401">
        <v>0.35885709427079826</v>
      </c>
    </row>
    <row r="742" spans="14:15" x14ac:dyDescent="0.35">
      <c r="N742" s="262">
        <v>699</v>
      </c>
      <c r="O742" s="401">
        <v>0.33994328430290177</v>
      </c>
    </row>
    <row r="743" spans="14:15" x14ac:dyDescent="0.35">
      <c r="N743" s="262">
        <v>700</v>
      </c>
      <c r="O743" s="401">
        <v>0.35957823141172041</v>
      </c>
    </row>
    <row r="744" spans="14:15" x14ac:dyDescent="0.35">
      <c r="N744" s="262">
        <v>701</v>
      </c>
      <c r="O744" s="401">
        <v>0.35937161092925241</v>
      </c>
    </row>
    <row r="745" spans="14:15" x14ac:dyDescent="0.35">
      <c r="N745" s="262">
        <v>702</v>
      </c>
      <c r="O745" s="401">
        <v>0.35669581062185851</v>
      </c>
    </row>
    <row r="746" spans="14:15" x14ac:dyDescent="0.35">
      <c r="N746" s="262">
        <v>703</v>
      </c>
      <c r="O746" s="401">
        <v>0.36003817037595454</v>
      </c>
    </row>
    <row r="747" spans="14:15" x14ac:dyDescent="0.35">
      <c r="N747" s="262">
        <v>704</v>
      </c>
      <c r="O747" s="401">
        <v>0.36242213527655642</v>
      </c>
    </row>
    <row r="748" spans="14:15" x14ac:dyDescent="0.35">
      <c r="N748" s="262">
        <v>705</v>
      </c>
      <c r="O748" s="401">
        <v>0.35584655341308746</v>
      </c>
    </row>
    <row r="749" spans="14:15" x14ac:dyDescent="0.35">
      <c r="N749" s="262">
        <v>706</v>
      </c>
      <c r="O749" s="401">
        <v>0.37062903995367491</v>
      </c>
    </row>
    <row r="750" spans="14:15" x14ac:dyDescent="0.35">
      <c r="N750" s="262">
        <v>707</v>
      </c>
      <c r="O750" s="401">
        <v>0.36252207702079042</v>
      </c>
    </row>
    <row r="751" spans="14:15" x14ac:dyDescent="0.35">
      <c r="N751" s="262">
        <v>708</v>
      </c>
      <c r="O751" s="401">
        <v>0.36267139057470166</v>
      </c>
    </row>
    <row r="752" spans="14:15" x14ac:dyDescent="0.35">
      <c r="N752" s="262">
        <v>709</v>
      </c>
      <c r="O752" s="401">
        <v>0.3686593317132778</v>
      </c>
    </row>
    <row r="753" spans="14:15" x14ac:dyDescent="0.35">
      <c r="N753" s="262">
        <v>710</v>
      </c>
      <c r="O753" s="401">
        <v>0.36355517934319814</v>
      </c>
    </row>
    <row r="754" spans="14:15" x14ac:dyDescent="0.35">
      <c r="N754" s="262">
        <v>711</v>
      </c>
      <c r="O754" s="401">
        <v>0.36221271457152482</v>
      </c>
    </row>
    <row r="755" spans="14:15" x14ac:dyDescent="0.35">
      <c r="N755" s="262">
        <v>712</v>
      </c>
      <c r="O755" s="401">
        <v>0.35904465211749081</v>
      </c>
    </row>
    <row r="756" spans="14:15" x14ac:dyDescent="0.35">
      <c r="N756" s="262">
        <v>713</v>
      </c>
      <c r="O756" s="401">
        <v>0.36113303470221547</v>
      </c>
    </row>
    <row r="757" spans="14:15" x14ac:dyDescent="0.35">
      <c r="N757" s="262">
        <v>714</v>
      </c>
      <c r="O757" s="401">
        <v>0.36565424945764891</v>
      </c>
    </row>
    <row r="758" spans="14:15" x14ac:dyDescent="0.35">
      <c r="N758" s="262">
        <v>715</v>
      </c>
      <c r="O758" s="401">
        <v>0.35100882993793969</v>
      </c>
    </row>
    <row r="759" spans="14:15" x14ac:dyDescent="0.35">
      <c r="N759" s="262">
        <v>716</v>
      </c>
      <c r="O759" s="401">
        <v>0.35918493346523794</v>
      </c>
    </row>
    <row r="760" spans="14:15" x14ac:dyDescent="0.35">
      <c r="N760" s="262">
        <v>717</v>
      </c>
      <c r="O760" s="401">
        <v>0.36129523373522909</v>
      </c>
    </row>
    <row r="761" spans="14:15" x14ac:dyDescent="0.35">
      <c r="N761" s="262">
        <v>718</v>
      </c>
      <c r="O761" s="401">
        <v>0.34780248676089931</v>
      </c>
    </row>
    <row r="762" spans="14:15" x14ac:dyDescent="0.35">
      <c r="N762" s="262">
        <v>719</v>
      </c>
      <c r="O762" s="401">
        <v>0.35587870422087287</v>
      </c>
    </row>
    <row r="763" spans="14:15" x14ac:dyDescent="0.35">
      <c r="N763" s="262">
        <v>720</v>
      </c>
      <c r="O763" s="401">
        <v>0.35953757295791955</v>
      </c>
    </row>
    <row r="764" spans="14:15" x14ac:dyDescent="0.35">
      <c r="N764" s="262">
        <v>721</v>
      </c>
      <c r="O764" s="401">
        <v>0.36244248233385501</v>
      </c>
    </row>
    <row r="765" spans="14:15" x14ac:dyDescent="0.35">
      <c r="N765" s="262">
        <v>722</v>
      </c>
      <c r="O765" s="401">
        <v>0.35569224627588847</v>
      </c>
    </row>
    <row r="766" spans="14:15" x14ac:dyDescent="0.35">
      <c r="N766" s="262">
        <v>723</v>
      </c>
      <c r="O766" s="401">
        <v>0.36342194016609075</v>
      </c>
    </row>
    <row r="767" spans="14:15" x14ac:dyDescent="0.35">
      <c r="N767" s="262">
        <v>724</v>
      </c>
      <c r="O767" s="401">
        <v>0.36548054334560498</v>
      </c>
    </row>
    <row r="768" spans="14:15" x14ac:dyDescent="0.35">
      <c r="N768" s="262">
        <v>725</v>
      </c>
      <c r="O768" s="401">
        <v>0.36422605031440058</v>
      </c>
    </row>
    <row r="769" spans="14:15" x14ac:dyDescent="0.35">
      <c r="N769" s="262">
        <v>726</v>
      </c>
      <c r="O769" s="401">
        <v>0.36611703451981104</v>
      </c>
    </row>
    <row r="770" spans="14:15" x14ac:dyDescent="0.35">
      <c r="N770" s="262">
        <v>727</v>
      </c>
      <c r="O770" s="401">
        <v>0.37100663338003859</v>
      </c>
    </row>
    <row r="771" spans="14:15" x14ac:dyDescent="0.35">
      <c r="N771" s="262">
        <v>728</v>
      </c>
      <c r="O771" s="401">
        <v>0.36227572727049084</v>
      </c>
    </row>
    <row r="772" spans="14:15" x14ac:dyDescent="0.35">
      <c r="N772" s="262">
        <v>729</v>
      </c>
      <c r="O772" s="401">
        <v>0.36256336145649115</v>
      </c>
    </row>
    <row r="773" spans="14:15" x14ac:dyDescent="0.35">
      <c r="N773" s="262">
        <v>730</v>
      </c>
      <c r="O773" s="401">
        <v>0.36204462446870989</v>
      </c>
    </row>
    <row r="774" spans="14:15" x14ac:dyDescent="0.35">
      <c r="N774" s="262">
        <v>731</v>
      </c>
      <c r="O774" s="401">
        <v>0.35654943463775912</v>
      </c>
    </row>
    <row r="775" spans="14:15" x14ac:dyDescent="0.35">
      <c r="N775" s="262">
        <v>732</v>
      </c>
      <c r="O775" s="401">
        <v>0.35615617795835997</v>
      </c>
    </row>
    <row r="776" spans="14:15" x14ac:dyDescent="0.35">
      <c r="N776" s="262">
        <v>733</v>
      </c>
      <c r="O776" s="401">
        <v>0.35809008629371664</v>
      </c>
    </row>
    <row r="777" spans="14:15" x14ac:dyDescent="0.35">
      <c r="N777" s="262">
        <v>734</v>
      </c>
      <c r="O777" s="401">
        <v>0.37069646019693225</v>
      </c>
    </row>
    <row r="778" spans="14:15" x14ac:dyDescent="0.35">
      <c r="N778" s="262">
        <v>735</v>
      </c>
      <c r="O778" s="401">
        <v>0.35962896960399693</v>
      </c>
    </row>
    <row r="779" spans="14:15" x14ac:dyDescent="0.35">
      <c r="N779" s="262">
        <v>736</v>
      </c>
      <c r="O779" s="401">
        <v>0.36106927803187738</v>
      </c>
    </row>
    <row r="780" spans="14:15" x14ac:dyDescent="0.35">
      <c r="N780" s="262">
        <v>737</v>
      </c>
      <c r="O780" s="401">
        <v>0.36390923342213233</v>
      </c>
    </row>
    <row r="781" spans="14:15" x14ac:dyDescent="0.35">
      <c r="N781" s="262">
        <v>738</v>
      </c>
      <c r="O781" s="401">
        <v>0.36008068511781</v>
      </c>
    </row>
    <row r="782" spans="14:15" x14ac:dyDescent="0.35">
      <c r="N782" s="262">
        <v>739</v>
      </c>
      <c r="O782" s="401">
        <v>0.3567970542482799</v>
      </c>
    </row>
    <row r="783" spans="14:15" x14ac:dyDescent="0.35">
      <c r="N783" s="262">
        <v>740</v>
      </c>
      <c r="O783" s="401">
        <v>0.35884260531835177</v>
      </c>
    </row>
    <row r="784" spans="14:15" x14ac:dyDescent="0.35">
      <c r="N784" s="262">
        <v>741</v>
      </c>
      <c r="O784" s="401">
        <v>0.36455014621205706</v>
      </c>
    </row>
    <row r="785" spans="14:15" x14ac:dyDescent="0.35">
      <c r="N785" s="262">
        <v>742</v>
      </c>
      <c r="O785" s="401">
        <v>0.36027833095464001</v>
      </c>
    </row>
    <row r="786" spans="14:15" x14ac:dyDescent="0.35">
      <c r="N786" s="262">
        <v>743</v>
      </c>
      <c r="O786" s="401">
        <v>0.35571695646638068</v>
      </c>
    </row>
    <row r="787" spans="14:15" x14ac:dyDescent="0.35">
      <c r="N787" s="262">
        <v>744</v>
      </c>
      <c r="O787" s="401">
        <v>0.36456110943514619</v>
      </c>
    </row>
    <row r="788" spans="14:15" x14ac:dyDescent="0.35">
      <c r="N788" s="262">
        <v>745</v>
      </c>
      <c r="O788" s="401">
        <v>0.36871002430253874</v>
      </c>
    </row>
    <row r="789" spans="14:15" x14ac:dyDescent="0.35">
      <c r="N789" s="262">
        <v>746</v>
      </c>
      <c r="O789" s="401">
        <v>0.36439876594813847</v>
      </c>
    </row>
    <row r="790" spans="14:15" x14ac:dyDescent="0.35">
      <c r="N790" s="262">
        <v>747</v>
      </c>
      <c r="O790" s="401">
        <v>0.37835729708540988</v>
      </c>
    </row>
    <row r="791" spans="14:15" x14ac:dyDescent="0.35">
      <c r="N791" s="262">
        <v>748</v>
      </c>
      <c r="O791" s="401">
        <v>0.36980099208942807</v>
      </c>
    </row>
    <row r="792" spans="14:15" x14ac:dyDescent="0.35">
      <c r="N792" s="262">
        <v>749</v>
      </c>
      <c r="O792" s="401">
        <v>0.37325694552231314</v>
      </c>
    </row>
    <row r="793" spans="14:15" x14ac:dyDescent="0.35">
      <c r="N793" s="262">
        <v>750</v>
      </c>
      <c r="O793" s="401">
        <v>0.36239477832280453</v>
      </c>
    </row>
    <row r="794" spans="14:15" x14ac:dyDescent="0.35">
      <c r="N794" s="262">
        <v>751</v>
      </c>
      <c r="O794" s="401">
        <v>0.37115258434517839</v>
      </c>
    </row>
    <row r="795" spans="14:15" x14ac:dyDescent="0.35">
      <c r="N795" s="262">
        <v>752</v>
      </c>
      <c r="O795" s="401">
        <v>0.37185859111065089</v>
      </c>
    </row>
    <row r="796" spans="14:15" x14ac:dyDescent="0.35">
      <c r="N796" s="262">
        <v>753</v>
      </c>
      <c r="O796" s="401">
        <v>0.34646884702741265</v>
      </c>
    </row>
    <row r="797" spans="14:15" x14ac:dyDescent="0.35">
      <c r="N797" s="262">
        <v>754</v>
      </c>
      <c r="O797" s="401">
        <v>0.35742369569897492</v>
      </c>
    </row>
    <row r="798" spans="14:15" x14ac:dyDescent="0.35">
      <c r="N798" s="262">
        <v>755</v>
      </c>
      <c r="O798" s="401">
        <v>0.3663478906164408</v>
      </c>
    </row>
    <row r="799" spans="14:15" x14ac:dyDescent="0.35">
      <c r="N799" s="262">
        <v>756</v>
      </c>
      <c r="O799" s="401">
        <v>0.35201039519996291</v>
      </c>
    </row>
    <row r="800" spans="14:15" x14ac:dyDescent="0.35">
      <c r="N800" s="262">
        <v>757</v>
      </c>
      <c r="O800" s="401">
        <v>0.36621745512613568</v>
      </c>
    </row>
    <row r="801" spans="14:15" x14ac:dyDescent="0.35">
      <c r="N801" s="262">
        <v>758</v>
      </c>
      <c r="O801" s="401">
        <v>0.36148734634052215</v>
      </c>
    </row>
    <row r="802" spans="14:15" x14ac:dyDescent="0.35">
      <c r="N802" s="262">
        <v>759</v>
      </c>
      <c r="O802" s="401">
        <v>0.36404403737619107</v>
      </c>
    </row>
    <row r="803" spans="14:15" x14ac:dyDescent="0.35">
      <c r="N803" s="262">
        <v>760</v>
      </c>
      <c r="O803" s="401">
        <v>0.36454017510979786</v>
      </c>
    </row>
    <row r="804" spans="14:15" x14ac:dyDescent="0.35">
      <c r="N804" s="262">
        <v>761</v>
      </c>
      <c r="O804" s="401">
        <v>0.37069439366443246</v>
      </c>
    </row>
    <row r="805" spans="14:15" x14ac:dyDescent="0.35">
      <c r="N805" s="262">
        <v>762</v>
      </c>
      <c r="O805" s="401">
        <v>0.36700227674445518</v>
      </c>
    </row>
    <row r="806" spans="14:15" x14ac:dyDescent="0.35">
      <c r="N806" s="262">
        <v>763</v>
      </c>
      <c r="O806" s="401">
        <v>0.35855268672546292</v>
      </c>
    </row>
    <row r="807" spans="14:15" x14ac:dyDescent="0.35">
      <c r="N807" s="262">
        <v>764</v>
      </c>
      <c r="O807" s="401">
        <v>0.36734915169631832</v>
      </c>
    </row>
    <row r="808" spans="14:15" x14ac:dyDescent="0.35">
      <c r="N808" s="262">
        <v>765</v>
      </c>
      <c r="O808" s="401">
        <v>0.3513760950004321</v>
      </c>
    </row>
    <row r="809" spans="14:15" x14ac:dyDescent="0.35">
      <c r="N809" s="262">
        <v>766</v>
      </c>
      <c r="O809" s="401">
        <v>0.36561298018291577</v>
      </c>
    </row>
    <row r="810" spans="14:15" x14ac:dyDescent="0.35">
      <c r="N810" s="262">
        <v>767</v>
      </c>
      <c r="O810" s="401">
        <v>0.35896712080002446</v>
      </c>
    </row>
    <row r="811" spans="14:15" x14ac:dyDescent="0.35">
      <c r="N811" s="262">
        <v>768</v>
      </c>
      <c r="O811" s="401">
        <v>0.3415793079313918</v>
      </c>
    </row>
    <row r="812" spans="14:15" x14ac:dyDescent="0.35">
      <c r="N812" s="262">
        <v>769</v>
      </c>
      <c r="O812" s="401">
        <v>0.38166348679250994</v>
      </c>
    </row>
    <row r="813" spans="14:15" x14ac:dyDescent="0.35">
      <c r="N813" s="262">
        <v>770</v>
      </c>
      <c r="O813" s="401">
        <v>0.35829799140013141</v>
      </c>
    </row>
    <row r="814" spans="14:15" x14ac:dyDescent="0.35">
      <c r="N814" s="262">
        <v>771</v>
      </c>
      <c r="O814" s="401">
        <v>0.36668429730288143</v>
      </c>
    </row>
    <row r="815" spans="14:15" x14ac:dyDescent="0.35">
      <c r="N815" s="262">
        <v>772</v>
      </c>
      <c r="O815" s="401">
        <v>0.37216622232562968</v>
      </c>
    </row>
    <row r="816" spans="14:15" x14ac:dyDescent="0.35">
      <c r="N816" s="262">
        <v>773</v>
      </c>
      <c r="O816" s="401">
        <v>0.3748501486199165</v>
      </c>
    </row>
    <row r="817" spans="14:15" x14ac:dyDescent="0.35">
      <c r="N817" s="262">
        <v>774</v>
      </c>
      <c r="O817" s="401">
        <v>0.37183389880143869</v>
      </c>
    </row>
    <row r="818" spans="14:15" x14ac:dyDescent="0.35">
      <c r="N818" s="262">
        <v>775</v>
      </c>
      <c r="O818" s="401">
        <v>0.37732756813361035</v>
      </c>
    </row>
    <row r="819" spans="14:15" x14ac:dyDescent="0.35">
      <c r="N819" s="262">
        <v>776</v>
      </c>
      <c r="O819" s="401">
        <v>0.36831148255774204</v>
      </c>
    </row>
    <row r="820" spans="14:15" x14ac:dyDescent="0.35">
      <c r="N820" s="262">
        <v>777</v>
      </c>
      <c r="O820" s="401">
        <v>0.35686411240158455</v>
      </c>
    </row>
    <row r="821" spans="14:15" x14ac:dyDescent="0.35">
      <c r="N821" s="262">
        <v>778</v>
      </c>
      <c r="O821" s="401">
        <v>0.36809400660557934</v>
      </c>
    </row>
    <row r="822" spans="14:15" x14ac:dyDescent="0.35">
      <c r="N822" s="262">
        <v>779</v>
      </c>
      <c r="O822" s="401">
        <v>0.3596629311930537</v>
      </c>
    </row>
    <row r="823" spans="14:15" x14ac:dyDescent="0.35">
      <c r="N823" s="262">
        <v>780</v>
      </c>
      <c r="O823" s="401">
        <v>0.37572121288859117</v>
      </c>
    </row>
    <row r="824" spans="14:15" x14ac:dyDescent="0.35">
      <c r="N824" s="262">
        <v>781</v>
      </c>
      <c r="O824" s="401">
        <v>0.36902256194384075</v>
      </c>
    </row>
    <row r="825" spans="14:15" x14ac:dyDescent="0.35">
      <c r="N825" s="262">
        <v>782</v>
      </c>
      <c r="O825" s="401">
        <v>0.36438925421143309</v>
      </c>
    </row>
    <row r="826" spans="14:15" x14ac:dyDescent="0.35">
      <c r="N826" s="262">
        <v>783</v>
      </c>
      <c r="O826" s="401">
        <v>0.36442027192708237</v>
      </c>
    </row>
    <row r="827" spans="14:15" x14ac:dyDescent="0.35">
      <c r="N827" s="262">
        <v>784</v>
      </c>
      <c r="O827" s="401">
        <v>0.376642801894711</v>
      </c>
    </row>
    <row r="828" spans="14:15" x14ac:dyDescent="0.35">
      <c r="N828" s="262">
        <v>785</v>
      </c>
      <c r="O828" s="401">
        <v>0.36070719236741566</v>
      </c>
    </row>
    <row r="829" spans="14:15" x14ac:dyDescent="0.35">
      <c r="N829" s="262">
        <v>786</v>
      </c>
      <c r="O829" s="401">
        <v>0.36031376604323673</v>
      </c>
    </row>
    <row r="830" spans="14:15" x14ac:dyDescent="0.35">
      <c r="N830" s="262">
        <v>787</v>
      </c>
      <c r="O830" s="401">
        <v>0.38114026732693995</v>
      </c>
    </row>
    <row r="831" spans="14:15" x14ac:dyDescent="0.35">
      <c r="N831" s="262">
        <v>788</v>
      </c>
      <c r="O831" s="401">
        <v>0.36078763869675945</v>
      </c>
    </row>
    <row r="832" spans="14:15" x14ac:dyDescent="0.35">
      <c r="N832" s="262">
        <v>789</v>
      </c>
      <c r="O832" s="401">
        <v>0.36921166099049918</v>
      </c>
    </row>
    <row r="833" spans="14:15" x14ac:dyDescent="0.35">
      <c r="N833" s="262">
        <v>790</v>
      </c>
      <c r="O833" s="401">
        <v>0.36956708202106059</v>
      </c>
    </row>
    <row r="834" spans="14:15" x14ac:dyDescent="0.35">
      <c r="N834" s="262">
        <v>791</v>
      </c>
      <c r="O834" s="401">
        <v>0.37418456069770967</v>
      </c>
    </row>
    <row r="835" spans="14:15" x14ac:dyDescent="0.35">
      <c r="N835" s="262">
        <v>792</v>
      </c>
      <c r="O835" s="401">
        <v>0.36134126089225616</v>
      </c>
    </row>
    <row r="836" spans="14:15" x14ac:dyDescent="0.35">
      <c r="N836" s="262">
        <v>793</v>
      </c>
      <c r="O836" s="401">
        <v>0.36340127627195651</v>
      </c>
    </row>
    <row r="837" spans="14:15" x14ac:dyDescent="0.35">
      <c r="N837" s="262">
        <v>794</v>
      </c>
      <c r="O837" s="401">
        <v>0.36339688575962859</v>
      </c>
    </row>
    <row r="838" spans="14:15" x14ac:dyDescent="0.35">
      <c r="N838" s="262">
        <v>795</v>
      </c>
      <c r="O838" s="401">
        <v>0.35521006867512495</v>
      </c>
    </row>
    <row r="839" spans="14:15" x14ac:dyDescent="0.35">
      <c r="N839" s="262">
        <v>796</v>
      </c>
      <c r="O839" s="401">
        <v>0.36674736696626931</v>
      </c>
    </row>
    <row r="840" spans="14:15" x14ac:dyDescent="0.35">
      <c r="N840" s="262">
        <v>797</v>
      </c>
      <c r="O840" s="401">
        <v>0.36381183217428625</v>
      </c>
    </row>
    <row r="841" spans="14:15" x14ac:dyDescent="0.35">
      <c r="N841" s="262">
        <v>798</v>
      </c>
      <c r="O841" s="401">
        <v>0.36408718218478398</v>
      </c>
    </row>
    <row r="842" spans="14:15" x14ac:dyDescent="0.35">
      <c r="N842" s="262">
        <v>799</v>
      </c>
      <c r="O842" s="401">
        <v>0.35944612143388599</v>
      </c>
    </row>
    <row r="843" spans="14:15" x14ac:dyDescent="0.35">
      <c r="N843" s="262">
        <v>800</v>
      </c>
      <c r="O843" s="401">
        <v>0.36091950174438647</v>
      </c>
    </row>
    <row r="844" spans="14:15" x14ac:dyDescent="0.35">
      <c r="N844" s="262">
        <v>801</v>
      </c>
      <c r="O844" s="401">
        <v>0.35173614350790117</v>
      </c>
    </row>
    <row r="845" spans="14:15" x14ac:dyDescent="0.35">
      <c r="N845" s="262">
        <v>802</v>
      </c>
      <c r="O845" s="401">
        <v>0.36555464822755512</v>
      </c>
    </row>
    <row r="846" spans="14:15" x14ac:dyDescent="0.35">
      <c r="N846" s="262">
        <v>803</v>
      </c>
      <c r="O846" s="401">
        <v>0.36674788858063412</v>
      </c>
    </row>
    <row r="847" spans="14:15" x14ac:dyDescent="0.35">
      <c r="N847" s="262">
        <v>804</v>
      </c>
      <c r="O847" s="401">
        <v>0.35508226854522773</v>
      </c>
    </row>
    <row r="848" spans="14:15" x14ac:dyDescent="0.35">
      <c r="N848" s="262">
        <v>805</v>
      </c>
      <c r="O848" s="401">
        <v>0.36781856447012462</v>
      </c>
    </row>
    <row r="849" spans="14:15" x14ac:dyDescent="0.35">
      <c r="N849" s="262">
        <v>806</v>
      </c>
      <c r="O849" s="401">
        <v>0.36014592650212029</v>
      </c>
    </row>
    <row r="850" spans="14:15" x14ac:dyDescent="0.35">
      <c r="N850" s="262">
        <v>807</v>
      </c>
      <c r="O850" s="401">
        <v>0.36424159140402113</v>
      </c>
    </row>
    <row r="851" spans="14:15" x14ac:dyDescent="0.35">
      <c r="N851" s="262">
        <v>808</v>
      </c>
      <c r="O851" s="401">
        <v>0.37238357921084786</v>
      </c>
    </row>
    <row r="852" spans="14:15" x14ac:dyDescent="0.35">
      <c r="N852" s="262">
        <v>809</v>
      </c>
      <c r="O852" s="401">
        <v>0.36528815136890969</v>
      </c>
    </row>
    <row r="853" spans="14:15" x14ac:dyDescent="0.35">
      <c r="N853" s="262">
        <v>810</v>
      </c>
      <c r="O853" s="401">
        <v>0.35854999737929094</v>
      </c>
    </row>
    <row r="854" spans="14:15" x14ac:dyDescent="0.35">
      <c r="N854" s="262">
        <v>811</v>
      </c>
      <c r="O854" s="401">
        <v>0.36099517946022752</v>
      </c>
    </row>
    <row r="855" spans="14:15" x14ac:dyDescent="0.35">
      <c r="N855" s="262">
        <v>812</v>
      </c>
      <c r="O855" s="401">
        <v>0.36311765354397973</v>
      </c>
    </row>
    <row r="856" spans="14:15" x14ac:dyDescent="0.35">
      <c r="N856" s="262">
        <v>813</v>
      </c>
      <c r="O856" s="401">
        <v>0.35867512182331485</v>
      </c>
    </row>
    <row r="857" spans="14:15" x14ac:dyDescent="0.35">
      <c r="N857" s="262">
        <v>814</v>
      </c>
      <c r="O857" s="401">
        <v>0.34599695363509997</v>
      </c>
    </row>
    <row r="858" spans="14:15" x14ac:dyDescent="0.35">
      <c r="N858" s="262">
        <v>815</v>
      </c>
      <c r="O858" s="401">
        <v>0.36235941329767396</v>
      </c>
    </row>
    <row r="859" spans="14:15" x14ac:dyDescent="0.35">
      <c r="N859" s="262">
        <v>816</v>
      </c>
      <c r="O859" s="401">
        <v>0.36868499848702552</v>
      </c>
    </row>
    <row r="860" spans="14:15" x14ac:dyDescent="0.35">
      <c r="N860" s="262">
        <v>817</v>
      </c>
      <c r="O860" s="401">
        <v>0.36229384773745177</v>
      </c>
    </row>
    <row r="861" spans="14:15" x14ac:dyDescent="0.35">
      <c r="N861" s="262">
        <v>818</v>
      </c>
      <c r="O861" s="401">
        <v>0.35555311760239694</v>
      </c>
    </row>
    <row r="862" spans="14:15" x14ac:dyDescent="0.35">
      <c r="N862" s="262">
        <v>819</v>
      </c>
      <c r="O862" s="401">
        <v>0.35925646220972363</v>
      </c>
    </row>
    <row r="863" spans="14:15" x14ac:dyDescent="0.35">
      <c r="N863" s="262">
        <v>820</v>
      </c>
      <c r="O863" s="401">
        <v>0.36336585520433018</v>
      </c>
    </row>
    <row r="864" spans="14:15" x14ac:dyDescent="0.35">
      <c r="N864" s="262">
        <v>821</v>
      </c>
      <c r="O864" s="401">
        <v>0.36678059480914138</v>
      </c>
    </row>
    <row r="865" spans="14:15" x14ac:dyDescent="0.35">
      <c r="N865" s="262">
        <v>822</v>
      </c>
      <c r="O865" s="401">
        <v>0.35548577561018813</v>
      </c>
    </row>
    <row r="866" spans="14:15" x14ac:dyDescent="0.35">
      <c r="N866" s="262">
        <v>823</v>
      </c>
      <c r="O866" s="401">
        <v>0.35732564313798654</v>
      </c>
    </row>
    <row r="867" spans="14:15" x14ac:dyDescent="0.35">
      <c r="N867" s="262">
        <v>824</v>
      </c>
      <c r="O867" s="401">
        <v>0.37209681789519222</v>
      </c>
    </row>
    <row r="868" spans="14:15" x14ac:dyDescent="0.35">
      <c r="N868" s="262">
        <v>825</v>
      </c>
      <c r="O868" s="401">
        <v>0.36549688349652021</v>
      </c>
    </row>
    <row r="869" spans="14:15" x14ac:dyDescent="0.35">
      <c r="N869" s="262">
        <v>826</v>
      </c>
      <c r="O869" s="401">
        <v>0.3681127589376969</v>
      </c>
    </row>
    <row r="870" spans="14:15" x14ac:dyDescent="0.35">
      <c r="N870" s="262">
        <v>827</v>
      </c>
      <c r="O870" s="401">
        <v>0.35695215494979915</v>
      </c>
    </row>
    <row r="871" spans="14:15" x14ac:dyDescent="0.35">
      <c r="N871" s="262">
        <v>828</v>
      </c>
      <c r="O871" s="401">
        <v>0.36640918996130134</v>
      </c>
    </row>
    <row r="872" spans="14:15" x14ac:dyDescent="0.35">
      <c r="N872" s="262">
        <v>829</v>
      </c>
      <c r="O872" s="401">
        <v>0.35584143139263791</v>
      </c>
    </row>
    <row r="873" spans="14:15" x14ac:dyDescent="0.35">
      <c r="N873" s="262">
        <v>830</v>
      </c>
      <c r="O873" s="401">
        <v>0.35583387673745115</v>
      </c>
    </row>
    <row r="874" spans="14:15" x14ac:dyDescent="0.35">
      <c r="N874" s="262">
        <v>831</v>
      </c>
      <c r="O874" s="401">
        <v>0.38296551994642591</v>
      </c>
    </row>
    <row r="875" spans="14:15" x14ac:dyDescent="0.35">
      <c r="N875" s="262">
        <v>832</v>
      </c>
      <c r="O875" s="401">
        <v>0.3573346423582251</v>
      </c>
    </row>
    <row r="876" spans="14:15" x14ac:dyDescent="0.35">
      <c r="N876" s="262">
        <v>833</v>
      </c>
      <c r="O876" s="401">
        <v>0.35534352864761476</v>
      </c>
    </row>
    <row r="877" spans="14:15" x14ac:dyDescent="0.35">
      <c r="N877" s="262">
        <v>834</v>
      </c>
      <c r="O877" s="401">
        <v>0.35939859825391673</v>
      </c>
    </row>
    <row r="878" spans="14:15" x14ac:dyDescent="0.35">
      <c r="N878" s="262">
        <v>835</v>
      </c>
      <c r="O878" s="401">
        <v>0.36709701903657188</v>
      </c>
    </row>
    <row r="879" spans="14:15" x14ac:dyDescent="0.35">
      <c r="N879" s="262">
        <v>836</v>
      </c>
      <c r="O879" s="401">
        <v>0.37167471117916184</v>
      </c>
    </row>
    <row r="880" spans="14:15" x14ac:dyDescent="0.35">
      <c r="N880" s="262">
        <v>837</v>
      </c>
      <c r="O880" s="401">
        <v>0.36489071626692993</v>
      </c>
    </row>
    <row r="881" spans="14:15" x14ac:dyDescent="0.35">
      <c r="N881" s="262">
        <v>838</v>
      </c>
      <c r="O881" s="401">
        <v>0.36781570898927551</v>
      </c>
    </row>
    <row r="882" spans="14:15" x14ac:dyDescent="0.35">
      <c r="N882" s="262">
        <v>839</v>
      </c>
      <c r="O882" s="401">
        <v>0.37898446037250899</v>
      </c>
    </row>
    <row r="883" spans="14:15" x14ac:dyDescent="0.35">
      <c r="N883" s="262">
        <v>840</v>
      </c>
      <c r="O883" s="401">
        <v>0.36298646084629338</v>
      </c>
    </row>
    <row r="884" spans="14:15" x14ac:dyDescent="0.35">
      <c r="N884" s="262">
        <v>841</v>
      </c>
      <c r="O884" s="401">
        <v>0.36504901376018584</v>
      </c>
    </row>
    <row r="885" spans="14:15" x14ac:dyDescent="0.35">
      <c r="N885" s="262">
        <v>842</v>
      </c>
      <c r="O885" s="401">
        <v>0.37080973453840116</v>
      </c>
    </row>
    <row r="886" spans="14:15" x14ac:dyDescent="0.35">
      <c r="N886" s="262">
        <v>843</v>
      </c>
      <c r="O886" s="401">
        <v>0.36350793714222696</v>
      </c>
    </row>
    <row r="887" spans="14:15" x14ac:dyDescent="0.35">
      <c r="N887" s="262">
        <v>844</v>
      </c>
      <c r="O887" s="401">
        <v>0.35108603075218792</v>
      </c>
    </row>
    <row r="888" spans="14:15" x14ac:dyDescent="0.35">
      <c r="N888" s="262">
        <v>845</v>
      </c>
      <c r="O888" s="401">
        <v>0.35632448652786608</v>
      </c>
    </row>
    <row r="889" spans="14:15" x14ac:dyDescent="0.35">
      <c r="N889" s="262">
        <v>846</v>
      </c>
      <c r="O889" s="401">
        <v>0.36354903354180923</v>
      </c>
    </row>
    <row r="890" spans="14:15" x14ac:dyDescent="0.35">
      <c r="N890" s="262">
        <v>847</v>
      </c>
      <c r="O890" s="401">
        <v>0.37034713659889129</v>
      </c>
    </row>
    <row r="891" spans="14:15" x14ac:dyDescent="0.35">
      <c r="N891" s="262">
        <v>848</v>
      </c>
      <c r="O891" s="401">
        <v>0.35401221648944703</v>
      </c>
    </row>
    <row r="892" spans="14:15" x14ac:dyDescent="0.35">
      <c r="N892" s="262">
        <v>849</v>
      </c>
      <c r="O892" s="401">
        <v>0.36518816073590976</v>
      </c>
    </row>
    <row r="893" spans="14:15" x14ac:dyDescent="0.35">
      <c r="N893" s="262">
        <v>850</v>
      </c>
      <c r="O893" s="401">
        <v>0.37266498132354542</v>
      </c>
    </row>
    <row r="894" spans="14:15" x14ac:dyDescent="0.35">
      <c r="N894" s="262">
        <v>851</v>
      </c>
      <c r="O894" s="401">
        <v>0.36813976992647657</v>
      </c>
    </row>
    <row r="895" spans="14:15" x14ac:dyDescent="0.35">
      <c r="N895" s="262">
        <v>852</v>
      </c>
      <c r="O895" s="401">
        <v>0.3609720205772915</v>
      </c>
    </row>
    <row r="896" spans="14:15" x14ac:dyDescent="0.35">
      <c r="N896" s="262">
        <v>853</v>
      </c>
      <c r="O896" s="401">
        <v>0.36667084549789863</v>
      </c>
    </row>
    <row r="897" spans="14:15" x14ac:dyDescent="0.35">
      <c r="N897" s="262">
        <v>854</v>
      </c>
      <c r="O897" s="401">
        <v>0.3456884118500283</v>
      </c>
    </row>
    <row r="898" spans="14:15" x14ac:dyDescent="0.35">
      <c r="N898" s="262">
        <v>855</v>
      </c>
      <c r="O898" s="401">
        <v>0.36051105144143492</v>
      </c>
    </row>
    <row r="899" spans="14:15" x14ac:dyDescent="0.35">
      <c r="N899" s="262">
        <v>856</v>
      </c>
      <c r="O899" s="401">
        <v>0.36316979918612224</v>
      </c>
    </row>
    <row r="900" spans="14:15" x14ac:dyDescent="0.35">
      <c r="N900" s="262">
        <v>857</v>
      </c>
      <c r="O900" s="401">
        <v>0.3580290156700725</v>
      </c>
    </row>
    <row r="901" spans="14:15" x14ac:dyDescent="0.35">
      <c r="N901" s="262">
        <v>858</v>
      </c>
      <c r="O901" s="401">
        <v>0.36604899225958776</v>
      </c>
    </row>
    <row r="902" spans="14:15" x14ac:dyDescent="0.35">
      <c r="N902" s="262">
        <v>859</v>
      </c>
      <c r="O902" s="401">
        <v>0.37155970533388127</v>
      </c>
    </row>
    <row r="903" spans="14:15" x14ac:dyDescent="0.35">
      <c r="N903" s="262">
        <v>860</v>
      </c>
      <c r="O903" s="401">
        <v>0.36306735637974907</v>
      </c>
    </row>
    <row r="904" spans="14:15" x14ac:dyDescent="0.35">
      <c r="N904" s="262">
        <v>861</v>
      </c>
      <c r="O904" s="401">
        <v>0.36599894600621097</v>
      </c>
    </row>
    <row r="905" spans="14:15" x14ac:dyDescent="0.35">
      <c r="N905" s="262">
        <v>862</v>
      </c>
      <c r="O905" s="401">
        <v>0.36487968919756297</v>
      </c>
    </row>
    <row r="906" spans="14:15" x14ac:dyDescent="0.35">
      <c r="N906" s="262">
        <v>863</v>
      </c>
      <c r="O906" s="401">
        <v>0.35726403363627734</v>
      </c>
    </row>
    <row r="907" spans="14:15" x14ac:dyDescent="0.35">
      <c r="N907" s="262">
        <v>864</v>
      </c>
      <c r="O907" s="401">
        <v>0.35936399292931176</v>
      </c>
    </row>
    <row r="908" spans="14:15" x14ac:dyDescent="0.35">
      <c r="N908" s="262">
        <v>865</v>
      </c>
      <c r="O908" s="401">
        <v>0.36216874379757447</v>
      </c>
    </row>
    <row r="909" spans="14:15" x14ac:dyDescent="0.35">
      <c r="N909" s="262">
        <v>866</v>
      </c>
      <c r="O909" s="401">
        <v>0.35197755701866962</v>
      </c>
    </row>
    <row r="910" spans="14:15" x14ac:dyDescent="0.35">
      <c r="N910" s="262">
        <v>867</v>
      </c>
      <c r="O910" s="401">
        <v>0.3664774209573467</v>
      </c>
    </row>
    <row r="911" spans="14:15" x14ac:dyDescent="0.35">
      <c r="N911" s="262">
        <v>868</v>
      </c>
      <c r="O911" s="401">
        <v>0.35621200379385343</v>
      </c>
    </row>
    <row r="912" spans="14:15" x14ac:dyDescent="0.35">
      <c r="N912" s="262">
        <v>869</v>
      </c>
      <c r="O912" s="401">
        <v>0.35596090181859097</v>
      </c>
    </row>
    <row r="913" spans="14:15" x14ac:dyDescent="0.35">
      <c r="N913" s="262">
        <v>870</v>
      </c>
      <c r="O913" s="401">
        <v>0.35760141596464279</v>
      </c>
    </row>
    <row r="914" spans="14:15" x14ac:dyDescent="0.35">
      <c r="N914" s="262">
        <v>871</v>
      </c>
      <c r="O914" s="401">
        <v>0.36465805624511693</v>
      </c>
    </row>
    <row r="915" spans="14:15" x14ac:dyDescent="0.35">
      <c r="N915" s="262">
        <v>872</v>
      </c>
      <c r="O915" s="401">
        <v>0.35304165038808399</v>
      </c>
    </row>
    <row r="916" spans="14:15" x14ac:dyDescent="0.35">
      <c r="N916" s="262">
        <v>873</v>
      </c>
      <c r="O916" s="401">
        <v>0.35777372416258446</v>
      </c>
    </row>
    <row r="917" spans="14:15" x14ac:dyDescent="0.35">
      <c r="N917" s="262">
        <v>874</v>
      </c>
      <c r="O917" s="401">
        <v>0.36044362177061884</v>
      </c>
    </row>
    <row r="918" spans="14:15" x14ac:dyDescent="0.35">
      <c r="N918" s="262">
        <v>875</v>
      </c>
      <c r="O918" s="401">
        <v>0.37333732595773617</v>
      </c>
    </row>
    <row r="919" spans="14:15" x14ac:dyDescent="0.35">
      <c r="N919" s="262">
        <v>876</v>
      </c>
      <c r="O919" s="401">
        <v>0.3670426250659764</v>
      </c>
    </row>
    <row r="920" spans="14:15" x14ac:dyDescent="0.35">
      <c r="N920" s="262">
        <v>877</v>
      </c>
      <c r="O920" s="401">
        <v>0.36578808202359259</v>
      </c>
    </row>
    <row r="921" spans="14:15" x14ac:dyDescent="0.35">
      <c r="N921" s="262">
        <v>878</v>
      </c>
      <c r="O921" s="401">
        <v>0.36777593703599964</v>
      </c>
    </row>
    <row r="922" spans="14:15" x14ac:dyDescent="0.35">
      <c r="N922" s="262">
        <v>879</v>
      </c>
      <c r="O922" s="401">
        <v>0.36653286979777278</v>
      </c>
    </row>
    <row r="923" spans="14:15" x14ac:dyDescent="0.35">
      <c r="N923" s="262">
        <v>880</v>
      </c>
      <c r="O923" s="401">
        <v>0.35977513684831308</v>
      </c>
    </row>
    <row r="924" spans="14:15" x14ac:dyDescent="0.35">
      <c r="N924" s="262">
        <v>881</v>
      </c>
      <c r="O924" s="401">
        <v>0.37164845927442336</v>
      </c>
    </row>
    <row r="925" spans="14:15" x14ac:dyDescent="0.35">
      <c r="N925" s="262">
        <v>882</v>
      </c>
      <c r="O925" s="401">
        <v>0.35634062593751836</v>
      </c>
    </row>
    <row r="926" spans="14:15" x14ac:dyDescent="0.35">
      <c r="N926" s="262">
        <v>883</v>
      </c>
      <c r="O926" s="401">
        <v>0.36325938941090619</v>
      </c>
    </row>
    <row r="927" spans="14:15" x14ac:dyDescent="0.35">
      <c r="N927" s="262">
        <v>884</v>
      </c>
      <c r="O927" s="401">
        <v>0.36464233451245009</v>
      </c>
    </row>
    <row r="928" spans="14:15" x14ac:dyDescent="0.35">
      <c r="N928" s="262">
        <v>885</v>
      </c>
      <c r="O928" s="401">
        <v>0.34780285746289907</v>
      </c>
    </row>
    <row r="929" spans="14:15" x14ac:dyDescent="0.35">
      <c r="N929" s="262">
        <v>886</v>
      </c>
      <c r="O929" s="401">
        <v>0.35983075215258653</v>
      </c>
    </row>
    <row r="930" spans="14:15" x14ac:dyDescent="0.35">
      <c r="N930" s="262">
        <v>887</v>
      </c>
      <c r="O930" s="401">
        <v>0.36622480876982388</v>
      </c>
    </row>
    <row r="931" spans="14:15" x14ac:dyDescent="0.35">
      <c r="N931" s="262">
        <v>888</v>
      </c>
      <c r="O931" s="401">
        <v>0.37551999008699743</v>
      </c>
    </row>
    <row r="932" spans="14:15" x14ac:dyDescent="0.35">
      <c r="N932" s="262">
        <v>889</v>
      </c>
      <c r="O932" s="401">
        <v>0.35443869514364468</v>
      </c>
    </row>
    <row r="933" spans="14:15" x14ac:dyDescent="0.35">
      <c r="N933" s="262">
        <v>890</v>
      </c>
      <c r="O933" s="401">
        <v>0.34740111476445912</v>
      </c>
    </row>
    <row r="934" spans="14:15" x14ac:dyDescent="0.35">
      <c r="N934" s="262">
        <v>891</v>
      </c>
      <c r="O934" s="401">
        <v>0.35480879585253922</v>
      </c>
    </row>
    <row r="935" spans="14:15" x14ac:dyDescent="0.35">
      <c r="N935" s="262">
        <v>892</v>
      </c>
      <c r="O935" s="401">
        <v>0.36162227694975724</v>
      </c>
    </row>
    <row r="936" spans="14:15" x14ac:dyDescent="0.35">
      <c r="N936" s="262">
        <v>893</v>
      </c>
      <c r="O936" s="401">
        <v>0.36850144522543093</v>
      </c>
    </row>
    <row r="937" spans="14:15" x14ac:dyDescent="0.35">
      <c r="N937" s="262">
        <v>894</v>
      </c>
      <c r="O937" s="401">
        <v>0.36146768847186661</v>
      </c>
    </row>
    <row r="938" spans="14:15" x14ac:dyDescent="0.35">
      <c r="N938" s="262">
        <v>895</v>
      </c>
      <c r="O938" s="401">
        <v>0.35309779067818203</v>
      </c>
    </row>
    <row r="939" spans="14:15" x14ac:dyDescent="0.35">
      <c r="N939" s="262">
        <v>896</v>
      </c>
      <c r="O939" s="401">
        <v>0.36848440164873453</v>
      </c>
    </row>
    <row r="940" spans="14:15" x14ac:dyDescent="0.35">
      <c r="N940" s="262">
        <v>897</v>
      </c>
      <c r="O940" s="401">
        <v>0.36884857372702662</v>
      </c>
    </row>
    <row r="941" spans="14:15" x14ac:dyDescent="0.35">
      <c r="N941" s="262">
        <v>898</v>
      </c>
      <c r="O941" s="401">
        <v>0.35929969255501071</v>
      </c>
    </row>
    <row r="942" spans="14:15" x14ac:dyDescent="0.35">
      <c r="N942" s="262">
        <v>899</v>
      </c>
      <c r="O942" s="401">
        <v>0.35928901344558661</v>
      </c>
    </row>
    <row r="943" spans="14:15" x14ac:dyDescent="0.35">
      <c r="N943" s="262">
        <v>900</v>
      </c>
      <c r="O943" s="401">
        <v>0.35898676524820949</v>
      </c>
    </row>
    <row r="944" spans="14:15" x14ac:dyDescent="0.35">
      <c r="N944" s="262">
        <v>901</v>
      </c>
      <c r="O944" s="401">
        <v>0.36847660674406724</v>
      </c>
    </row>
    <row r="945" spans="14:15" x14ac:dyDescent="0.35">
      <c r="N945" s="262">
        <v>902</v>
      </c>
      <c r="O945" s="401">
        <v>0.3572218585898137</v>
      </c>
    </row>
    <row r="946" spans="14:15" x14ac:dyDescent="0.35">
      <c r="N946" s="262">
        <v>903</v>
      </c>
      <c r="O946" s="401">
        <v>0.36594667336279607</v>
      </c>
    </row>
    <row r="947" spans="14:15" x14ac:dyDescent="0.35">
      <c r="N947" s="262">
        <v>904</v>
      </c>
      <c r="O947" s="401">
        <v>0.35847377112906931</v>
      </c>
    </row>
    <row r="948" spans="14:15" x14ac:dyDescent="0.35">
      <c r="N948" s="262">
        <v>905</v>
      </c>
      <c r="O948" s="401">
        <v>0.36057392172016756</v>
      </c>
    </row>
    <row r="949" spans="14:15" x14ac:dyDescent="0.35">
      <c r="N949" s="262">
        <v>906</v>
      </c>
      <c r="O949" s="401">
        <v>0.3633065696215656</v>
      </c>
    </row>
    <row r="950" spans="14:15" x14ac:dyDescent="0.35">
      <c r="N950" s="262">
        <v>907</v>
      </c>
      <c r="O950" s="401">
        <v>0.36749985286340237</v>
      </c>
    </row>
    <row r="951" spans="14:15" x14ac:dyDescent="0.35">
      <c r="N951" s="262">
        <v>908</v>
      </c>
      <c r="O951" s="401">
        <v>0.3603172238537371</v>
      </c>
    </row>
    <row r="952" spans="14:15" x14ac:dyDescent="0.35">
      <c r="N952" s="262">
        <v>909</v>
      </c>
      <c r="O952" s="401">
        <v>0.36122754127244661</v>
      </c>
    </row>
    <row r="953" spans="14:15" x14ac:dyDescent="0.35">
      <c r="N953" s="262">
        <v>910</v>
      </c>
      <c r="O953" s="401">
        <v>0.36392314300035666</v>
      </c>
    </row>
    <row r="954" spans="14:15" x14ac:dyDescent="0.35">
      <c r="N954" s="262">
        <v>911</v>
      </c>
      <c r="O954" s="401">
        <v>0.35880502518523461</v>
      </c>
    </row>
    <row r="955" spans="14:15" x14ac:dyDescent="0.35">
      <c r="N955" s="262">
        <v>912</v>
      </c>
      <c r="O955" s="401">
        <v>0.3628102166525915</v>
      </c>
    </row>
    <row r="956" spans="14:15" x14ac:dyDescent="0.35">
      <c r="N956" s="262">
        <v>913</v>
      </c>
      <c r="O956" s="401">
        <v>0.36484573133917086</v>
      </c>
    </row>
    <row r="957" spans="14:15" x14ac:dyDescent="0.35">
      <c r="N957" s="262">
        <v>914</v>
      </c>
      <c r="O957" s="401">
        <v>0.34960214681227852</v>
      </c>
    </row>
    <row r="958" spans="14:15" x14ac:dyDescent="0.35">
      <c r="N958" s="262">
        <v>915</v>
      </c>
      <c r="O958" s="401">
        <v>0.35248911818984197</v>
      </c>
    </row>
    <row r="959" spans="14:15" x14ac:dyDescent="0.35">
      <c r="N959" s="262">
        <v>916</v>
      </c>
      <c r="O959" s="401">
        <v>0.35936359724370548</v>
      </c>
    </row>
    <row r="960" spans="14:15" x14ac:dyDescent="0.35">
      <c r="N960" s="262">
        <v>917</v>
      </c>
      <c r="O960" s="401">
        <v>0.35512038886989239</v>
      </c>
    </row>
    <row r="961" spans="14:15" x14ac:dyDescent="0.35">
      <c r="N961" s="262">
        <v>918</v>
      </c>
      <c r="O961" s="401">
        <v>0.37127782886906835</v>
      </c>
    </row>
    <row r="962" spans="14:15" x14ac:dyDescent="0.35">
      <c r="N962" s="262">
        <v>919</v>
      </c>
      <c r="O962" s="401">
        <v>0.35750970085243061</v>
      </c>
    </row>
    <row r="963" spans="14:15" x14ac:dyDescent="0.35">
      <c r="N963" s="262">
        <v>920</v>
      </c>
      <c r="O963" s="401">
        <v>0.3566576599061928</v>
      </c>
    </row>
    <row r="964" spans="14:15" x14ac:dyDescent="0.35">
      <c r="N964" s="262">
        <v>921</v>
      </c>
      <c r="O964" s="401">
        <v>0.36785599716405315</v>
      </c>
    </row>
    <row r="965" spans="14:15" x14ac:dyDescent="0.35">
      <c r="N965" s="262">
        <v>922</v>
      </c>
      <c r="O965" s="401">
        <v>0.37283840257064327</v>
      </c>
    </row>
    <row r="966" spans="14:15" x14ac:dyDescent="0.35">
      <c r="N966" s="262">
        <v>923</v>
      </c>
      <c r="O966" s="401">
        <v>0.34511185106531328</v>
      </c>
    </row>
    <row r="967" spans="14:15" x14ac:dyDescent="0.35">
      <c r="N967" s="262">
        <v>924</v>
      </c>
      <c r="O967" s="401">
        <v>0.36230447464901649</v>
      </c>
    </row>
    <row r="968" spans="14:15" x14ac:dyDescent="0.35">
      <c r="N968" s="262">
        <v>925</v>
      </c>
      <c r="O968" s="401">
        <v>0.35726207860722314</v>
      </c>
    </row>
    <row r="969" spans="14:15" x14ac:dyDescent="0.35">
      <c r="N969" s="262">
        <v>926</v>
      </c>
      <c r="O969" s="401">
        <v>0.35651407594978601</v>
      </c>
    </row>
    <row r="970" spans="14:15" x14ac:dyDescent="0.35">
      <c r="N970" s="262">
        <v>927</v>
      </c>
      <c r="O970" s="401">
        <v>0.35845810831438518</v>
      </c>
    </row>
    <row r="971" spans="14:15" x14ac:dyDescent="0.35">
      <c r="N971" s="262">
        <v>928</v>
      </c>
      <c r="O971" s="401">
        <v>0.37218876529800538</v>
      </c>
    </row>
    <row r="972" spans="14:15" x14ac:dyDescent="0.35">
      <c r="N972" s="262">
        <v>929</v>
      </c>
      <c r="O972" s="401">
        <v>0.35059568219641801</v>
      </c>
    </row>
    <row r="973" spans="14:15" x14ac:dyDescent="0.35">
      <c r="N973" s="262">
        <v>930</v>
      </c>
      <c r="O973" s="401">
        <v>0.35887972672226609</v>
      </c>
    </row>
    <row r="974" spans="14:15" x14ac:dyDescent="0.35">
      <c r="N974" s="262">
        <v>931</v>
      </c>
      <c r="O974" s="401">
        <v>0.36735917326911482</v>
      </c>
    </row>
    <row r="975" spans="14:15" x14ac:dyDescent="0.35">
      <c r="N975" s="262">
        <v>932</v>
      </c>
      <c r="O975" s="401">
        <v>0.36706085351077178</v>
      </c>
    </row>
    <row r="976" spans="14:15" x14ac:dyDescent="0.35">
      <c r="N976" s="262">
        <v>933</v>
      </c>
      <c r="O976" s="401">
        <v>0.36961362222294336</v>
      </c>
    </row>
    <row r="977" spans="14:15" x14ac:dyDescent="0.35">
      <c r="N977" s="262">
        <v>934</v>
      </c>
      <c r="O977" s="401">
        <v>0.35876502785110675</v>
      </c>
    </row>
    <row r="978" spans="14:15" x14ac:dyDescent="0.35">
      <c r="N978" s="262">
        <v>935</v>
      </c>
      <c r="O978" s="401">
        <v>0.3483294336784406</v>
      </c>
    </row>
    <row r="979" spans="14:15" x14ac:dyDescent="0.35">
      <c r="N979" s="262">
        <v>936</v>
      </c>
      <c r="O979" s="401">
        <v>0.36508862546150844</v>
      </c>
    </row>
    <row r="980" spans="14:15" x14ac:dyDescent="0.35">
      <c r="N980" s="262">
        <v>937</v>
      </c>
      <c r="O980" s="401">
        <v>0.36222791146763389</v>
      </c>
    </row>
    <row r="981" spans="14:15" x14ac:dyDescent="0.35">
      <c r="N981" s="262">
        <v>938</v>
      </c>
      <c r="O981" s="401">
        <v>0.36505571826087868</v>
      </c>
    </row>
    <row r="982" spans="14:15" x14ac:dyDescent="0.35">
      <c r="N982" s="262">
        <v>939</v>
      </c>
      <c r="O982" s="401">
        <v>0.34783299415983571</v>
      </c>
    </row>
    <row r="983" spans="14:15" x14ac:dyDescent="0.35">
      <c r="N983" s="262">
        <v>940</v>
      </c>
      <c r="O983" s="401">
        <v>0.35431818856069297</v>
      </c>
    </row>
    <row r="984" spans="14:15" x14ac:dyDescent="0.35">
      <c r="N984" s="262">
        <v>941</v>
      </c>
      <c r="O984" s="401">
        <v>0.35810464243058382</v>
      </c>
    </row>
    <row r="985" spans="14:15" x14ac:dyDescent="0.35">
      <c r="N985" s="262">
        <v>942</v>
      </c>
      <c r="O985" s="401">
        <v>0.35601769164922215</v>
      </c>
    </row>
    <row r="986" spans="14:15" x14ac:dyDescent="0.35">
      <c r="N986" s="262">
        <v>943</v>
      </c>
      <c r="O986" s="401">
        <v>0.36284633008679945</v>
      </c>
    </row>
    <row r="987" spans="14:15" x14ac:dyDescent="0.35">
      <c r="N987" s="262">
        <v>944</v>
      </c>
      <c r="O987" s="401">
        <v>0.36364846467769807</v>
      </c>
    </row>
    <row r="988" spans="14:15" x14ac:dyDescent="0.35">
      <c r="N988" s="262">
        <v>945</v>
      </c>
      <c r="O988" s="401">
        <v>0.3570536171650025</v>
      </c>
    </row>
    <row r="989" spans="14:15" x14ac:dyDescent="0.35">
      <c r="N989" s="262">
        <v>946</v>
      </c>
      <c r="O989" s="401">
        <v>0.35534984087496602</v>
      </c>
    </row>
    <row r="990" spans="14:15" x14ac:dyDescent="0.35">
      <c r="N990" s="262">
        <v>947</v>
      </c>
      <c r="O990" s="401">
        <v>0.36420736167848577</v>
      </c>
    </row>
    <row r="991" spans="14:15" x14ac:dyDescent="0.35">
      <c r="N991" s="262">
        <v>948</v>
      </c>
      <c r="O991" s="401">
        <v>0.36835746528508539</v>
      </c>
    </row>
    <row r="992" spans="14:15" x14ac:dyDescent="0.35">
      <c r="N992" s="262">
        <v>949</v>
      </c>
      <c r="O992" s="401">
        <v>0.36436439190989511</v>
      </c>
    </row>
    <row r="993" spans="14:15" x14ac:dyDescent="0.35">
      <c r="N993" s="262">
        <v>950</v>
      </c>
      <c r="O993" s="401">
        <v>0.35975667497029162</v>
      </c>
    </row>
    <row r="994" spans="14:15" x14ac:dyDescent="0.35">
      <c r="N994" s="262">
        <v>951</v>
      </c>
      <c r="O994" s="401">
        <v>0.36208164390317532</v>
      </c>
    </row>
    <row r="995" spans="14:15" x14ac:dyDescent="0.35">
      <c r="N995" s="262">
        <v>952</v>
      </c>
      <c r="O995" s="401">
        <v>0.36469008698369842</v>
      </c>
    </row>
    <row r="996" spans="14:15" x14ac:dyDescent="0.35">
      <c r="N996" s="262">
        <v>953</v>
      </c>
      <c r="O996" s="401">
        <v>0.36947827750490703</v>
      </c>
    </row>
    <row r="997" spans="14:15" x14ac:dyDescent="0.35">
      <c r="N997" s="262">
        <v>954</v>
      </c>
      <c r="O997" s="401">
        <v>0.34028089341275281</v>
      </c>
    </row>
    <row r="998" spans="14:15" x14ac:dyDescent="0.35">
      <c r="N998" s="262">
        <v>955</v>
      </c>
      <c r="O998" s="401">
        <v>0.36658176678239895</v>
      </c>
    </row>
    <row r="999" spans="14:15" x14ac:dyDescent="0.35">
      <c r="N999" s="262">
        <v>956</v>
      </c>
      <c r="O999" s="401">
        <v>0.35965532451661897</v>
      </c>
    </row>
    <row r="1000" spans="14:15" x14ac:dyDescent="0.35">
      <c r="N1000" s="262">
        <v>957</v>
      </c>
      <c r="O1000" s="401">
        <v>0.35705826939400631</v>
      </c>
    </row>
    <row r="1001" spans="14:15" x14ac:dyDescent="0.35">
      <c r="N1001" s="262">
        <v>958</v>
      </c>
      <c r="O1001" s="401">
        <v>0.36347487077310503</v>
      </c>
    </row>
    <row r="1002" spans="14:15" x14ac:dyDescent="0.35">
      <c r="N1002" s="262">
        <v>959</v>
      </c>
      <c r="O1002" s="401">
        <v>0.36840365943651454</v>
      </c>
    </row>
    <row r="1003" spans="14:15" x14ac:dyDescent="0.35">
      <c r="N1003" s="262">
        <v>960</v>
      </c>
      <c r="O1003" s="401">
        <v>0.36073613348349576</v>
      </c>
    </row>
    <row r="1004" spans="14:15" x14ac:dyDescent="0.35">
      <c r="N1004" s="262">
        <v>961</v>
      </c>
      <c r="O1004" s="401">
        <v>0.36579519185946641</v>
      </c>
    </row>
    <row r="1005" spans="14:15" x14ac:dyDescent="0.35">
      <c r="N1005" s="262">
        <v>962</v>
      </c>
      <c r="O1005" s="401">
        <v>0.36906445846547697</v>
      </c>
    </row>
    <row r="1006" spans="14:15" x14ac:dyDescent="0.35">
      <c r="N1006" s="262">
        <v>963</v>
      </c>
      <c r="O1006" s="401">
        <v>0.36017003178548079</v>
      </c>
    </row>
    <row r="1007" spans="14:15" x14ac:dyDescent="0.35">
      <c r="N1007" s="262">
        <v>964</v>
      </c>
      <c r="O1007" s="401">
        <v>0.35893317397225366</v>
      </c>
    </row>
    <row r="1008" spans="14:15" x14ac:dyDescent="0.35">
      <c r="N1008" s="262">
        <v>965</v>
      </c>
      <c r="O1008" s="401">
        <v>0.35130107878217887</v>
      </c>
    </row>
    <row r="1009" spans="14:15" x14ac:dyDescent="0.35">
      <c r="N1009" s="262">
        <v>966</v>
      </c>
      <c r="O1009" s="401">
        <v>0.35440806801035807</v>
      </c>
    </row>
    <row r="1010" spans="14:15" x14ac:dyDescent="0.35">
      <c r="N1010" s="262">
        <v>967</v>
      </c>
      <c r="O1010" s="401">
        <v>0.35603019153434401</v>
      </c>
    </row>
    <row r="1011" spans="14:15" x14ac:dyDescent="0.35">
      <c r="N1011" s="262">
        <v>968</v>
      </c>
      <c r="O1011" s="401">
        <v>0.35983149415750759</v>
      </c>
    </row>
    <row r="1012" spans="14:15" x14ac:dyDescent="0.35">
      <c r="N1012" s="262">
        <v>969</v>
      </c>
      <c r="O1012" s="401">
        <v>0.35691419301350202</v>
      </c>
    </row>
    <row r="1013" spans="14:15" x14ac:dyDescent="0.35">
      <c r="N1013" s="262">
        <v>970</v>
      </c>
      <c r="O1013" s="401">
        <v>0.36390064595918981</v>
      </c>
    </row>
    <row r="1014" spans="14:15" x14ac:dyDescent="0.35">
      <c r="N1014" s="262">
        <v>971</v>
      </c>
      <c r="O1014" s="401">
        <v>0.3702345385600172</v>
      </c>
    </row>
    <row r="1015" spans="14:15" x14ac:dyDescent="0.35">
      <c r="N1015" s="262">
        <v>972</v>
      </c>
      <c r="O1015" s="401">
        <v>0.36218093964693665</v>
      </c>
    </row>
    <row r="1016" spans="14:15" x14ac:dyDescent="0.35">
      <c r="N1016" s="262">
        <v>973</v>
      </c>
      <c r="O1016" s="401">
        <v>0.36402993239267811</v>
      </c>
    </row>
    <row r="1017" spans="14:15" x14ac:dyDescent="0.35">
      <c r="N1017" s="262">
        <v>974</v>
      </c>
      <c r="O1017" s="401">
        <v>0.36211758901142499</v>
      </c>
    </row>
    <row r="1018" spans="14:15" x14ac:dyDescent="0.35">
      <c r="N1018" s="262">
        <v>975</v>
      </c>
      <c r="O1018" s="401">
        <v>0.35449253435164318</v>
      </c>
    </row>
    <row r="1019" spans="14:15" x14ac:dyDescent="0.35">
      <c r="N1019" s="262">
        <v>976</v>
      </c>
      <c r="O1019" s="401">
        <v>0.3681821684680231</v>
      </c>
    </row>
    <row r="1020" spans="14:15" x14ac:dyDescent="0.35">
      <c r="N1020" s="262">
        <v>977</v>
      </c>
      <c r="O1020" s="401">
        <v>0.37081250999331616</v>
      </c>
    </row>
    <row r="1021" spans="14:15" x14ac:dyDescent="0.35">
      <c r="N1021" s="262">
        <v>978</v>
      </c>
      <c r="O1021" s="401">
        <v>0.35393199115222318</v>
      </c>
    </row>
    <row r="1022" spans="14:15" x14ac:dyDescent="0.35">
      <c r="N1022" s="262">
        <v>979</v>
      </c>
      <c r="O1022" s="401">
        <v>0.36449858831937632</v>
      </c>
    </row>
    <row r="1023" spans="14:15" x14ac:dyDescent="0.35">
      <c r="N1023" s="262">
        <v>980</v>
      </c>
      <c r="O1023" s="401">
        <v>0.35513105657818334</v>
      </c>
    </row>
    <row r="1024" spans="14:15" x14ac:dyDescent="0.35">
      <c r="N1024" s="262">
        <v>981</v>
      </c>
      <c r="O1024" s="401">
        <v>0.36767639154716858</v>
      </c>
    </row>
    <row r="1025" spans="14:15" x14ac:dyDescent="0.35">
      <c r="N1025" s="262">
        <v>982</v>
      </c>
      <c r="O1025" s="401">
        <v>0.36486160921876531</v>
      </c>
    </row>
    <row r="1026" spans="14:15" x14ac:dyDescent="0.35">
      <c r="N1026" s="262">
        <v>983</v>
      </c>
      <c r="O1026" s="401">
        <v>0.35762099681223525</v>
      </c>
    </row>
    <row r="1027" spans="14:15" x14ac:dyDescent="0.35">
      <c r="N1027" s="262">
        <v>984</v>
      </c>
      <c r="O1027" s="401">
        <v>0.36246630503957356</v>
      </c>
    </row>
    <row r="1028" spans="14:15" x14ac:dyDescent="0.35">
      <c r="N1028" s="262">
        <v>985</v>
      </c>
      <c r="O1028" s="401">
        <v>0.35670722705166114</v>
      </c>
    </row>
    <row r="1029" spans="14:15" x14ac:dyDescent="0.35">
      <c r="N1029" s="262">
        <v>986</v>
      </c>
      <c r="O1029" s="401">
        <v>0.36968967622720372</v>
      </c>
    </row>
    <row r="1030" spans="14:15" x14ac:dyDescent="0.35">
      <c r="N1030" s="262">
        <v>987</v>
      </c>
      <c r="O1030" s="401">
        <v>0.36735712725832204</v>
      </c>
    </row>
    <row r="1031" spans="14:15" x14ac:dyDescent="0.35">
      <c r="N1031" s="262">
        <v>988</v>
      </c>
      <c r="O1031" s="401">
        <v>0.37252600736419805</v>
      </c>
    </row>
    <row r="1032" spans="14:15" x14ac:dyDescent="0.35">
      <c r="N1032" s="262">
        <v>989</v>
      </c>
      <c r="O1032" s="401">
        <v>0.36353758229676214</v>
      </c>
    </row>
    <row r="1033" spans="14:15" x14ac:dyDescent="0.35">
      <c r="N1033" s="262">
        <v>990</v>
      </c>
      <c r="O1033" s="401">
        <v>0.36871736230300267</v>
      </c>
    </row>
    <row r="1034" spans="14:15" x14ac:dyDescent="0.35">
      <c r="N1034" s="262">
        <v>991</v>
      </c>
      <c r="O1034" s="401">
        <v>0.38042929204332698</v>
      </c>
    </row>
    <row r="1035" spans="14:15" x14ac:dyDescent="0.35">
      <c r="N1035" s="262">
        <v>992</v>
      </c>
      <c r="O1035" s="401">
        <v>0.37323775767193546</v>
      </c>
    </row>
    <row r="1036" spans="14:15" x14ac:dyDescent="0.35">
      <c r="N1036" s="262">
        <v>993</v>
      </c>
      <c r="O1036" s="401">
        <v>0.34474972642960822</v>
      </c>
    </row>
    <row r="1037" spans="14:15" x14ac:dyDescent="0.35">
      <c r="N1037" s="262">
        <v>994</v>
      </c>
      <c r="O1037" s="401">
        <v>0.36561158120524606</v>
      </c>
    </row>
    <row r="1038" spans="14:15" x14ac:dyDescent="0.35">
      <c r="N1038" s="262">
        <v>995</v>
      </c>
      <c r="O1038" s="401">
        <v>0.36195452854038268</v>
      </c>
    </row>
    <row r="1039" spans="14:15" x14ac:dyDescent="0.35">
      <c r="N1039" s="262">
        <v>996</v>
      </c>
      <c r="O1039" s="401">
        <v>0.36377751882960752</v>
      </c>
    </row>
    <row r="1040" spans="14:15" x14ac:dyDescent="0.35">
      <c r="N1040" s="262">
        <v>997</v>
      </c>
      <c r="O1040" s="401">
        <v>0.36987762234324539</v>
      </c>
    </row>
    <row r="1041" spans="14:15" x14ac:dyDescent="0.35">
      <c r="N1041" s="262">
        <v>998</v>
      </c>
      <c r="O1041" s="401">
        <v>0.35572854196963877</v>
      </c>
    </row>
    <row r="1042" spans="14:15" x14ac:dyDescent="0.35">
      <c r="N1042" s="262">
        <v>999</v>
      </c>
      <c r="O1042" s="401">
        <v>0.35522545500606006</v>
      </c>
    </row>
    <row r="1043" spans="14:15" x14ac:dyDescent="0.35">
      <c r="N1043" s="262">
        <v>1000</v>
      </c>
      <c r="O1043" s="401">
        <v>0.3596436182916638</v>
      </c>
    </row>
  </sheetData>
  <sheetProtection algorithmName="SHA-512" hashValue="NwVHBXrNnLN9O6p1bGun8yYQy9IzXTtqnIWBS8UPr47f+x89QTXZGZHH2eWg0ID2rUaeScgcpfqTEwECekBqLA==" saltValue="0sEFYPlGHk6yL8e9vPcPZA==" spinCount="100000" sheet="1" objects="1" scenarios="1"/>
  <mergeCells count="6">
    <mergeCell ref="S54:T54"/>
    <mergeCell ref="S43:T43"/>
    <mergeCell ref="S44:T44"/>
    <mergeCell ref="S50:T50"/>
    <mergeCell ref="S51:T51"/>
    <mergeCell ref="S53:T53"/>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9718C-2FF4-4ED6-9DD0-ED8058455384}">
  <sheetPr codeName="Sheet18">
    <tabColor rgb="FFFF0000"/>
  </sheetPr>
  <dimension ref="A1:U79"/>
  <sheetViews>
    <sheetView showGridLines="0" zoomScale="82" zoomScaleNormal="40" zoomScalePageLayoutView="110" workbookViewId="0">
      <selection activeCell="AA27" sqref="AA27"/>
    </sheetView>
  </sheetViews>
  <sheetFormatPr defaultColWidth="8.33203125" defaultRowHeight="13" x14ac:dyDescent="0.3"/>
  <cols>
    <col min="1" max="1" width="8.33203125" style="1"/>
    <col min="2" max="2" width="0.58203125" style="1" customWidth="1"/>
    <col min="3" max="3" width="2.08203125" style="1" customWidth="1"/>
    <col min="4" max="5" width="6.83203125" style="1" customWidth="1"/>
    <col min="6" max="6" width="4.08203125" style="1" customWidth="1"/>
    <col min="7" max="8" width="6.83203125" style="1" customWidth="1"/>
    <col min="9" max="9" width="6.08203125" style="1" customWidth="1"/>
    <col min="10" max="11" width="6.83203125" style="1" customWidth="1"/>
    <col min="12" max="12" width="4.08203125" style="1" customWidth="1"/>
    <col min="13" max="14" width="6.83203125" style="1" customWidth="1"/>
    <col min="15" max="15" width="4.08203125" style="1" customWidth="1"/>
    <col min="16" max="17" width="6.83203125" style="1" customWidth="1"/>
    <col min="18" max="18" width="4.08203125" style="1" customWidth="1"/>
    <col min="19" max="20" width="6.83203125" style="1" customWidth="1"/>
    <col min="21" max="21" width="2.08203125" style="1" customWidth="1"/>
    <col min="22" max="23" width="0.58203125" style="1" customWidth="1"/>
    <col min="24" max="16384" width="8.33203125" style="1"/>
  </cols>
  <sheetData>
    <row r="1" spans="2:21" ht="15.5" x14ac:dyDescent="0.35">
      <c r="C1" s="2" t="s">
        <v>0</v>
      </c>
    </row>
    <row r="2" spans="2:21" ht="15.5" x14ac:dyDescent="0.35">
      <c r="C2" s="2"/>
    </row>
    <row r="3" spans="2:21" ht="15.5" x14ac:dyDescent="0.35">
      <c r="C3" s="2"/>
    </row>
    <row r="4" spans="2:21" ht="15.5" x14ac:dyDescent="0.35">
      <c r="C4" s="2"/>
    </row>
    <row r="5" spans="2:21" ht="15.5" x14ac:dyDescent="0.35">
      <c r="C5" s="2"/>
    </row>
    <row r="6" spans="2:21" ht="15.5" x14ac:dyDescent="0.35">
      <c r="C6" s="2"/>
    </row>
    <row r="7" spans="2:21" ht="15.5" x14ac:dyDescent="0.35">
      <c r="C7" s="2"/>
    </row>
    <row r="8" spans="2:21" ht="15.5" x14ac:dyDescent="0.35">
      <c r="C8" s="2"/>
    </row>
    <row r="9" spans="2:21" ht="15.5" x14ac:dyDescent="0.35">
      <c r="C9" s="2"/>
    </row>
    <row r="10" spans="2:21" ht="15.5" x14ac:dyDescent="0.35">
      <c r="C10" s="2"/>
    </row>
    <row r="11" spans="2:21" ht="15.5" x14ac:dyDescent="0.35">
      <c r="C11" s="2"/>
    </row>
    <row r="12" spans="2:21" ht="15.5" x14ac:dyDescent="0.35">
      <c r="C12" s="2"/>
    </row>
    <row r="13" spans="2:21" ht="15.5" x14ac:dyDescent="0.35">
      <c r="C13" s="2"/>
    </row>
    <row r="14" spans="2:21" ht="15.5" x14ac:dyDescent="0.35">
      <c r="C14" s="2"/>
    </row>
    <row r="15" spans="2:21" x14ac:dyDescent="0.3">
      <c r="U15" s="3"/>
    </row>
    <row r="16" spans="2:21" ht="18.5" x14ac:dyDescent="0.45">
      <c r="B16" s="4"/>
      <c r="C16" s="5"/>
      <c r="U16" s="6"/>
    </row>
    <row r="17" spans="3:3" x14ac:dyDescent="0.3">
      <c r="C17" s="7"/>
    </row>
    <row r="79" spans="1:2" x14ac:dyDescent="0.3">
      <c r="A79" s="1">
        <v>1</v>
      </c>
      <c r="B79" s="1" t="s">
        <v>495</v>
      </c>
    </row>
  </sheetData>
  <sheetProtection algorithmName="SHA-512" hashValue="Xl0ru2Q1vTCMRYU338Y5LfQ2Fku0QKW5NL6P/Zpopyz2rEl/+4rY19kkbsqAH+GKUlGGimU6mjAj1NKK1Z5YlQ==" saltValue="xYUO91vS5sqzyce/Mar12Q==" spinCount="100000" sheet="1" objects="1" scenarios="1"/>
  <printOptions horizontalCentered="1"/>
  <pageMargins left="0.74803149606299213" right="0.74803149606299213" top="0.74803149606299213" bottom="0.74803149606299213" header="0.31496062992125984" footer="0.31496062992125984"/>
  <pageSetup paperSize="9" orientation="landscape"/>
  <headerFooter alignWithMargins="0">
    <oddFooter>&amp;L&amp;"-,Regular"LeongTY&amp;R&amp;"-,Regular"&amp;F/&amp;A</oddFooter>
  </headerFooter>
  <colBreaks count="2" manualBreakCount="2">
    <brk id="22" max="1048575" man="1"/>
    <brk id="37" max="1048575" man="1"/>
  </colBreaks>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F9AFF-4749-40D2-885F-81CFFAF5D3D9}">
  <sheetPr codeName="Sheet19">
    <tabColor rgb="FFFFC000"/>
  </sheetPr>
  <dimension ref="A1:AJ96"/>
  <sheetViews>
    <sheetView showGridLines="0" topLeftCell="B1" zoomScale="49" zoomScaleNormal="49" workbookViewId="0">
      <selection activeCell="U8" sqref="U8:V8"/>
    </sheetView>
  </sheetViews>
  <sheetFormatPr defaultColWidth="8.83203125" defaultRowHeight="15.5" x14ac:dyDescent="0.35"/>
  <cols>
    <col min="1" max="1" width="15.5" style="82" bestFit="1" customWidth="1"/>
    <col min="2" max="2" width="27.58203125" bestFit="1" customWidth="1"/>
    <col min="3" max="3" width="28.08203125" bestFit="1" customWidth="1"/>
    <col min="4" max="5" width="10.33203125" bestFit="1" customWidth="1"/>
    <col min="6" max="6" width="10.58203125" bestFit="1" customWidth="1"/>
    <col min="7" max="7" width="10.33203125" bestFit="1" customWidth="1"/>
    <col min="8" max="8" width="11" bestFit="1" customWidth="1"/>
    <col min="9" max="9" width="10.08203125" bestFit="1" customWidth="1"/>
    <col min="10" max="10" width="9.5" bestFit="1" customWidth="1"/>
    <col min="11" max="11" width="10.5" bestFit="1" customWidth="1"/>
    <col min="12" max="13" width="10.33203125" bestFit="1" customWidth="1"/>
    <col min="14" max="14" width="10.58203125" bestFit="1" customWidth="1"/>
    <col min="15" max="15" width="10.5" style="82" bestFit="1" customWidth="1"/>
    <col min="16" max="17" width="12" style="82" customWidth="1"/>
    <col min="18" max="18" width="12" customWidth="1"/>
    <col min="19" max="19" width="17.58203125" style="512" bestFit="1" customWidth="1"/>
    <col min="20" max="21" width="11.5" style="512" bestFit="1" customWidth="1"/>
    <col min="22" max="22" width="11.83203125" style="512" bestFit="1" customWidth="1"/>
    <col min="23" max="23" width="11.5" style="512" bestFit="1" customWidth="1"/>
    <col min="24" max="24" width="12.08203125" style="512" bestFit="1" customWidth="1"/>
    <col min="25" max="25" width="11.5" style="510" bestFit="1" customWidth="1"/>
    <col min="26" max="26" width="11" style="510" bestFit="1" customWidth="1"/>
    <col min="27" max="28" width="11.83203125" style="510" bestFit="1" customWidth="1"/>
    <col min="29" max="29" width="11.33203125" style="510" bestFit="1" customWidth="1"/>
    <col min="30" max="31" width="11.83203125" style="510" bestFit="1" customWidth="1"/>
    <col min="32" max="32" width="10.33203125" style="510" bestFit="1" customWidth="1"/>
    <col min="33" max="33" width="10.33203125" bestFit="1" customWidth="1"/>
    <col min="34" max="36" width="44.08203125" customWidth="1"/>
    <col min="37" max="38" width="10.5" bestFit="1" customWidth="1"/>
    <col min="39" max="39" width="11.5" bestFit="1" customWidth="1"/>
    <col min="40" max="40" width="11" bestFit="1" customWidth="1"/>
    <col min="41" max="43" width="11.5" bestFit="1" customWidth="1"/>
  </cols>
  <sheetData>
    <row r="1" spans="1:36" x14ac:dyDescent="0.35">
      <c r="A1" s="166" t="s">
        <v>75</v>
      </c>
      <c r="R1" s="510"/>
      <c r="S1" s="511" t="s">
        <v>88</v>
      </c>
      <c r="T1" s="509">
        <v>2015</v>
      </c>
    </row>
    <row r="2" spans="1:36" x14ac:dyDescent="0.35">
      <c r="A2" s="165" t="s">
        <v>88</v>
      </c>
      <c r="B2" s="165" t="s">
        <v>117</v>
      </c>
      <c r="C2" s="75" t="s">
        <v>76</v>
      </c>
      <c r="D2" s="75" t="s">
        <v>77</v>
      </c>
      <c r="E2" s="73" t="s">
        <v>78</v>
      </c>
      <c r="F2" s="73" t="s">
        <v>79</v>
      </c>
      <c r="G2" s="75" t="s">
        <v>80</v>
      </c>
      <c r="H2" s="75" t="s">
        <v>81</v>
      </c>
      <c r="I2" s="75" t="s">
        <v>82</v>
      </c>
      <c r="J2" s="73" t="s">
        <v>83</v>
      </c>
      <c r="K2" s="73" t="s">
        <v>84</v>
      </c>
      <c r="L2" s="73" t="s">
        <v>85</v>
      </c>
      <c r="M2" s="73" t="s">
        <v>86</v>
      </c>
      <c r="N2" s="75" t="s">
        <v>87</v>
      </c>
      <c r="O2" s="109"/>
      <c r="P2" s="109"/>
      <c r="Q2" s="109"/>
      <c r="R2" s="513"/>
      <c r="S2" s="510"/>
      <c r="T2" s="510"/>
      <c r="U2" s="510"/>
      <c r="V2" s="510"/>
      <c r="W2" s="510"/>
      <c r="X2" s="510"/>
      <c r="AH2" s="299" t="s">
        <v>342</v>
      </c>
      <c r="AI2" s="300"/>
      <c r="AJ2" s="301"/>
    </row>
    <row r="3" spans="1:36" x14ac:dyDescent="0.35">
      <c r="A3" s="165">
        <v>2014</v>
      </c>
      <c r="B3" s="76" t="s">
        <v>89</v>
      </c>
      <c r="C3" s="74">
        <v>30</v>
      </c>
      <c r="D3" s="74">
        <v>36</v>
      </c>
      <c r="E3" s="74">
        <v>12</v>
      </c>
      <c r="F3" s="74">
        <v>11</v>
      </c>
      <c r="G3" s="74">
        <v>23</v>
      </c>
      <c r="H3" s="74">
        <v>24</v>
      </c>
      <c r="I3" s="74">
        <v>24</v>
      </c>
      <c r="J3" s="74">
        <v>12</v>
      </c>
      <c r="K3" s="74">
        <v>17</v>
      </c>
      <c r="L3" s="74">
        <v>16</v>
      </c>
      <c r="M3" s="74">
        <v>26</v>
      </c>
      <c r="N3" s="74">
        <v>52</v>
      </c>
      <c r="P3" s="109"/>
      <c r="Q3" s="109"/>
      <c r="R3" s="514"/>
      <c r="S3" s="511" t="s">
        <v>411</v>
      </c>
      <c r="T3" s="510" t="s">
        <v>399</v>
      </c>
      <c r="U3" s="510" t="s">
        <v>400</v>
      </c>
      <c r="V3" s="510" t="s">
        <v>401</v>
      </c>
      <c r="W3" s="510" t="s">
        <v>402</v>
      </c>
      <c r="X3" s="510" t="s">
        <v>403</v>
      </c>
      <c r="Y3" s="510" t="s">
        <v>404</v>
      </c>
      <c r="Z3" s="510" t="s">
        <v>405</v>
      </c>
      <c r="AA3" s="510" t="s">
        <v>406</v>
      </c>
      <c r="AB3" s="510" t="s">
        <v>407</v>
      </c>
      <c r="AC3" s="510" t="s">
        <v>408</v>
      </c>
      <c r="AD3" s="510" t="s">
        <v>409</v>
      </c>
      <c r="AE3" s="510" t="s">
        <v>410</v>
      </c>
      <c r="AH3" s="302" t="s">
        <v>105</v>
      </c>
      <c r="AI3" s="303" t="s">
        <v>107</v>
      </c>
      <c r="AJ3" s="304" t="s">
        <v>106</v>
      </c>
    </row>
    <row r="4" spans="1:36" x14ac:dyDescent="0.35">
      <c r="A4" s="165">
        <v>2014</v>
      </c>
      <c r="B4" s="76" t="s">
        <v>90</v>
      </c>
      <c r="C4" s="74">
        <v>21</v>
      </c>
      <c r="D4" s="74">
        <v>24</v>
      </c>
      <c r="E4" s="74">
        <v>8</v>
      </c>
      <c r="F4" s="74">
        <v>9</v>
      </c>
      <c r="G4" s="74">
        <v>20</v>
      </c>
      <c r="H4" s="74">
        <v>17</v>
      </c>
      <c r="I4" s="74">
        <v>20</v>
      </c>
      <c r="J4" s="74">
        <v>9</v>
      </c>
      <c r="K4" s="74">
        <v>12</v>
      </c>
      <c r="L4" s="74">
        <v>10</v>
      </c>
      <c r="M4" s="74">
        <v>19</v>
      </c>
      <c r="N4" s="74">
        <v>43</v>
      </c>
      <c r="P4" s="109"/>
      <c r="Q4" s="109"/>
      <c r="R4" s="514"/>
      <c r="S4" s="509" t="s">
        <v>91</v>
      </c>
      <c r="T4" s="510">
        <v>23</v>
      </c>
      <c r="U4" s="510">
        <v>28</v>
      </c>
      <c r="V4" s="510">
        <v>19</v>
      </c>
      <c r="W4" s="510">
        <v>18</v>
      </c>
      <c r="X4" s="510">
        <v>26</v>
      </c>
      <c r="Y4" s="510">
        <v>28</v>
      </c>
      <c r="Z4" s="510">
        <v>30</v>
      </c>
      <c r="AA4" s="510">
        <v>17</v>
      </c>
      <c r="AB4" s="510">
        <v>16</v>
      </c>
      <c r="AC4" s="510">
        <v>20</v>
      </c>
      <c r="AD4" s="510">
        <v>21</v>
      </c>
      <c r="AE4" s="510">
        <v>35</v>
      </c>
      <c r="AH4" s="319" t="s">
        <v>713</v>
      </c>
      <c r="AI4" t="s">
        <v>88</v>
      </c>
      <c r="AJ4" s="318" t="s">
        <v>344</v>
      </c>
    </row>
    <row r="5" spans="1:36" x14ac:dyDescent="0.35">
      <c r="A5" s="165">
        <v>2014</v>
      </c>
      <c r="B5" s="76" t="s">
        <v>91</v>
      </c>
      <c r="C5" s="74">
        <v>12</v>
      </c>
      <c r="D5" s="74">
        <v>20</v>
      </c>
      <c r="E5" s="74">
        <v>7</v>
      </c>
      <c r="F5" s="74">
        <v>6</v>
      </c>
      <c r="G5" s="74">
        <v>14</v>
      </c>
      <c r="H5" s="74">
        <v>16</v>
      </c>
      <c r="I5" s="74">
        <v>18</v>
      </c>
      <c r="J5" s="74">
        <v>7</v>
      </c>
      <c r="K5" s="74">
        <v>9</v>
      </c>
      <c r="L5" s="74">
        <v>9</v>
      </c>
      <c r="M5" s="74">
        <v>14</v>
      </c>
      <c r="N5" s="74">
        <v>42</v>
      </c>
      <c r="P5" s="109"/>
      <c r="Q5" s="109"/>
      <c r="R5" s="514"/>
      <c r="S5" s="509" t="s">
        <v>89</v>
      </c>
      <c r="T5" s="510">
        <v>65</v>
      </c>
      <c r="U5" s="510">
        <v>75</v>
      </c>
      <c r="V5" s="510">
        <v>59</v>
      </c>
      <c r="W5" s="510">
        <v>56</v>
      </c>
      <c r="X5" s="510">
        <v>68</v>
      </c>
      <c r="Y5" s="510">
        <v>58</v>
      </c>
      <c r="Z5" s="510">
        <v>70</v>
      </c>
      <c r="AA5" s="510">
        <v>57</v>
      </c>
      <c r="AB5" s="510">
        <v>59</v>
      </c>
      <c r="AC5" s="510">
        <v>54</v>
      </c>
      <c r="AD5" s="510">
        <v>63</v>
      </c>
      <c r="AE5" s="510">
        <v>85</v>
      </c>
      <c r="AH5" s="319" t="s">
        <v>465</v>
      </c>
      <c r="AI5" t="s">
        <v>714</v>
      </c>
      <c r="AJ5" s="318" t="s">
        <v>344</v>
      </c>
    </row>
    <row r="6" spans="1:36" x14ac:dyDescent="0.35">
      <c r="A6" s="165">
        <v>2015</v>
      </c>
      <c r="B6" s="76" t="s">
        <v>89</v>
      </c>
      <c r="C6" s="74">
        <v>65</v>
      </c>
      <c r="D6" s="74">
        <v>75</v>
      </c>
      <c r="E6" s="74">
        <v>59</v>
      </c>
      <c r="F6" s="74">
        <v>56</v>
      </c>
      <c r="G6" s="74">
        <v>68</v>
      </c>
      <c r="H6" s="74">
        <v>58</v>
      </c>
      <c r="I6" s="74">
        <v>70</v>
      </c>
      <c r="J6" s="74">
        <v>57</v>
      </c>
      <c r="K6" s="74">
        <v>59</v>
      </c>
      <c r="L6" s="74">
        <v>54</v>
      </c>
      <c r="M6" s="74">
        <v>63</v>
      </c>
      <c r="N6" s="74">
        <v>85</v>
      </c>
      <c r="P6" s="109"/>
      <c r="Q6" s="109"/>
      <c r="R6" s="514"/>
      <c r="S6" s="509" t="s">
        <v>90</v>
      </c>
      <c r="T6" s="510">
        <v>50</v>
      </c>
      <c r="U6" s="510">
        <v>66</v>
      </c>
      <c r="V6" s="510">
        <v>51</v>
      </c>
      <c r="W6" s="510">
        <v>48</v>
      </c>
      <c r="X6" s="510">
        <v>60</v>
      </c>
      <c r="Y6" s="510">
        <v>50</v>
      </c>
      <c r="Z6" s="510">
        <v>62</v>
      </c>
      <c r="AA6" s="510">
        <v>47</v>
      </c>
      <c r="AB6" s="510">
        <v>51</v>
      </c>
      <c r="AC6" s="510">
        <v>46</v>
      </c>
      <c r="AD6" s="510">
        <v>45</v>
      </c>
      <c r="AE6" s="510">
        <v>71</v>
      </c>
      <c r="AH6" s="319" t="s">
        <v>467</v>
      </c>
      <c r="AI6" t="s">
        <v>764</v>
      </c>
      <c r="AJ6" s="318" t="s">
        <v>344</v>
      </c>
    </row>
    <row r="7" spans="1:36" x14ac:dyDescent="0.35">
      <c r="A7" s="165">
        <v>2015</v>
      </c>
      <c r="B7" s="76" t="s">
        <v>90</v>
      </c>
      <c r="C7" s="74">
        <v>50</v>
      </c>
      <c r="D7" s="74">
        <v>66</v>
      </c>
      <c r="E7" s="74">
        <v>51</v>
      </c>
      <c r="F7" s="74">
        <v>48</v>
      </c>
      <c r="G7" s="74">
        <v>60</v>
      </c>
      <c r="H7" s="74">
        <v>50</v>
      </c>
      <c r="I7" s="74">
        <v>62</v>
      </c>
      <c r="J7" s="74">
        <v>47</v>
      </c>
      <c r="K7" s="74">
        <v>51</v>
      </c>
      <c r="L7" s="74">
        <v>46</v>
      </c>
      <c r="M7" s="74">
        <v>45</v>
      </c>
      <c r="N7" s="74">
        <v>71</v>
      </c>
      <c r="P7" s="109"/>
      <c r="Q7" s="109"/>
      <c r="R7" s="514"/>
      <c r="S7" s="509" t="s">
        <v>412</v>
      </c>
      <c r="T7" s="510">
        <v>138</v>
      </c>
      <c r="U7" s="510">
        <v>169</v>
      </c>
      <c r="V7" s="510">
        <v>129</v>
      </c>
      <c r="W7" s="510">
        <v>122</v>
      </c>
      <c r="X7" s="510">
        <v>154</v>
      </c>
      <c r="Y7" s="510">
        <v>136</v>
      </c>
      <c r="Z7" s="510">
        <v>162</v>
      </c>
      <c r="AA7" s="510">
        <v>121</v>
      </c>
      <c r="AB7" s="510">
        <v>126</v>
      </c>
      <c r="AC7" s="510">
        <v>120</v>
      </c>
      <c r="AD7" s="510">
        <v>129</v>
      </c>
      <c r="AE7" s="510">
        <v>191</v>
      </c>
      <c r="AH7" s="319" t="s">
        <v>468</v>
      </c>
      <c r="AI7" t="s">
        <v>766</v>
      </c>
      <c r="AJ7" s="318" t="s">
        <v>344</v>
      </c>
    </row>
    <row r="8" spans="1:36" x14ac:dyDescent="0.35">
      <c r="A8" s="165">
        <v>2015</v>
      </c>
      <c r="B8" s="76" t="s">
        <v>91</v>
      </c>
      <c r="C8" s="74">
        <v>23</v>
      </c>
      <c r="D8" s="74">
        <v>28</v>
      </c>
      <c r="E8" s="74">
        <v>19</v>
      </c>
      <c r="F8" s="74">
        <v>18</v>
      </c>
      <c r="G8" s="74">
        <v>26</v>
      </c>
      <c r="H8" s="74">
        <v>28</v>
      </c>
      <c r="I8" s="74">
        <v>30</v>
      </c>
      <c r="J8" s="74">
        <v>17</v>
      </c>
      <c r="K8" s="74">
        <v>16</v>
      </c>
      <c r="L8" s="74">
        <v>20</v>
      </c>
      <c r="M8" s="74">
        <v>21</v>
      </c>
      <c r="N8" s="74">
        <v>35</v>
      </c>
      <c r="P8" s="109"/>
      <c r="Q8" s="109"/>
      <c r="R8" s="514"/>
      <c r="S8" s="510"/>
      <c r="T8" s="510"/>
      <c r="U8" s="510"/>
      <c r="AH8" s="319" t="s">
        <v>470</v>
      </c>
      <c r="AI8" t="s">
        <v>767</v>
      </c>
      <c r="AJ8" s="318" t="s">
        <v>344</v>
      </c>
    </row>
    <row r="9" spans="1:36" x14ac:dyDescent="0.35">
      <c r="A9" s="165">
        <v>2016</v>
      </c>
      <c r="B9" s="76" t="s">
        <v>89</v>
      </c>
      <c r="C9" s="74">
        <v>58</v>
      </c>
      <c r="D9" s="74">
        <v>68</v>
      </c>
      <c r="E9" s="74">
        <v>55</v>
      </c>
      <c r="F9" s="74">
        <v>56</v>
      </c>
      <c r="G9" s="74">
        <v>72</v>
      </c>
      <c r="H9" s="74">
        <v>70</v>
      </c>
      <c r="I9" s="74">
        <v>72</v>
      </c>
      <c r="J9" s="74">
        <v>61</v>
      </c>
      <c r="K9" s="74">
        <v>57</v>
      </c>
      <c r="L9" s="74">
        <v>57</v>
      </c>
      <c r="M9" s="74">
        <v>55</v>
      </c>
      <c r="N9" s="74">
        <v>77</v>
      </c>
      <c r="P9" s="109"/>
      <c r="Q9" s="109"/>
      <c r="R9" s="72"/>
      <c r="S9" s="510"/>
      <c r="T9" s="510"/>
      <c r="U9" s="510"/>
      <c r="AH9" s="319" t="s">
        <v>765</v>
      </c>
      <c r="AI9" t="s">
        <v>768</v>
      </c>
      <c r="AJ9" s="318" t="s">
        <v>344</v>
      </c>
    </row>
    <row r="10" spans="1:36" x14ac:dyDescent="0.35">
      <c r="A10" s="165">
        <v>2016</v>
      </c>
      <c r="B10" s="76" t="s">
        <v>90</v>
      </c>
      <c r="C10" s="74">
        <v>56</v>
      </c>
      <c r="D10" s="74">
        <v>57</v>
      </c>
      <c r="E10" s="74">
        <v>48</v>
      </c>
      <c r="F10" s="74">
        <v>50</v>
      </c>
      <c r="G10" s="74">
        <v>61</v>
      </c>
      <c r="H10" s="74">
        <v>60</v>
      </c>
      <c r="I10" s="74">
        <v>59</v>
      </c>
      <c r="J10" s="74">
        <v>48</v>
      </c>
      <c r="K10" s="74">
        <v>47</v>
      </c>
      <c r="L10" s="74">
        <v>50</v>
      </c>
      <c r="M10" s="74">
        <v>49</v>
      </c>
      <c r="N10" s="74">
        <v>67</v>
      </c>
      <c r="P10" s="109"/>
      <c r="Q10" s="109"/>
      <c r="R10" s="72"/>
      <c r="S10" s="510"/>
      <c r="T10" s="510"/>
      <c r="U10" s="510"/>
      <c r="AH10" s="319" t="s">
        <v>769</v>
      </c>
      <c r="AI10" t="s">
        <v>770</v>
      </c>
      <c r="AJ10" s="318" t="s">
        <v>344</v>
      </c>
    </row>
    <row r="11" spans="1:36" x14ac:dyDescent="0.35">
      <c r="A11" s="165">
        <v>2016</v>
      </c>
      <c r="B11" s="76" t="s">
        <v>91</v>
      </c>
      <c r="C11" s="74">
        <v>22</v>
      </c>
      <c r="D11" s="74">
        <v>31</v>
      </c>
      <c r="E11" s="74">
        <v>19</v>
      </c>
      <c r="F11" s="74">
        <v>18</v>
      </c>
      <c r="G11" s="74">
        <v>26</v>
      </c>
      <c r="H11" s="74">
        <v>25</v>
      </c>
      <c r="I11" s="74">
        <v>27</v>
      </c>
      <c r="J11" s="74">
        <v>18</v>
      </c>
      <c r="K11" s="74">
        <v>19</v>
      </c>
      <c r="L11" s="74">
        <v>22</v>
      </c>
      <c r="M11" s="74">
        <v>17</v>
      </c>
      <c r="N11" s="74">
        <v>42</v>
      </c>
      <c r="P11" s="109"/>
      <c r="Q11" s="109"/>
      <c r="R11" s="72"/>
      <c r="S11" s="510"/>
      <c r="T11" s="510"/>
      <c r="U11" s="510"/>
      <c r="AH11" s="319" t="s">
        <v>771</v>
      </c>
      <c r="AI11" t="s">
        <v>772</v>
      </c>
      <c r="AJ11" s="318" t="s">
        <v>344</v>
      </c>
    </row>
    <row r="12" spans="1:36" x14ac:dyDescent="0.35">
      <c r="A12" s="165">
        <v>2017</v>
      </c>
      <c r="B12" s="76" t="s">
        <v>89</v>
      </c>
      <c r="C12" s="74">
        <v>67</v>
      </c>
      <c r="D12" s="74">
        <v>70</v>
      </c>
      <c r="E12" s="74">
        <v>60</v>
      </c>
      <c r="F12" s="74">
        <v>59</v>
      </c>
      <c r="G12" s="74">
        <v>66</v>
      </c>
      <c r="H12" s="74">
        <v>69</v>
      </c>
      <c r="I12" s="74">
        <v>64</v>
      </c>
      <c r="J12" s="74">
        <v>57</v>
      </c>
      <c r="K12" s="74">
        <v>58</v>
      </c>
      <c r="L12" s="74">
        <v>59</v>
      </c>
      <c r="M12" s="74">
        <v>58</v>
      </c>
      <c r="N12" s="74">
        <v>73</v>
      </c>
      <c r="P12" s="109"/>
      <c r="Q12" s="109"/>
      <c r="R12" s="72"/>
      <c r="S12" s="510"/>
      <c r="T12" s="510"/>
      <c r="U12" s="510"/>
      <c r="AH12" s="319" t="s">
        <v>773</v>
      </c>
      <c r="AI12" t="s">
        <v>774</v>
      </c>
      <c r="AJ12" s="318" t="s">
        <v>344</v>
      </c>
    </row>
    <row r="13" spans="1:36" x14ac:dyDescent="0.35">
      <c r="A13" s="165">
        <v>2017</v>
      </c>
      <c r="B13" s="76" t="s">
        <v>90</v>
      </c>
      <c r="C13" s="74">
        <v>71</v>
      </c>
      <c r="D13" s="74">
        <v>76</v>
      </c>
      <c r="E13" s="74">
        <v>63</v>
      </c>
      <c r="F13" s="74">
        <v>65</v>
      </c>
      <c r="G13" s="74">
        <v>71</v>
      </c>
      <c r="H13" s="74">
        <v>73</v>
      </c>
      <c r="I13" s="74">
        <v>70</v>
      </c>
      <c r="J13" s="74">
        <v>63</v>
      </c>
      <c r="K13" s="74">
        <v>62</v>
      </c>
      <c r="L13" s="74">
        <v>63</v>
      </c>
      <c r="M13" s="74">
        <v>70</v>
      </c>
      <c r="N13" s="74">
        <v>92</v>
      </c>
      <c r="P13" s="109"/>
      <c r="Q13" s="109"/>
      <c r="R13" s="72"/>
      <c r="S13" s="510"/>
      <c r="T13" s="510"/>
      <c r="U13" s="510"/>
      <c r="AH13" s="319" t="s">
        <v>618</v>
      </c>
      <c r="AI13" t="s">
        <v>775</v>
      </c>
      <c r="AJ13" s="318" t="s">
        <v>344</v>
      </c>
    </row>
    <row r="14" spans="1:36" x14ac:dyDescent="0.35">
      <c r="A14" s="165">
        <v>2017</v>
      </c>
      <c r="B14" s="76" t="s">
        <v>91</v>
      </c>
      <c r="C14" s="74">
        <v>29</v>
      </c>
      <c r="D14" s="74">
        <v>32</v>
      </c>
      <c r="E14" s="74">
        <v>22</v>
      </c>
      <c r="F14" s="74">
        <v>20</v>
      </c>
      <c r="G14" s="74">
        <v>22</v>
      </c>
      <c r="H14" s="74">
        <v>25</v>
      </c>
      <c r="I14" s="74">
        <v>19</v>
      </c>
      <c r="J14" s="74">
        <v>15</v>
      </c>
      <c r="K14" s="74">
        <v>21</v>
      </c>
      <c r="L14" s="74">
        <v>22</v>
      </c>
      <c r="M14" s="74">
        <v>16</v>
      </c>
      <c r="N14" s="74">
        <v>39</v>
      </c>
      <c r="P14" s="109"/>
      <c r="Q14" s="109"/>
      <c r="R14" s="72"/>
      <c r="S14" s="510"/>
      <c r="T14" s="510"/>
      <c r="U14" s="510"/>
      <c r="AH14" s="319" t="s">
        <v>776</v>
      </c>
      <c r="AI14" t="s">
        <v>777</v>
      </c>
      <c r="AJ14" s="318" t="s">
        <v>344</v>
      </c>
    </row>
    <row r="15" spans="1:36" x14ac:dyDescent="0.35">
      <c r="A15" s="165">
        <v>2018</v>
      </c>
      <c r="B15" s="76" t="s">
        <v>89</v>
      </c>
      <c r="C15" s="74">
        <v>62</v>
      </c>
      <c r="D15" s="74">
        <v>74</v>
      </c>
      <c r="E15" s="74">
        <v>61</v>
      </c>
      <c r="F15" s="74">
        <v>60</v>
      </c>
      <c r="G15" s="74">
        <v>66</v>
      </c>
      <c r="H15" s="74">
        <v>71</v>
      </c>
      <c r="I15" s="74">
        <v>60</v>
      </c>
      <c r="J15" s="74">
        <v>54</v>
      </c>
      <c r="K15" s="74">
        <v>57</v>
      </c>
      <c r="L15" s="74">
        <v>61</v>
      </c>
      <c r="M15" s="74">
        <v>53</v>
      </c>
      <c r="N15" s="74">
        <v>83</v>
      </c>
      <c r="P15" s="109"/>
      <c r="Q15" s="109"/>
      <c r="R15" s="72"/>
      <c r="S15" s="510"/>
      <c r="T15" s="510"/>
      <c r="U15" s="510"/>
      <c r="AH15" s="319" t="s">
        <v>778</v>
      </c>
      <c r="AI15" t="s">
        <v>779</v>
      </c>
      <c r="AJ15" s="318" t="s">
        <v>344</v>
      </c>
    </row>
    <row r="16" spans="1:36" x14ac:dyDescent="0.35">
      <c r="A16" s="165">
        <v>2018</v>
      </c>
      <c r="B16" s="76" t="s">
        <v>90</v>
      </c>
      <c r="C16" s="74">
        <v>65</v>
      </c>
      <c r="D16" s="74">
        <v>72</v>
      </c>
      <c r="E16" s="74">
        <v>60</v>
      </c>
      <c r="F16" s="74">
        <v>58</v>
      </c>
      <c r="G16" s="74">
        <v>70</v>
      </c>
      <c r="H16" s="74">
        <v>78</v>
      </c>
      <c r="I16" s="74">
        <v>68</v>
      </c>
      <c r="J16" s="74">
        <v>66</v>
      </c>
      <c r="K16" s="74">
        <v>70</v>
      </c>
      <c r="L16" s="74">
        <v>53</v>
      </c>
      <c r="M16" s="74">
        <v>65</v>
      </c>
      <c r="N16" s="74">
        <v>102</v>
      </c>
      <c r="P16" s="109"/>
      <c r="Q16" s="109"/>
      <c r="R16" s="72"/>
      <c r="S16" s="510"/>
      <c r="T16" s="510"/>
      <c r="U16" s="510"/>
      <c r="AH16" s="319" t="s">
        <v>780</v>
      </c>
      <c r="AI16" t="s">
        <v>781</v>
      </c>
      <c r="AJ16" s="318" t="s">
        <v>344</v>
      </c>
    </row>
    <row r="17" spans="1:36" x14ac:dyDescent="0.35">
      <c r="A17" s="165">
        <v>2018</v>
      </c>
      <c r="B17" s="76" t="s">
        <v>91</v>
      </c>
      <c r="C17" s="74">
        <v>23</v>
      </c>
      <c r="D17" s="74">
        <v>34</v>
      </c>
      <c r="E17" s="74">
        <v>17</v>
      </c>
      <c r="F17" s="74">
        <v>13</v>
      </c>
      <c r="G17" s="74">
        <v>26</v>
      </c>
      <c r="H17" s="74">
        <v>28</v>
      </c>
      <c r="I17" s="74">
        <v>24</v>
      </c>
      <c r="J17" s="74">
        <v>22</v>
      </c>
      <c r="K17" s="74">
        <v>20</v>
      </c>
      <c r="L17" s="74">
        <v>21</v>
      </c>
      <c r="M17" s="74">
        <v>20</v>
      </c>
      <c r="N17" s="74">
        <v>47</v>
      </c>
      <c r="P17" s="109"/>
      <c r="Q17" s="109"/>
      <c r="R17" s="72"/>
      <c r="S17" s="510"/>
      <c r="T17" s="510"/>
      <c r="U17" s="510"/>
      <c r="AH17" s="319" t="s">
        <v>782</v>
      </c>
      <c r="AI17" t="s">
        <v>783</v>
      </c>
      <c r="AJ17" s="318" t="s">
        <v>344</v>
      </c>
    </row>
    <row r="18" spans="1:36" x14ac:dyDescent="0.35">
      <c r="C18" s="71"/>
      <c r="D18" s="71"/>
      <c r="E18" s="71"/>
      <c r="F18" s="71"/>
      <c r="G18" s="71"/>
      <c r="H18" s="71"/>
      <c r="I18" s="71"/>
      <c r="J18" s="71"/>
      <c r="K18" s="71"/>
      <c r="L18" s="71"/>
      <c r="M18" s="71"/>
      <c r="N18" s="71"/>
      <c r="S18" s="510"/>
      <c r="T18" s="510"/>
      <c r="U18" s="510"/>
      <c r="AH18" s="319" t="s">
        <v>715</v>
      </c>
      <c r="AI18" t="s">
        <v>716</v>
      </c>
      <c r="AJ18" s="318" t="s">
        <v>717</v>
      </c>
    </row>
    <row r="19" spans="1:36" x14ac:dyDescent="0.35">
      <c r="C19" s="71"/>
      <c r="D19" s="71"/>
      <c r="E19" s="71"/>
      <c r="F19" s="71"/>
      <c r="G19" s="71"/>
      <c r="H19" s="71"/>
      <c r="I19" s="71"/>
      <c r="J19" s="71"/>
      <c r="K19" s="71"/>
      <c r="L19" s="71"/>
      <c r="M19" s="71"/>
      <c r="N19" s="71"/>
      <c r="S19" s="510"/>
      <c r="T19" s="510"/>
      <c r="U19" s="510"/>
      <c r="AH19" s="319" t="s">
        <v>793</v>
      </c>
      <c r="AI19" t="s">
        <v>794</v>
      </c>
      <c r="AJ19" s="318"/>
    </row>
    <row r="20" spans="1:36" x14ac:dyDescent="0.35">
      <c r="C20" s="71"/>
      <c r="D20" s="71"/>
      <c r="E20" s="71"/>
      <c r="F20" s="71"/>
      <c r="G20" s="71"/>
      <c r="H20" s="71"/>
      <c r="I20" s="71"/>
      <c r="J20" s="71"/>
      <c r="K20" s="71"/>
      <c r="L20" s="71"/>
      <c r="M20" s="71"/>
      <c r="N20" s="71"/>
      <c r="AH20" s="319" t="s">
        <v>795</v>
      </c>
      <c r="AI20" t="s">
        <v>796</v>
      </c>
      <c r="AJ20" s="318"/>
    </row>
    <row r="21" spans="1:36" x14ac:dyDescent="0.35">
      <c r="C21" s="71"/>
      <c r="D21" s="71"/>
      <c r="E21" s="71"/>
      <c r="F21" s="71"/>
      <c r="G21" s="71"/>
      <c r="H21" s="71"/>
      <c r="I21" s="71"/>
      <c r="J21" s="71"/>
      <c r="K21" s="71"/>
      <c r="L21" s="71"/>
      <c r="M21" s="71"/>
      <c r="N21" s="71"/>
      <c r="AH21" s="319" t="s">
        <v>797</v>
      </c>
      <c r="AI21" t="s">
        <v>798</v>
      </c>
      <c r="AJ21" s="318"/>
    </row>
    <row r="22" spans="1:36" x14ac:dyDescent="0.35">
      <c r="C22" s="71"/>
      <c r="D22" s="71"/>
      <c r="E22" s="71"/>
      <c r="F22" s="71"/>
      <c r="G22" s="71"/>
      <c r="H22" s="71"/>
      <c r="I22" s="71"/>
      <c r="J22" s="71"/>
      <c r="K22" s="71"/>
      <c r="L22" s="71"/>
      <c r="M22" s="71"/>
      <c r="N22" s="71"/>
      <c r="AH22" s="319" t="s">
        <v>799</v>
      </c>
      <c r="AI22" t="s">
        <v>800</v>
      </c>
      <c r="AJ22" s="318"/>
    </row>
    <row r="23" spans="1:36" x14ac:dyDescent="0.35">
      <c r="C23" s="71"/>
      <c r="D23" s="71"/>
      <c r="E23" s="71"/>
      <c r="F23" s="71"/>
      <c r="G23" s="71"/>
      <c r="H23" s="71"/>
      <c r="I23" s="71"/>
      <c r="J23" s="71"/>
      <c r="K23" s="71"/>
      <c r="L23" s="71"/>
      <c r="M23" s="71"/>
      <c r="N23" s="71"/>
      <c r="AH23" s="319"/>
      <c r="AJ23" s="318"/>
    </row>
    <row r="24" spans="1:36" x14ac:dyDescent="0.35">
      <c r="C24" s="71"/>
      <c r="D24" s="71"/>
      <c r="E24" s="71"/>
      <c r="F24" s="71"/>
      <c r="G24" s="71"/>
      <c r="H24" s="71"/>
      <c r="I24" s="71"/>
      <c r="J24" s="71"/>
      <c r="K24" s="71"/>
      <c r="L24" s="71"/>
      <c r="M24" s="71"/>
      <c r="N24" s="71"/>
      <c r="AH24" s="319"/>
      <c r="AJ24" s="318"/>
    </row>
    <row r="25" spans="1:36" x14ac:dyDescent="0.35">
      <c r="C25" s="71"/>
      <c r="D25" s="71"/>
      <c r="E25" s="71"/>
      <c r="F25" s="71"/>
      <c r="G25" s="71"/>
      <c r="H25" s="71"/>
      <c r="I25" s="71"/>
      <c r="J25" s="71"/>
      <c r="K25" s="71"/>
      <c r="L25" s="71"/>
      <c r="M25" s="71"/>
      <c r="N25" s="71"/>
      <c r="AH25" s="319"/>
      <c r="AJ25" s="318"/>
    </row>
    <row r="26" spans="1:36" x14ac:dyDescent="0.35">
      <c r="C26" s="71"/>
      <c r="D26" s="71"/>
      <c r="E26" s="71"/>
      <c r="F26" s="71"/>
      <c r="G26" s="71"/>
      <c r="H26" s="71"/>
      <c r="I26" s="71"/>
      <c r="J26" s="71"/>
      <c r="K26" s="71"/>
      <c r="L26" s="71"/>
      <c r="M26" s="71"/>
      <c r="N26" s="71"/>
      <c r="AH26" s="319"/>
      <c r="AJ26" s="318"/>
    </row>
    <row r="27" spans="1:36" x14ac:dyDescent="0.35">
      <c r="C27" s="71"/>
      <c r="D27" s="71"/>
      <c r="E27" s="71"/>
      <c r="F27" s="71"/>
      <c r="G27" s="71"/>
      <c r="H27" s="71"/>
      <c r="I27" s="71"/>
      <c r="J27" s="71"/>
      <c r="K27" s="71"/>
      <c r="L27" s="71"/>
      <c r="M27" s="71"/>
      <c r="N27" s="71"/>
      <c r="AH27" s="319"/>
      <c r="AJ27" s="318"/>
    </row>
    <row r="28" spans="1:36" x14ac:dyDescent="0.35">
      <c r="C28" s="71"/>
      <c r="D28" s="71"/>
      <c r="E28" s="71"/>
      <c r="F28" s="71"/>
      <c r="G28" s="71"/>
      <c r="H28" s="71"/>
      <c r="I28" s="71"/>
      <c r="J28" s="71"/>
      <c r="K28" s="71"/>
      <c r="L28" s="71"/>
      <c r="M28" s="71"/>
      <c r="N28" s="71"/>
      <c r="AH28" s="319"/>
      <c r="AJ28" s="318"/>
    </row>
    <row r="29" spans="1:36" x14ac:dyDescent="0.35">
      <c r="C29" s="71"/>
      <c r="D29" s="71"/>
      <c r="E29" s="71"/>
      <c r="F29" s="71"/>
      <c r="G29" s="71"/>
      <c r="H29" s="71"/>
      <c r="I29" s="71"/>
      <c r="J29" s="71"/>
      <c r="K29" s="71"/>
      <c r="L29" s="71"/>
      <c r="M29" s="71"/>
      <c r="N29" s="71"/>
      <c r="AH29" s="319"/>
      <c r="AJ29" s="318"/>
    </row>
    <row r="30" spans="1:36" x14ac:dyDescent="0.35">
      <c r="C30" s="71"/>
      <c r="D30" s="71"/>
      <c r="E30" s="71"/>
      <c r="F30" s="71"/>
      <c r="G30" s="71"/>
      <c r="H30" s="71"/>
      <c r="I30" s="71"/>
      <c r="J30" s="71"/>
      <c r="K30" s="71"/>
      <c r="L30" s="71"/>
      <c r="M30" s="71"/>
      <c r="N30" s="71"/>
      <c r="AH30" s="319"/>
      <c r="AJ30" s="318"/>
    </row>
    <row r="31" spans="1:36" ht="14.5" customHeight="1" x14ac:dyDescent="0.35">
      <c r="C31" s="71"/>
      <c r="D31" s="71"/>
      <c r="E31" s="71"/>
      <c r="F31" s="71"/>
      <c r="G31" s="71"/>
      <c r="H31" s="71"/>
      <c r="I31" s="71"/>
      <c r="J31" s="71"/>
      <c r="K31" s="71"/>
      <c r="L31" s="71"/>
      <c r="M31" s="71"/>
      <c r="N31" s="71"/>
      <c r="AH31" s="319"/>
      <c r="AJ31" s="318"/>
    </row>
    <row r="32" spans="1:36" ht="14.5" customHeight="1" x14ac:dyDescent="0.35">
      <c r="C32" s="71"/>
      <c r="D32" s="71"/>
      <c r="E32" s="71"/>
      <c r="F32" s="71"/>
      <c r="G32" s="71"/>
      <c r="H32" s="71"/>
      <c r="I32" s="71"/>
      <c r="J32" s="71"/>
      <c r="K32" s="71"/>
      <c r="L32" s="71"/>
      <c r="M32" s="71"/>
      <c r="N32" s="71"/>
      <c r="AH32" s="319"/>
      <c r="AJ32" s="318"/>
    </row>
    <row r="33" spans="2:36" ht="14.5" customHeight="1" x14ac:dyDescent="0.35">
      <c r="C33" s="71"/>
      <c r="D33" s="71"/>
      <c r="E33" s="71"/>
      <c r="F33" s="71"/>
      <c r="G33" s="71"/>
      <c r="H33" s="71"/>
      <c r="I33" s="71"/>
      <c r="J33" s="71"/>
      <c r="K33" s="71"/>
      <c r="L33" s="71"/>
      <c r="M33" s="71"/>
      <c r="N33" s="71"/>
      <c r="AH33" s="319"/>
      <c r="AJ33" s="318"/>
    </row>
    <row r="34" spans="2:36" ht="14.5" customHeight="1" x14ac:dyDescent="0.35">
      <c r="C34" s="71"/>
      <c r="D34" s="71"/>
      <c r="E34" s="71"/>
      <c r="F34" s="71"/>
      <c r="G34" s="71"/>
      <c r="H34" s="71"/>
      <c r="I34" s="71"/>
      <c r="J34" s="71"/>
      <c r="K34" s="71"/>
      <c r="L34" s="71"/>
      <c r="M34" s="71"/>
      <c r="N34" s="71"/>
      <c r="AH34" s="319"/>
      <c r="AJ34" s="318"/>
    </row>
    <row r="35" spans="2:36" ht="14.5" customHeight="1" x14ac:dyDescent="0.35">
      <c r="C35" s="71"/>
      <c r="D35" s="71"/>
      <c r="E35" s="71"/>
      <c r="F35" s="71"/>
      <c r="G35" s="71"/>
      <c r="H35" s="71"/>
      <c r="I35" s="71"/>
      <c r="J35" s="71"/>
      <c r="K35" s="71"/>
      <c r="L35" s="71"/>
      <c r="M35" s="71"/>
      <c r="N35" s="71"/>
      <c r="AH35" s="380"/>
      <c r="AI35" s="320"/>
      <c r="AJ35" s="321"/>
    </row>
    <row r="36" spans="2:36" ht="14.5" customHeight="1" x14ac:dyDescent="0.35">
      <c r="C36" s="71"/>
      <c r="D36" s="71"/>
      <c r="E36" s="71"/>
      <c r="F36" s="71"/>
      <c r="G36" s="71"/>
      <c r="H36" s="71"/>
      <c r="I36" s="71"/>
      <c r="J36" s="71"/>
      <c r="K36" s="71"/>
      <c r="L36" s="71"/>
      <c r="M36" s="71"/>
      <c r="N36" s="71"/>
    </row>
    <row r="37" spans="2:36" ht="14.5" customHeight="1" x14ac:dyDescent="0.35">
      <c r="C37" s="71"/>
      <c r="D37" s="71"/>
      <c r="E37" s="71"/>
      <c r="F37" s="71"/>
      <c r="G37" s="71"/>
      <c r="H37" s="71"/>
      <c r="I37" s="71"/>
      <c r="J37" s="71"/>
      <c r="K37" s="71"/>
      <c r="L37" s="71"/>
      <c r="M37" s="71"/>
      <c r="N37" s="71"/>
    </row>
    <row r="38" spans="2:36" ht="14.5" customHeight="1" x14ac:dyDescent="0.35">
      <c r="C38" s="71"/>
      <c r="D38" s="71"/>
      <c r="E38" s="71"/>
      <c r="F38" s="71"/>
      <c r="G38" s="71"/>
      <c r="H38" s="71"/>
      <c r="I38" s="71"/>
      <c r="J38" s="71"/>
      <c r="K38" s="71"/>
      <c r="L38" s="71"/>
      <c r="M38" s="71"/>
      <c r="N38" s="71"/>
    </row>
    <row r="39" spans="2:36" ht="14.5" customHeight="1" x14ac:dyDescent="0.35">
      <c r="C39" s="71"/>
      <c r="D39" s="71"/>
      <c r="E39" s="71"/>
      <c r="F39" s="71"/>
      <c r="G39" s="71"/>
      <c r="H39" s="71"/>
      <c r="I39" s="71"/>
      <c r="J39" s="71"/>
      <c r="K39" s="71"/>
      <c r="L39" s="71"/>
      <c r="M39" s="71"/>
      <c r="N39" s="71"/>
    </row>
    <row r="40" spans="2:36" ht="14.5" customHeight="1" x14ac:dyDescent="0.35">
      <c r="C40" s="71"/>
      <c r="D40" s="71"/>
      <c r="E40" s="71"/>
      <c r="F40" s="71"/>
      <c r="G40" s="71"/>
      <c r="H40" s="71"/>
      <c r="I40" s="71"/>
      <c r="J40" s="71"/>
      <c r="K40" s="71"/>
      <c r="L40" s="71"/>
      <c r="M40" s="71"/>
      <c r="N40" s="71"/>
    </row>
    <row r="41" spans="2:36" x14ac:dyDescent="0.35">
      <c r="E41" s="71"/>
      <c r="F41" s="71"/>
      <c r="G41" s="71"/>
      <c r="H41" s="71"/>
      <c r="I41" s="71"/>
      <c r="J41" s="71"/>
      <c r="K41" s="71"/>
      <c r="L41" s="71"/>
      <c r="M41" s="71"/>
      <c r="N41" s="71"/>
    </row>
    <row r="42" spans="2:36" x14ac:dyDescent="0.35">
      <c r="B42" s="337" t="s">
        <v>92</v>
      </c>
      <c r="C42" s="86">
        <v>2014</v>
      </c>
      <c r="D42" s="86">
        <v>2015</v>
      </c>
      <c r="E42" s="86">
        <v>2016</v>
      </c>
      <c r="F42" s="86">
        <v>2017</v>
      </c>
      <c r="G42" s="86">
        <v>2018</v>
      </c>
      <c r="O42"/>
    </row>
    <row r="43" spans="2:36" x14ac:dyDescent="0.35">
      <c r="B43" s="86" t="s">
        <v>93</v>
      </c>
      <c r="C43" s="74" t="s">
        <v>76</v>
      </c>
      <c r="D43" s="74" t="s">
        <v>77</v>
      </c>
      <c r="E43" s="74" t="s">
        <v>77</v>
      </c>
      <c r="F43" s="74" t="s">
        <v>76</v>
      </c>
      <c r="G43" s="74" t="s">
        <v>77</v>
      </c>
      <c r="O43"/>
    </row>
    <row r="44" spans="2:36" x14ac:dyDescent="0.35">
      <c r="B44" s="86" t="s">
        <v>94</v>
      </c>
      <c r="C44" s="74" t="s">
        <v>77</v>
      </c>
      <c r="D44" s="74" t="s">
        <v>77</v>
      </c>
      <c r="E44" s="74" t="s">
        <v>77</v>
      </c>
      <c r="F44" s="74" t="s">
        <v>77</v>
      </c>
      <c r="G44" s="74" t="s">
        <v>77</v>
      </c>
      <c r="O44"/>
    </row>
    <row r="45" spans="2:36" x14ac:dyDescent="0.35">
      <c r="B45" s="86" t="s">
        <v>95</v>
      </c>
      <c r="C45" s="74" t="s">
        <v>80</v>
      </c>
      <c r="D45" s="74" t="s">
        <v>80</v>
      </c>
      <c r="E45" s="74" t="s">
        <v>80</v>
      </c>
      <c r="F45" s="74" t="s">
        <v>80</v>
      </c>
      <c r="G45" s="74" t="s">
        <v>80</v>
      </c>
      <c r="O45"/>
    </row>
    <row r="46" spans="2:36" x14ac:dyDescent="0.35">
      <c r="B46" s="86" t="s">
        <v>96</v>
      </c>
      <c r="C46" s="74" t="s">
        <v>82</v>
      </c>
      <c r="D46" s="74" t="s">
        <v>82</v>
      </c>
      <c r="E46" s="74" t="s">
        <v>82</v>
      </c>
      <c r="F46" s="74" t="s">
        <v>81</v>
      </c>
      <c r="G46" s="74" t="s">
        <v>81</v>
      </c>
      <c r="O46"/>
    </row>
    <row r="47" spans="2:36" x14ac:dyDescent="0.35">
      <c r="B47" s="86" t="s">
        <v>97</v>
      </c>
      <c r="C47" s="74" t="s">
        <v>81</v>
      </c>
      <c r="D47" s="74" t="s">
        <v>81</v>
      </c>
      <c r="E47" s="74" t="s">
        <v>81</v>
      </c>
      <c r="F47" s="74" t="s">
        <v>81</v>
      </c>
      <c r="G47" s="74" t="s">
        <v>81</v>
      </c>
      <c r="O47"/>
    </row>
    <row r="48" spans="2:36" x14ac:dyDescent="0.35">
      <c r="B48" s="86" t="s">
        <v>98</v>
      </c>
      <c r="C48" s="74" t="s">
        <v>87</v>
      </c>
      <c r="D48" s="74" t="s">
        <v>87</v>
      </c>
      <c r="E48" s="74" t="s">
        <v>87</v>
      </c>
      <c r="F48" s="74" t="s">
        <v>87</v>
      </c>
      <c r="G48" s="74" t="s">
        <v>87</v>
      </c>
      <c r="O48"/>
    </row>
    <row r="49" spans="2:25" x14ac:dyDescent="0.35">
      <c r="O49"/>
    </row>
    <row r="50" spans="2:25" x14ac:dyDescent="0.35">
      <c r="O50"/>
    </row>
    <row r="51" spans="2:25" x14ac:dyDescent="0.35">
      <c r="B51" s="310"/>
      <c r="O51"/>
    </row>
    <row r="52" spans="2:25" x14ac:dyDescent="0.35">
      <c r="B52" s="30" t="s">
        <v>278</v>
      </c>
      <c r="O52"/>
    </row>
    <row r="53" spans="2:25" x14ac:dyDescent="0.35">
      <c r="B53" t="s">
        <v>536</v>
      </c>
      <c r="O53"/>
    </row>
    <row r="54" spans="2:25" x14ac:dyDescent="0.35">
      <c r="B54" t="s">
        <v>537</v>
      </c>
      <c r="O54"/>
    </row>
    <row r="55" spans="2:25" x14ac:dyDescent="0.35">
      <c r="O55"/>
    </row>
    <row r="56" spans="2:25" x14ac:dyDescent="0.35">
      <c r="O56"/>
    </row>
    <row r="57" spans="2:25" x14ac:dyDescent="0.35">
      <c r="O57"/>
    </row>
    <row r="58" spans="2:25" x14ac:dyDescent="0.35">
      <c r="C58" s="312"/>
      <c r="D58" s="312"/>
      <c r="E58" s="312"/>
      <c r="F58" s="312"/>
      <c r="G58" s="312"/>
      <c r="H58" s="312"/>
      <c r="I58" s="312"/>
      <c r="J58" s="312"/>
      <c r="K58" s="312"/>
      <c r="L58" s="312"/>
      <c r="M58" s="312"/>
      <c r="N58" s="312"/>
    </row>
    <row r="59" spans="2:25" x14ac:dyDescent="0.35">
      <c r="B59" s="33"/>
      <c r="C59" s="313"/>
      <c r="D59" s="313"/>
      <c r="E59" s="313"/>
      <c r="F59" s="313"/>
      <c r="G59" s="313"/>
      <c r="H59" s="313"/>
      <c r="I59" s="313"/>
      <c r="J59" s="313"/>
      <c r="K59" s="313"/>
      <c r="L59" s="313"/>
      <c r="M59" s="313"/>
      <c r="N59" s="313"/>
      <c r="O59" s="70"/>
      <c r="P59" s="70"/>
      <c r="Q59" s="70"/>
      <c r="R59" s="33"/>
      <c r="S59" s="513"/>
    </row>
    <row r="60" spans="2:25" x14ac:dyDescent="0.35">
      <c r="B60" s="33"/>
      <c r="C60" s="70"/>
      <c r="D60" s="33"/>
      <c r="E60" s="70"/>
      <c r="F60" s="70"/>
      <c r="G60" s="70"/>
      <c r="H60" s="70"/>
      <c r="I60" s="70"/>
      <c r="J60" s="70"/>
      <c r="K60" s="70"/>
      <c r="L60" s="70"/>
      <c r="M60" s="70"/>
      <c r="N60" s="70"/>
      <c r="O60" s="70"/>
      <c r="P60" s="70"/>
      <c r="Q60" s="70"/>
      <c r="R60" s="33"/>
      <c r="S60" s="513"/>
    </row>
    <row r="61" spans="2:25" x14ac:dyDescent="0.35">
      <c r="B61" s="33"/>
      <c r="C61" s="313"/>
      <c r="D61" s="313"/>
      <c r="E61" s="314"/>
      <c r="F61" s="314"/>
      <c r="G61" s="314"/>
      <c r="H61" s="314"/>
      <c r="I61" s="314"/>
      <c r="J61" s="314"/>
      <c r="K61" s="314"/>
      <c r="L61" s="314"/>
      <c r="M61" s="314"/>
      <c r="N61" s="314"/>
      <c r="O61" s="314"/>
      <c r="P61" s="314"/>
      <c r="Q61" s="70"/>
      <c r="R61" s="33"/>
      <c r="S61" s="513"/>
      <c r="U61" s="515"/>
      <c r="V61" s="515"/>
      <c r="W61" s="515"/>
      <c r="X61" s="515"/>
      <c r="Y61" s="516"/>
    </row>
    <row r="62" spans="2:25" x14ac:dyDescent="0.35">
      <c r="B62" s="33"/>
      <c r="C62" s="313"/>
      <c r="D62" s="313"/>
      <c r="E62" s="313"/>
      <c r="F62" s="313"/>
      <c r="G62" s="313"/>
      <c r="H62" s="313"/>
      <c r="I62" s="313"/>
      <c r="J62" s="313"/>
      <c r="K62" s="313"/>
      <c r="L62" s="313"/>
      <c r="M62" s="313"/>
      <c r="N62" s="313"/>
      <c r="O62" s="70"/>
      <c r="P62" s="70"/>
      <c r="Q62" s="70"/>
      <c r="R62" s="33"/>
      <c r="S62" s="513"/>
      <c r="U62" s="517"/>
      <c r="V62" s="517"/>
      <c r="W62" s="517"/>
      <c r="X62" s="517"/>
      <c r="Y62" s="518"/>
    </row>
    <row r="63" spans="2:25" x14ac:dyDescent="0.35">
      <c r="B63" s="33"/>
      <c r="C63" s="33"/>
      <c r="D63" s="33"/>
      <c r="E63" s="33"/>
      <c r="F63" s="33"/>
      <c r="G63" s="33"/>
      <c r="H63" s="33"/>
      <c r="I63" s="313"/>
      <c r="J63" s="313"/>
      <c r="K63" s="313"/>
      <c r="L63" s="313"/>
      <c r="M63" s="313"/>
      <c r="N63" s="313"/>
      <c r="O63" s="70"/>
      <c r="P63" s="70"/>
      <c r="Q63" s="70"/>
      <c r="R63" s="33"/>
      <c r="S63" s="513"/>
      <c r="U63" s="515"/>
      <c r="V63" s="515"/>
      <c r="W63" s="515"/>
      <c r="X63" s="515"/>
      <c r="Y63" s="516"/>
    </row>
    <row r="64" spans="2:25" x14ac:dyDescent="0.35">
      <c r="B64" s="33"/>
      <c r="C64" s="33"/>
      <c r="D64" s="33"/>
      <c r="E64" s="33"/>
      <c r="F64" s="33"/>
      <c r="G64" s="33"/>
      <c r="H64" s="33"/>
      <c r="I64" s="313"/>
      <c r="J64" s="313"/>
      <c r="K64" s="313"/>
      <c r="L64" s="313"/>
      <c r="M64" s="313"/>
      <c r="N64" s="313"/>
      <c r="O64" s="70"/>
      <c r="P64" s="70"/>
      <c r="Q64" s="70"/>
      <c r="R64" s="33"/>
      <c r="S64" s="513"/>
      <c r="U64" s="515"/>
      <c r="V64" s="515"/>
      <c r="W64" s="515"/>
      <c r="X64" s="515"/>
      <c r="Y64" s="516"/>
    </row>
    <row r="65" spans="1:25" x14ac:dyDescent="0.35">
      <c r="B65" s="33"/>
      <c r="C65" s="33"/>
      <c r="D65" s="33"/>
      <c r="E65" s="33"/>
      <c r="F65" s="33"/>
      <c r="G65" s="33"/>
      <c r="H65" s="33"/>
      <c r="I65" s="313"/>
      <c r="J65" s="313"/>
      <c r="K65" s="313"/>
      <c r="L65" s="313"/>
      <c r="M65" s="313"/>
      <c r="N65" s="313"/>
      <c r="O65" s="70"/>
      <c r="P65" s="70"/>
      <c r="Q65" s="70"/>
      <c r="R65" s="33"/>
      <c r="S65" s="513"/>
      <c r="U65" s="515"/>
      <c r="V65" s="515"/>
      <c r="W65" s="515"/>
      <c r="X65" s="515"/>
      <c r="Y65" s="516"/>
    </row>
    <row r="66" spans="1:25" x14ac:dyDescent="0.35">
      <c r="B66" s="33"/>
      <c r="C66" s="33"/>
      <c r="D66" s="33"/>
      <c r="E66" s="33"/>
      <c r="F66" s="33"/>
      <c r="G66" s="33"/>
      <c r="H66" s="33"/>
      <c r="I66" s="313"/>
      <c r="J66" s="313"/>
      <c r="K66" s="313"/>
      <c r="L66" s="313"/>
      <c r="M66" s="313"/>
      <c r="N66" s="313"/>
      <c r="O66" s="70"/>
      <c r="P66" s="70"/>
      <c r="Q66" s="70"/>
      <c r="R66" s="33"/>
      <c r="S66" s="513"/>
      <c r="U66" s="515"/>
      <c r="V66" s="515"/>
      <c r="W66" s="515"/>
      <c r="X66" s="515"/>
      <c r="Y66" s="516"/>
    </row>
    <row r="67" spans="1:25" x14ac:dyDescent="0.35">
      <c r="B67" s="33"/>
      <c r="C67" s="33"/>
      <c r="D67" s="33"/>
      <c r="E67" s="33"/>
      <c r="F67" s="33"/>
      <c r="G67" s="33"/>
      <c r="H67" s="33"/>
      <c r="I67" s="313"/>
      <c r="J67" s="313"/>
      <c r="K67" s="313"/>
      <c r="L67" s="313"/>
      <c r="M67" s="313"/>
      <c r="N67" s="313"/>
      <c r="O67" s="70"/>
      <c r="P67" s="70"/>
      <c r="Q67" s="70"/>
      <c r="R67" s="33"/>
      <c r="S67" s="513"/>
      <c r="U67" s="515"/>
      <c r="V67" s="515"/>
      <c r="W67" s="515"/>
      <c r="X67" s="515"/>
      <c r="Y67" s="516"/>
    </row>
    <row r="68" spans="1:25" x14ac:dyDescent="0.35">
      <c r="B68" s="33"/>
      <c r="C68" s="33"/>
      <c r="D68" s="33"/>
      <c r="E68" s="33"/>
      <c r="F68" s="33"/>
      <c r="G68" s="33"/>
      <c r="H68" s="33"/>
      <c r="I68" s="33"/>
      <c r="J68" s="33"/>
      <c r="K68" s="33"/>
      <c r="L68" s="33"/>
      <c r="M68" s="33"/>
      <c r="N68" s="33"/>
      <c r="O68" s="70"/>
      <c r="P68" s="70"/>
      <c r="Q68" s="70"/>
      <c r="R68" s="33"/>
      <c r="S68" s="513"/>
      <c r="U68" s="515"/>
      <c r="V68" s="515"/>
      <c r="W68" s="515"/>
      <c r="X68" s="515"/>
      <c r="Y68" s="516"/>
    </row>
    <row r="69" spans="1:25" x14ac:dyDescent="0.35">
      <c r="B69" s="33"/>
      <c r="C69" s="33"/>
      <c r="D69" s="33"/>
      <c r="E69" s="33"/>
      <c r="F69" s="33"/>
      <c r="G69" s="33"/>
      <c r="H69" s="33"/>
      <c r="I69" s="33"/>
      <c r="J69" s="33"/>
      <c r="K69" s="33"/>
      <c r="L69" s="33"/>
      <c r="M69" s="33"/>
      <c r="N69" s="33"/>
      <c r="O69" s="70"/>
      <c r="P69" s="70"/>
      <c r="Q69" s="70"/>
      <c r="R69" s="33"/>
      <c r="S69" s="513"/>
      <c r="U69" s="515"/>
      <c r="V69" s="515"/>
      <c r="W69" s="515"/>
      <c r="X69" s="515"/>
      <c r="Y69" s="516"/>
    </row>
    <row r="70" spans="1:25" x14ac:dyDescent="0.35">
      <c r="B70" s="33"/>
      <c r="C70" s="33"/>
      <c r="D70" s="33"/>
      <c r="E70" s="33"/>
      <c r="F70" s="33"/>
      <c r="G70" s="33"/>
      <c r="H70" s="33"/>
      <c r="I70" s="33"/>
      <c r="J70" s="33"/>
      <c r="K70" s="33"/>
      <c r="L70" s="33"/>
      <c r="M70" s="33"/>
      <c r="N70" s="33"/>
      <c r="O70" s="70"/>
      <c r="P70" s="70"/>
      <c r="Q70" s="70"/>
      <c r="R70" s="33"/>
      <c r="S70" s="513"/>
      <c r="U70" s="515"/>
      <c r="V70" s="515"/>
      <c r="W70" s="515"/>
      <c r="X70" s="515"/>
      <c r="Y70" s="516"/>
    </row>
    <row r="71" spans="1:25" x14ac:dyDescent="0.35">
      <c r="B71" s="33"/>
      <c r="C71" s="33"/>
      <c r="D71" s="33"/>
      <c r="E71" s="33"/>
      <c r="F71" s="33"/>
      <c r="G71" s="33"/>
      <c r="H71" s="33"/>
      <c r="I71" s="33"/>
      <c r="J71" s="33"/>
      <c r="K71" s="33"/>
      <c r="L71" s="33"/>
      <c r="M71" s="33"/>
      <c r="N71" s="33"/>
      <c r="O71" s="70"/>
      <c r="P71" s="70"/>
      <c r="Q71" s="70"/>
      <c r="R71" s="33"/>
      <c r="S71" s="513"/>
      <c r="U71" s="515"/>
      <c r="V71" s="515"/>
      <c r="W71" s="515"/>
      <c r="X71" s="515"/>
      <c r="Y71" s="516"/>
    </row>
    <row r="72" spans="1:25" x14ac:dyDescent="0.35">
      <c r="B72" s="33"/>
      <c r="C72" s="33"/>
      <c r="D72" s="33"/>
      <c r="E72" s="33"/>
      <c r="F72" s="33"/>
      <c r="G72" s="33"/>
      <c r="H72" s="33"/>
      <c r="I72" s="33"/>
      <c r="J72" s="33"/>
      <c r="K72" s="33"/>
      <c r="L72" s="33"/>
      <c r="M72" s="33"/>
      <c r="N72" s="33"/>
      <c r="O72" s="70"/>
      <c r="P72" s="70"/>
      <c r="Q72" s="70"/>
      <c r="R72" s="33"/>
      <c r="S72" s="513"/>
      <c r="U72" s="515"/>
      <c r="V72" s="515"/>
      <c r="W72" s="515"/>
      <c r="X72" s="515"/>
      <c r="Y72" s="516"/>
    </row>
    <row r="73" spans="1:25" x14ac:dyDescent="0.35">
      <c r="B73" s="33"/>
      <c r="C73" s="33"/>
      <c r="D73" s="33"/>
      <c r="E73" s="33"/>
      <c r="F73" s="33"/>
      <c r="G73" s="33"/>
      <c r="H73" s="33"/>
      <c r="I73" s="33"/>
      <c r="J73" s="33"/>
      <c r="K73" s="33"/>
      <c r="L73" s="33"/>
      <c r="M73" s="33"/>
      <c r="N73" s="33"/>
      <c r="O73" s="70"/>
      <c r="P73" s="70"/>
      <c r="Q73" s="70"/>
      <c r="R73" s="33"/>
      <c r="S73" s="513"/>
      <c r="U73" s="515"/>
    </row>
    <row r="74" spans="1:25" x14ac:dyDescent="0.35">
      <c r="B74" s="33"/>
      <c r="C74" s="33"/>
      <c r="D74" s="33"/>
      <c r="E74" s="33"/>
      <c r="F74" s="33"/>
      <c r="G74" s="33"/>
      <c r="H74" s="33"/>
      <c r="I74" s="33"/>
      <c r="J74" s="33"/>
      <c r="K74" s="33"/>
      <c r="L74" s="33"/>
      <c r="M74" s="33"/>
      <c r="N74" s="33"/>
      <c r="O74" s="70"/>
      <c r="P74" s="70"/>
      <c r="Q74" s="70"/>
      <c r="R74" s="33"/>
      <c r="S74" s="513"/>
      <c r="U74" s="515"/>
    </row>
    <row r="75" spans="1:25" x14ac:dyDescent="0.35">
      <c r="B75" s="33"/>
      <c r="C75" s="33"/>
      <c r="D75" s="33"/>
      <c r="E75" s="33"/>
      <c r="F75" s="33"/>
      <c r="G75" s="33"/>
      <c r="H75" s="33"/>
      <c r="I75" s="33"/>
      <c r="J75" s="33"/>
      <c r="K75" s="33"/>
      <c r="L75" s="33"/>
      <c r="M75" s="33"/>
      <c r="N75" s="33"/>
      <c r="O75" s="70"/>
      <c r="P75" s="70"/>
      <c r="Q75" s="70"/>
      <c r="R75" s="33"/>
      <c r="S75" s="513"/>
      <c r="U75" s="515"/>
    </row>
    <row r="76" spans="1:25" x14ac:dyDescent="0.35">
      <c r="B76" s="33"/>
      <c r="C76" s="33"/>
      <c r="D76" s="33"/>
      <c r="E76" s="33"/>
      <c r="F76" s="33"/>
      <c r="G76" s="33"/>
      <c r="H76" s="33"/>
      <c r="I76" s="33"/>
      <c r="J76" s="33"/>
      <c r="K76" s="33"/>
      <c r="L76" s="33"/>
      <c r="M76" s="33"/>
      <c r="N76" s="33"/>
      <c r="O76" s="70"/>
      <c r="P76" s="70"/>
      <c r="Q76" s="70"/>
      <c r="R76" s="33"/>
      <c r="S76" s="513"/>
    </row>
    <row r="77" spans="1:25" x14ac:dyDescent="0.35">
      <c r="A77"/>
      <c r="B77" s="315"/>
      <c r="C77" s="33"/>
      <c r="D77" s="33"/>
      <c r="E77" s="33"/>
      <c r="F77" s="33"/>
      <c r="G77" s="33"/>
      <c r="H77" s="33"/>
      <c r="I77" s="33"/>
      <c r="J77" s="33"/>
      <c r="K77" s="33"/>
      <c r="L77" s="33"/>
      <c r="M77" s="33"/>
      <c r="N77" s="33"/>
      <c r="O77" s="70"/>
      <c r="P77" s="70"/>
      <c r="Q77" s="70"/>
      <c r="R77" s="33"/>
      <c r="S77" s="513"/>
    </row>
    <row r="78" spans="1:25" x14ac:dyDescent="0.35">
      <c r="B78" s="33"/>
      <c r="C78" s="33"/>
      <c r="D78" s="33"/>
      <c r="E78" s="33"/>
      <c r="F78" s="33"/>
      <c r="G78" s="33"/>
      <c r="H78" s="33"/>
      <c r="I78" s="33"/>
      <c r="J78" s="33"/>
      <c r="K78" s="33"/>
      <c r="L78" s="33"/>
      <c r="M78" s="33"/>
      <c r="N78" s="33"/>
      <c r="O78" s="70"/>
      <c r="P78" s="70"/>
      <c r="Q78" s="70"/>
      <c r="R78" s="33"/>
      <c r="S78" s="513"/>
    </row>
    <row r="79" spans="1:25" x14ac:dyDescent="0.35">
      <c r="A79"/>
    </row>
    <row r="80" spans="1:25" x14ac:dyDescent="0.35">
      <c r="A80"/>
    </row>
    <row r="81" spans="1:1" x14ac:dyDescent="0.35">
      <c r="A81"/>
    </row>
    <row r="82" spans="1:1" x14ac:dyDescent="0.35">
      <c r="A82"/>
    </row>
    <row r="83" spans="1:1" x14ac:dyDescent="0.35">
      <c r="A83"/>
    </row>
    <row r="84" spans="1:1" x14ac:dyDescent="0.35">
      <c r="A84"/>
    </row>
    <row r="85" spans="1:1" x14ac:dyDescent="0.35">
      <c r="A85"/>
    </row>
    <row r="86" spans="1:1" x14ac:dyDescent="0.35">
      <c r="A86"/>
    </row>
    <row r="87" spans="1:1" x14ac:dyDescent="0.35">
      <c r="A87"/>
    </row>
    <row r="88" spans="1:1" x14ac:dyDescent="0.35">
      <c r="A88"/>
    </row>
    <row r="89" spans="1:1" x14ac:dyDescent="0.35">
      <c r="A89"/>
    </row>
    <row r="90" spans="1:1" x14ac:dyDescent="0.35">
      <c r="A90"/>
    </row>
    <row r="91" spans="1:1" x14ac:dyDescent="0.35">
      <c r="A91"/>
    </row>
    <row r="92" spans="1:1" x14ac:dyDescent="0.35">
      <c r="A92"/>
    </row>
    <row r="93" spans="1:1" x14ac:dyDescent="0.35">
      <c r="A93"/>
    </row>
    <row r="94" spans="1:1" x14ac:dyDescent="0.35">
      <c r="A94"/>
    </row>
    <row r="95" spans="1:1" x14ac:dyDescent="0.35">
      <c r="A95"/>
    </row>
    <row r="96" spans="1:1" x14ac:dyDescent="0.35">
      <c r="A96"/>
    </row>
  </sheetData>
  <sheetProtection sheet="1" objects="1" scenarios="1" selectLockedCells="1" autoFilter="0" pivotTables="0"/>
  <protectedRanges>
    <protectedRange sqref="T1" name="Range1"/>
  </protectedRanges>
  <dataValidations count="2">
    <dataValidation type="list" allowBlank="1" showInputMessage="1" showErrorMessage="1" sqref="D70" xr:uid="{D44EB0AE-9092-4DD7-B368-1C7C192D68AA}">
      <formula1>$A$3:$A$16</formula1>
    </dataValidation>
    <dataValidation type="list" allowBlank="1" showInputMessage="1" showErrorMessage="1" sqref="O69:R69" xr:uid="{BC59780A-1339-46F7-8B48-F854434BB81A}">
      <formula1>$D$60:$N$60</formula1>
    </dataValidation>
  </dataValidations>
  <pageMargins left="0.7" right="0.7" top="0.75" bottom="0.75" header="0.3" footer="0.3"/>
  <pageSetup paperSize="9"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2AD7B-3B70-4194-987E-5B4E5621F5C4}">
  <sheetPr codeName="Sheet20">
    <tabColor rgb="FFFFFF00"/>
  </sheetPr>
  <dimension ref="A1:AK206"/>
  <sheetViews>
    <sheetView showGridLines="0" zoomScale="55" zoomScaleNormal="55" workbookViewId="0">
      <pane xSplit="1" ySplit="1" topLeftCell="F2" activePane="bottomRight" state="frozen"/>
      <selection pane="topRight" activeCell="B1" sqref="B1"/>
      <selection pane="bottomLeft" activeCell="A2" sqref="A2"/>
      <selection pane="bottomRight" activeCell="M23" sqref="M23"/>
    </sheetView>
  </sheetViews>
  <sheetFormatPr defaultColWidth="8.83203125" defaultRowHeight="15.5" x14ac:dyDescent="0.35"/>
  <cols>
    <col min="1" max="1" width="8.5" style="82" bestFit="1" customWidth="1"/>
    <col min="2" max="2" width="13" style="82" bestFit="1" customWidth="1"/>
    <col min="3" max="3" width="21.08203125" style="82" bestFit="1" customWidth="1"/>
    <col min="4" max="4" width="28" style="108" bestFit="1" customWidth="1"/>
    <col min="5" max="5" width="22.83203125" style="109" bestFit="1" customWidth="1"/>
    <col min="6" max="6" width="21.33203125" style="82" bestFit="1" customWidth="1"/>
    <col min="7" max="7" width="22.58203125" style="108" bestFit="1" customWidth="1"/>
    <col min="8" max="8" width="19.83203125" style="82" customWidth="1"/>
    <col min="9" max="9" width="13.08203125" style="82" bestFit="1" customWidth="1"/>
    <col min="10" max="10" width="27.4140625" style="82" bestFit="1" customWidth="1"/>
    <col min="11" max="11" width="26.4140625" style="82" bestFit="1" customWidth="1"/>
    <col min="12" max="12" width="13.1640625" style="82" bestFit="1" customWidth="1"/>
    <col min="13" max="13" width="87.58203125" style="82" bestFit="1" customWidth="1"/>
    <col min="14" max="15" width="8.58203125" style="82" customWidth="1"/>
    <col min="16" max="16" width="19" bestFit="1" customWidth="1"/>
    <col min="17" max="27" width="4.58203125" bestFit="1" customWidth="1"/>
    <col min="28" max="28" width="4.58203125" customWidth="1"/>
    <col min="29" max="33" width="4.58203125" bestFit="1" customWidth="1"/>
    <col min="35" max="35" width="51" customWidth="1"/>
    <col min="36" max="36" width="82.83203125" customWidth="1"/>
    <col min="37" max="37" width="145.83203125" customWidth="1"/>
  </cols>
  <sheetData>
    <row r="1" spans="1:37" x14ac:dyDescent="0.35">
      <c r="A1" s="169" t="s">
        <v>112</v>
      </c>
      <c r="B1" s="169" t="s">
        <v>113</v>
      </c>
      <c r="C1" s="169" t="s">
        <v>519</v>
      </c>
      <c r="D1" s="170" t="s">
        <v>520</v>
      </c>
      <c r="E1" s="170" t="s">
        <v>158</v>
      </c>
      <c r="F1" s="170" t="s">
        <v>115</v>
      </c>
      <c r="G1" s="280" t="s">
        <v>262</v>
      </c>
      <c r="H1" s="169" t="s">
        <v>212</v>
      </c>
      <c r="I1" s="169" t="s">
        <v>213</v>
      </c>
      <c r="J1" s="169" t="s">
        <v>214</v>
      </c>
      <c r="K1" s="169" t="s">
        <v>215</v>
      </c>
      <c r="L1" s="169" t="s">
        <v>216</v>
      </c>
    </row>
    <row r="2" spans="1:37" x14ac:dyDescent="0.35">
      <c r="A2" s="338">
        <v>41640</v>
      </c>
      <c r="B2" s="339">
        <f>INDEX('Seasonality Analysis'!C$3:N$17,COLUMN(A1),ROW(A1))</f>
        <v>30</v>
      </c>
      <c r="C2" s="340">
        <f t="shared" ref="C2:C13" si="0">IF(B2=0,"",B2/AVERAGE(B$2:B$13))</f>
        <v>1.2720848056537104</v>
      </c>
      <c r="D2" s="341"/>
      <c r="E2" s="341"/>
      <c r="F2" s="341"/>
      <c r="G2" s="340"/>
      <c r="H2" s="343"/>
      <c r="I2" s="343"/>
      <c r="J2" s="343"/>
      <c r="K2" s="343"/>
      <c r="L2" s="343"/>
    </row>
    <row r="3" spans="1:37" x14ac:dyDescent="0.35">
      <c r="A3" s="338">
        <v>41671</v>
      </c>
      <c r="B3" s="339">
        <f>INDEX('Seasonality Analysis'!C$3:N$17,COLUMN(A2),ROW(A2))</f>
        <v>36</v>
      </c>
      <c r="C3" s="340">
        <f t="shared" si="0"/>
        <v>1.5265017667844523</v>
      </c>
      <c r="D3" s="341"/>
      <c r="E3" s="341"/>
      <c r="F3" s="341"/>
      <c r="G3" s="340"/>
      <c r="H3" s="343"/>
      <c r="I3" s="343"/>
      <c r="J3" s="343"/>
      <c r="K3" s="343"/>
      <c r="L3" s="343"/>
      <c r="M3" s="390" t="s">
        <v>521</v>
      </c>
      <c r="N3" s="172">
        <f>AVERAGE(C38,C2)</f>
        <v>1.1649897712479078</v>
      </c>
      <c r="P3" s="69" t="s">
        <v>217</v>
      </c>
      <c r="Q3" s="82">
        <v>2014</v>
      </c>
      <c r="R3" s="82">
        <v>2015</v>
      </c>
      <c r="S3" s="82">
        <v>2016</v>
      </c>
      <c r="T3" s="82">
        <v>2017</v>
      </c>
      <c r="U3" s="82">
        <v>2018</v>
      </c>
      <c r="V3" s="82">
        <v>2019</v>
      </c>
      <c r="W3" s="82">
        <v>2020</v>
      </c>
      <c r="X3" s="82">
        <v>2021</v>
      </c>
      <c r="Y3" s="82">
        <v>2022</v>
      </c>
      <c r="Z3" s="82">
        <v>2023</v>
      </c>
      <c r="AA3" s="82">
        <v>2024</v>
      </c>
      <c r="AB3" s="82">
        <v>2025</v>
      </c>
      <c r="AC3" s="82">
        <v>2026</v>
      </c>
      <c r="AD3" s="82">
        <v>2027</v>
      </c>
      <c r="AE3" s="82">
        <v>2028</v>
      </c>
      <c r="AF3" s="82">
        <v>2029</v>
      </c>
      <c r="AG3" s="82">
        <v>2030</v>
      </c>
      <c r="AI3" s="299" t="s">
        <v>342</v>
      </c>
      <c r="AJ3" s="300"/>
      <c r="AK3" s="301"/>
    </row>
    <row r="4" spans="1:37" x14ac:dyDescent="0.35">
      <c r="A4" s="338">
        <v>41699</v>
      </c>
      <c r="B4" s="339">
        <f>INDEX('Seasonality Analysis'!C$3:N$17,COLUMN(A3),ROW(A3))</f>
        <v>12</v>
      </c>
      <c r="C4" s="340">
        <f t="shared" si="0"/>
        <v>0.50883392226148416</v>
      </c>
      <c r="D4" s="341"/>
      <c r="E4" s="341"/>
      <c r="F4" s="341"/>
      <c r="G4" s="340"/>
      <c r="H4" s="343"/>
      <c r="I4" s="343"/>
      <c r="J4" s="343"/>
      <c r="K4" s="343"/>
      <c r="L4" s="343"/>
      <c r="M4" s="390" t="s">
        <v>522</v>
      </c>
      <c r="N4" s="172">
        <f>AVERAGE(C39,C3)</f>
        <v>1.3158824623395944</v>
      </c>
      <c r="P4" t="s">
        <v>93</v>
      </c>
      <c r="Q4" s="273" t="s">
        <v>76</v>
      </c>
      <c r="R4" s="273" t="s">
        <v>77</v>
      </c>
      <c r="S4" s="273" t="s">
        <v>77</v>
      </c>
      <c r="T4" s="273" t="s">
        <v>76</v>
      </c>
      <c r="U4" s="273" t="s">
        <v>77</v>
      </c>
      <c r="V4" s="273" t="s">
        <v>77</v>
      </c>
      <c r="W4" s="274" t="s">
        <v>76</v>
      </c>
      <c r="X4" s="274" t="s">
        <v>77</v>
      </c>
      <c r="Y4" s="274" t="s">
        <v>77</v>
      </c>
      <c r="Z4" s="274" t="s">
        <v>76</v>
      </c>
      <c r="AA4" s="274" t="s">
        <v>77</v>
      </c>
      <c r="AB4" s="274" t="s">
        <v>76</v>
      </c>
      <c r="AC4" s="274" t="s">
        <v>77</v>
      </c>
      <c r="AD4" s="274" t="s">
        <v>77</v>
      </c>
      <c r="AE4" s="274" t="s">
        <v>76</v>
      </c>
      <c r="AF4" s="274" t="s">
        <v>77</v>
      </c>
      <c r="AG4" s="274" t="s">
        <v>77</v>
      </c>
      <c r="AI4" s="302" t="s">
        <v>105</v>
      </c>
      <c r="AJ4" s="303" t="s">
        <v>107</v>
      </c>
      <c r="AK4" s="304" t="s">
        <v>106</v>
      </c>
    </row>
    <row r="5" spans="1:37" x14ac:dyDescent="0.35">
      <c r="A5" s="338">
        <v>41730</v>
      </c>
      <c r="B5" s="339">
        <f>INDEX('Seasonality Analysis'!C$3:N$17,COLUMN(A4),ROW(A4))</f>
        <v>11</v>
      </c>
      <c r="C5" s="340">
        <f t="shared" si="0"/>
        <v>0.46643109540636046</v>
      </c>
      <c r="D5" s="341"/>
      <c r="E5" s="341"/>
      <c r="F5" s="341"/>
      <c r="G5" s="340"/>
      <c r="H5" s="343"/>
      <c r="I5" s="343"/>
      <c r="J5" s="343"/>
      <c r="K5" s="343"/>
      <c r="L5" s="343"/>
      <c r="M5" s="390" t="s">
        <v>755</v>
      </c>
      <c r="N5" s="172">
        <f>AVERAGE(C18,C30,C42,C6)</f>
        <v>1.0545825762451857</v>
      </c>
      <c r="P5" t="s">
        <v>94</v>
      </c>
      <c r="Q5" s="82" t="s">
        <v>77</v>
      </c>
      <c r="R5" s="82" t="s">
        <v>77</v>
      </c>
      <c r="S5" s="82" t="s">
        <v>77</v>
      </c>
      <c r="T5" s="82" t="s">
        <v>77</v>
      </c>
      <c r="U5" s="82" t="s">
        <v>77</v>
      </c>
      <c r="V5" s="82" t="s">
        <v>77</v>
      </c>
      <c r="W5" s="82" t="s">
        <v>77</v>
      </c>
      <c r="X5" s="82" t="s">
        <v>77</v>
      </c>
      <c r="Y5" s="82" t="s">
        <v>77</v>
      </c>
      <c r="Z5" s="82" t="s">
        <v>77</v>
      </c>
      <c r="AA5" s="82" t="s">
        <v>77</v>
      </c>
      <c r="AB5" s="82" t="s">
        <v>77</v>
      </c>
      <c r="AC5" s="82" t="s">
        <v>77</v>
      </c>
      <c r="AD5" s="82" t="s">
        <v>77</v>
      </c>
      <c r="AE5" s="82" t="s">
        <v>77</v>
      </c>
      <c r="AF5" s="82" t="s">
        <v>77</v>
      </c>
      <c r="AG5" s="82" t="s">
        <v>77</v>
      </c>
      <c r="AH5" s="82"/>
      <c r="AI5" s="388" t="s">
        <v>735</v>
      </c>
      <c r="AJ5" s="391" t="s">
        <v>784</v>
      </c>
      <c r="AK5" s="389" t="s">
        <v>344</v>
      </c>
    </row>
    <row r="6" spans="1:37" x14ac:dyDescent="0.35">
      <c r="A6" s="338">
        <v>41760</v>
      </c>
      <c r="B6" s="339">
        <f>INDEX('Seasonality Analysis'!C$3:N$17,COLUMN(A5),ROW(A5))</f>
        <v>23</v>
      </c>
      <c r="C6" s="340">
        <f t="shared" si="0"/>
        <v>0.97526501766784457</v>
      </c>
      <c r="D6" s="341"/>
      <c r="E6" s="341"/>
      <c r="F6" s="341"/>
      <c r="G6" s="340"/>
      <c r="H6" s="343"/>
      <c r="I6" s="343"/>
      <c r="J6" s="343"/>
      <c r="K6" s="343"/>
      <c r="L6" s="343"/>
      <c r="M6" s="390" t="s">
        <v>524</v>
      </c>
      <c r="N6" s="172">
        <f>AVERAGE(C20,C32,C8)</f>
        <v>1.0832790771622716</v>
      </c>
      <c r="P6" t="s">
        <v>95</v>
      </c>
      <c r="Q6" s="82" t="s">
        <v>80</v>
      </c>
      <c r="R6" s="82" t="s">
        <v>80</v>
      </c>
      <c r="S6" s="82" t="s">
        <v>80</v>
      </c>
      <c r="T6" s="82" t="s">
        <v>80</v>
      </c>
      <c r="U6" s="82" t="s">
        <v>80</v>
      </c>
      <c r="V6" s="82" t="s">
        <v>80</v>
      </c>
      <c r="W6" s="82" t="s">
        <v>80</v>
      </c>
      <c r="X6" s="82" t="s">
        <v>80</v>
      </c>
      <c r="Y6" s="82" t="s">
        <v>80</v>
      </c>
      <c r="Z6" s="82" t="s">
        <v>80</v>
      </c>
      <c r="AA6" s="82" t="s">
        <v>80</v>
      </c>
      <c r="AB6" s="82" t="s">
        <v>80</v>
      </c>
      <c r="AC6" s="82" t="s">
        <v>80</v>
      </c>
      <c r="AD6" s="82" t="s">
        <v>80</v>
      </c>
      <c r="AE6" s="82" t="s">
        <v>80</v>
      </c>
      <c r="AF6" s="82" t="s">
        <v>80</v>
      </c>
      <c r="AG6" s="82" t="s">
        <v>80</v>
      </c>
      <c r="AH6" s="82"/>
      <c r="AI6" s="388" t="s">
        <v>718</v>
      </c>
      <c r="AJ6" s="85" t="s">
        <v>736</v>
      </c>
      <c r="AK6" s="389" t="str">
        <f ca="1">_xlfn.FORMULATEXT(B2)</f>
        <v>=INDEX('Seasonality Analysis'!C$3:N$17,COLUMN(A1),ROW(A1))</v>
      </c>
    </row>
    <row r="7" spans="1:37" x14ac:dyDescent="0.35">
      <c r="A7" s="338">
        <v>41791</v>
      </c>
      <c r="B7" s="339">
        <f>INDEX('Seasonality Analysis'!C$3:N$17,COLUMN(A6),ROW(A6))</f>
        <v>24</v>
      </c>
      <c r="C7" s="340">
        <f t="shared" si="0"/>
        <v>1.0176678445229683</v>
      </c>
      <c r="D7" s="341"/>
      <c r="E7" s="341"/>
      <c r="F7" s="341"/>
      <c r="G7" s="340"/>
      <c r="H7" s="343"/>
      <c r="I7" s="343"/>
      <c r="J7" s="343"/>
      <c r="K7" s="343"/>
      <c r="L7" s="343"/>
      <c r="M7" s="390" t="s">
        <v>525</v>
      </c>
      <c r="N7" s="172">
        <f>AVERAGE(C19,C31,C7)</f>
        <v>1.0103062618348237</v>
      </c>
      <c r="P7" t="s">
        <v>96</v>
      </c>
      <c r="Q7" s="273" t="s">
        <v>82</v>
      </c>
      <c r="R7" s="273" t="s">
        <v>82</v>
      </c>
      <c r="S7" s="273" t="s">
        <v>82</v>
      </c>
      <c r="T7" s="273" t="s">
        <v>81</v>
      </c>
      <c r="U7" s="273" t="s">
        <v>81</v>
      </c>
      <c r="V7" s="273" t="s">
        <v>81</v>
      </c>
      <c r="W7" s="274" t="s">
        <v>80</v>
      </c>
      <c r="X7" s="274" t="s">
        <v>80</v>
      </c>
      <c r="Y7" s="274" t="s">
        <v>80</v>
      </c>
      <c r="Z7" s="274" t="s">
        <v>218</v>
      </c>
      <c r="AA7" s="274" t="s">
        <v>218</v>
      </c>
      <c r="AB7" s="274" t="s">
        <v>78</v>
      </c>
      <c r="AC7" s="274" t="s">
        <v>78</v>
      </c>
      <c r="AD7" s="274" t="s">
        <v>78</v>
      </c>
      <c r="AE7" s="274" t="s">
        <v>77</v>
      </c>
      <c r="AF7" s="274" t="s">
        <v>77</v>
      </c>
      <c r="AG7" s="274" t="s">
        <v>77</v>
      </c>
      <c r="AI7" s="388" t="s">
        <v>721</v>
      </c>
      <c r="AJ7" s="85" t="s">
        <v>519</v>
      </c>
      <c r="AK7" s="389" t="str">
        <f ca="1">_xlfn.FORMULATEXT(C2)</f>
        <v>=IF(B2=0,"",B2/AVERAGE(B$2:B$13))</v>
      </c>
    </row>
    <row r="8" spans="1:37" x14ac:dyDescent="0.35">
      <c r="A8" s="338">
        <v>41821</v>
      </c>
      <c r="B8" s="339">
        <f>INDEX('Seasonality Analysis'!C$3:N$17,COLUMN(A7),ROW(A7))</f>
        <v>24</v>
      </c>
      <c r="C8" s="340">
        <f t="shared" si="0"/>
        <v>1.0176678445229683</v>
      </c>
      <c r="D8" s="341"/>
      <c r="E8" s="341"/>
      <c r="F8" s="341"/>
      <c r="G8" s="340"/>
      <c r="H8" s="343"/>
      <c r="I8" s="343"/>
      <c r="J8" s="343"/>
      <c r="K8" s="343"/>
      <c r="L8" s="343"/>
      <c r="M8" s="390" t="s">
        <v>526</v>
      </c>
      <c r="N8" s="172">
        <f>AVERAGE(C25,C37,C49,C13)</f>
        <v>1.4757434640667961</v>
      </c>
      <c r="P8" t="s">
        <v>97</v>
      </c>
      <c r="Q8" s="82" t="s">
        <v>81</v>
      </c>
      <c r="R8" s="82" t="s">
        <v>81</v>
      </c>
      <c r="S8" s="82" t="s">
        <v>81</v>
      </c>
      <c r="T8" s="82" t="s">
        <v>81</v>
      </c>
      <c r="U8" s="82" t="s">
        <v>81</v>
      </c>
      <c r="V8" s="82" t="s">
        <v>81</v>
      </c>
      <c r="W8" s="82" t="s">
        <v>81</v>
      </c>
      <c r="X8" s="82" t="s">
        <v>81</v>
      </c>
      <c r="Y8" s="82" t="s">
        <v>81</v>
      </c>
      <c r="Z8" s="82" t="s">
        <v>81</v>
      </c>
      <c r="AA8" s="82" t="s">
        <v>81</v>
      </c>
      <c r="AB8" s="82" t="s">
        <v>81</v>
      </c>
      <c r="AC8" s="82" t="s">
        <v>81</v>
      </c>
      <c r="AD8" s="82" t="s">
        <v>81</v>
      </c>
      <c r="AE8" s="82" t="s">
        <v>81</v>
      </c>
      <c r="AF8" s="82" t="s">
        <v>81</v>
      </c>
      <c r="AG8" s="82" t="s">
        <v>81</v>
      </c>
      <c r="AH8" s="82"/>
      <c r="AI8" s="388" t="s">
        <v>737</v>
      </c>
      <c r="AJ8" s="85" t="s">
        <v>520</v>
      </c>
      <c r="AK8" s="389" t="str">
        <f ca="1">_xlfn.FORMULATEXT(D50)</f>
        <v>=N9</v>
      </c>
    </row>
    <row r="9" spans="1:37" x14ac:dyDescent="0.35">
      <c r="A9" s="338">
        <v>41852</v>
      </c>
      <c r="B9" s="339">
        <f>INDEX('Seasonality Analysis'!C$3:N$17,COLUMN(A8),ROW(A8))</f>
        <v>12</v>
      </c>
      <c r="C9" s="340">
        <f t="shared" si="0"/>
        <v>0.50883392226148416</v>
      </c>
      <c r="D9" s="341"/>
      <c r="E9" s="341"/>
      <c r="F9" s="341"/>
      <c r="G9" s="340"/>
      <c r="H9" s="343"/>
      <c r="I9" s="343"/>
      <c r="J9" s="343"/>
      <c r="K9" s="343"/>
      <c r="L9" s="343"/>
      <c r="M9" s="390" t="s">
        <v>219</v>
      </c>
      <c r="N9" s="172">
        <f>AVERAGE(C17,C21,C22,C23,C24,C29,C33,C34,C36,C35,C41,C45,C46,C47,C48,C53,C57,C58,C59,C60,C14,C26,C50,C44,C56,C16,C28,C40,C52)</f>
        <v>0.92014022173874899</v>
      </c>
      <c r="P9" t="s">
        <v>98</v>
      </c>
      <c r="Q9" s="82" t="s">
        <v>87</v>
      </c>
      <c r="R9" s="82" t="s">
        <v>87</v>
      </c>
      <c r="S9" s="82" t="s">
        <v>87</v>
      </c>
      <c r="T9" s="82" t="s">
        <v>87</v>
      </c>
      <c r="U9" s="82" t="s">
        <v>87</v>
      </c>
      <c r="V9" s="82" t="s">
        <v>87</v>
      </c>
      <c r="W9" s="82" t="s">
        <v>87</v>
      </c>
      <c r="X9" s="82" t="s">
        <v>87</v>
      </c>
      <c r="Y9" s="82" t="s">
        <v>87</v>
      </c>
      <c r="Z9" s="82" t="s">
        <v>87</v>
      </c>
      <c r="AA9" s="82" t="s">
        <v>87</v>
      </c>
      <c r="AB9" s="82" t="s">
        <v>87</v>
      </c>
      <c r="AC9" s="82" t="s">
        <v>87</v>
      </c>
      <c r="AD9" s="82" t="s">
        <v>87</v>
      </c>
      <c r="AE9" s="82" t="s">
        <v>87</v>
      </c>
      <c r="AF9" s="82" t="s">
        <v>87</v>
      </c>
      <c r="AG9" s="82" t="s">
        <v>87</v>
      </c>
      <c r="AH9" s="82"/>
      <c r="AI9" s="388" t="s">
        <v>738</v>
      </c>
      <c r="AJ9" s="85" t="s">
        <v>739</v>
      </c>
      <c r="AK9" s="389" t="str">
        <f ca="1">_xlfn.FORMULATEXT(G50)</f>
        <v>=IF(OR(C50="",D50=""),"",(ABS(C50-D50))^(1/2))</v>
      </c>
    </row>
    <row r="10" spans="1:37" x14ac:dyDescent="0.35">
      <c r="A10" s="338">
        <v>41883</v>
      </c>
      <c r="B10" s="339">
        <f>INDEX('Seasonality Analysis'!C$3:N$17,COLUMN(A9),ROW(A9))</f>
        <v>17</v>
      </c>
      <c r="C10" s="340">
        <f t="shared" si="0"/>
        <v>0.72084805653710249</v>
      </c>
      <c r="D10" s="341"/>
      <c r="E10" s="341"/>
      <c r="F10" s="341"/>
      <c r="G10" s="340"/>
      <c r="H10" s="343"/>
      <c r="I10" s="343"/>
      <c r="J10" s="343"/>
      <c r="K10" s="343"/>
      <c r="L10" s="343"/>
      <c r="M10"/>
      <c r="P10" s="82"/>
      <c r="Q10" s="82"/>
      <c r="R10" s="82"/>
      <c r="S10" s="82"/>
      <c r="AI10" s="388" t="s">
        <v>444</v>
      </c>
      <c r="AJ10" s="85" t="s">
        <v>741</v>
      </c>
      <c r="AK10" s="389" t="str">
        <f ca="1">_xlfn.FORMULATEXT(E62)</f>
        <v>='Growth Projection'!C$16/12</v>
      </c>
    </row>
    <row r="11" spans="1:37" x14ac:dyDescent="0.35">
      <c r="A11" s="338">
        <v>41913</v>
      </c>
      <c r="B11" s="339">
        <f>INDEX('Seasonality Analysis'!C$3:N$17,COLUMN(A10),ROW(A10))</f>
        <v>16</v>
      </c>
      <c r="C11" s="340">
        <f t="shared" si="0"/>
        <v>0.67844522968197885</v>
      </c>
      <c r="D11" s="341"/>
      <c r="E11" s="341"/>
      <c r="F11" s="341"/>
      <c r="G11" s="340"/>
      <c r="H11" s="343"/>
      <c r="I11" s="343"/>
      <c r="J11" s="343"/>
      <c r="K11" s="343"/>
      <c r="L11" s="343"/>
      <c r="P11" s="82"/>
      <c r="Q11" s="82"/>
      <c r="R11" s="82"/>
      <c r="S11" s="82"/>
      <c r="AI11" s="388" t="s">
        <v>740</v>
      </c>
      <c r="AJ11" s="85" t="s">
        <v>742</v>
      </c>
      <c r="AK11" s="389" t="str">
        <f ca="1">_xlfn.FORMULATEXT(F62)</f>
        <v>=IFERROR(E62*D62,"")</v>
      </c>
    </row>
    <row r="12" spans="1:37" x14ac:dyDescent="0.35">
      <c r="A12" s="338">
        <v>41944</v>
      </c>
      <c r="B12" s="339">
        <f>INDEX('Seasonality Analysis'!C$3:N$17,COLUMN(A11),ROW(A11))</f>
        <v>26</v>
      </c>
      <c r="C12" s="340">
        <f t="shared" si="0"/>
        <v>1.1024734982332156</v>
      </c>
      <c r="D12" s="341"/>
      <c r="E12" s="341"/>
      <c r="F12" s="341"/>
      <c r="G12" s="340"/>
      <c r="H12" s="343"/>
      <c r="I12" s="343"/>
      <c r="J12" s="343"/>
      <c r="K12" s="343"/>
      <c r="L12" s="343"/>
      <c r="M12" s="390" t="s">
        <v>527</v>
      </c>
      <c r="N12" s="398">
        <f>_xlfn.STDEV.S(G50:G61)</f>
        <v>0.13330826402173565</v>
      </c>
      <c r="P12" s="82"/>
      <c r="Q12" s="82"/>
      <c r="R12" s="82"/>
      <c r="S12" s="82"/>
      <c r="AI12" s="388" t="s">
        <v>743</v>
      </c>
      <c r="AJ12" s="85" t="s">
        <v>212</v>
      </c>
      <c r="AK12" s="389" t="str">
        <f ca="1">_xlfn.FORMULATEXT(H62)</f>
        <v>=IFERROR(F62+2*N$12*F62,"")</v>
      </c>
    </row>
    <row r="13" spans="1:37" x14ac:dyDescent="0.35">
      <c r="A13" s="338">
        <v>41974</v>
      </c>
      <c r="B13" s="339">
        <f>INDEX('Seasonality Analysis'!C$3:N$17,COLUMN(A12),ROW(A12))</f>
        <v>52</v>
      </c>
      <c r="C13" s="340">
        <f t="shared" si="0"/>
        <v>2.2049469964664312</v>
      </c>
      <c r="D13" s="341"/>
      <c r="E13" s="341"/>
      <c r="F13" s="341"/>
      <c r="G13" s="340"/>
      <c r="H13" s="343"/>
      <c r="I13" s="343"/>
      <c r="J13" s="343"/>
      <c r="K13" s="343"/>
      <c r="L13" s="343"/>
      <c r="M13" s="390" t="s">
        <v>220</v>
      </c>
      <c r="N13" s="402">
        <v>0.5</v>
      </c>
      <c r="P13" s="82"/>
      <c r="Q13" s="82"/>
      <c r="R13" s="82"/>
      <c r="S13" s="82"/>
      <c r="AI13" s="388" t="s">
        <v>744</v>
      </c>
      <c r="AJ13" s="85" t="s">
        <v>213</v>
      </c>
      <c r="AK13" s="389" t="str">
        <f ca="1">_xlfn.FORMULATEXT(I62)</f>
        <v>=IFERROR(IF(OR(ISBLANK(H62),ISBLANK(F62)),"",(H62*N$14)-(N$13*F62)),"")</v>
      </c>
    </row>
    <row r="14" spans="1:37" x14ac:dyDescent="0.35">
      <c r="A14" s="344">
        <v>42005</v>
      </c>
      <c r="B14" s="345">
        <f>INDEX('Seasonality Analysis'!C$3:N$17,COLUMN(D4),ROW(A1))</f>
        <v>65</v>
      </c>
      <c r="C14" s="346">
        <f t="shared" ref="C14:C25" si="1">IF(B14=0,"",B14/AVERAGE(B$14:B$25))</f>
        <v>1.0143042912873863</v>
      </c>
      <c r="D14" s="347"/>
      <c r="E14" s="347"/>
      <c r="F14" s="347"/>
      <c r="G14" s="346"/>
      <c r="H14" s="348"/>
      <c r="I14" s="348"/>
      <c r="J14" s="348"/>
      <c r="K14" s="348"/>
      <c r="L14" s="348"/>
      <c r="M14" s="390" t="s">
        <v>221</v>
      </c>
      <c r="N14" s="402">
        <v>1</v>
      </c>
      <c r="P14" s="82"/>
      <c r="Q14" s="82"/>
      <c r="R14" s="82"/>
      <c r="S14" s="82"/>
      <c r="AI14" s="388" t="s">
        <v>745</v>
      </c>
      <c r="AJ14" s="85" t="s">
        <v>748</v>
      </c>
      <c r="AK14" s="389" t="str">
        <f ca="1">_xlfn.FORMULATEXT(J62)</f>
        <v>=IFERROR(F62+I62,"")</v>
      </c>
    </row>
    <row r="15" spans="1:37" x14ac:dyDescent="0.35">
      <c r="A15" s="344">
        <v>42036</v>
      </c>
      <c r="B15" s="345">
        <f>INDEX('Seasonality Analysis'!C$3:N$17,COLUMN(D5),ROW(A2))</f>
        <v>75</v>
      </c>
      <c r="C15" s="346">
        <f t="shared" si="1"/>
        <v>1.1703511053315996</v>
      </c>
      <c r="D15" s="347"/>
      <c r="E15" s="347"/>
      <c r="F15" s="347"/>
      <c r="G15" s="346"/>
      <c r="H15" s="348"/>
      <c r="I15" s="348"/>
      <c r="J15" s="348"/>
      <c r="K15" s="348"/>
      <c r="L15" s="348"/>
      <c r="P15" s="82"/>
      <c r="Q15" s="82"/>
      <c r="R15" s="82"/>
      <c r="AI15" s="388" t="s">
        <v>746</v>
      </c>
      <c r="AJ15" s="85" t="s">
        <v>751</v>
      </c>
      <c r="AK15" s="318" t="s">
        <v>344</v>
      </c>
    </row>
    <row r="16" spans="1:37" x14ac:dyDescent="0.35">
      <c r="A16" s="344">
        <v>42064</v>
      </c>
      <c r="B16" s="345">
        <f>INDEX('Seasonality Analysis'!C$3:N$17,COLUMN(D6),ROW(A3))</f>
        <v>59</v>
      </c>
      <c r="C16" s="346">
        <f t="shared" si="1"/>
        <v>0.92067620286085827</v>
      </c>
      <c r="D16" s="347"/>
      <c r="E16" s="347"/>
      <c r="F16" s="347"/>
      <c r="G16" s="346"/>
      <c r="H16" s="348"/>
      <c r="I16" s="348"/>
      <c r="J16" s="348"/>
      <c r="K16" s="348"/>
      <c r="L16" s="348"/>
      <c r="P16" s="82"/>
      <c r="Q16" s="82"/>
      <c r="R16" s="82"/>
      <c r="AI16" s="388" t="s">
        <v>749</v>
      </c>
      <c r="AJ16" s="85" t="s">
        <v>750</v>
      </c>
      <c r="AK16" s="389" t="str">
        <f ca="1">_xlfn.FORMULATEXT(K63)</f>
        <v>=IFERROR(K62+L62-F62,"")</v>
      </c>
    </row>
    <row r="17" spans="1:37" x14ac:dyDescent="0.35">
      <c r="A17" s="344">
        <v>42095</v>
      </c>
      <c r="B17" s="345">
        <f>INDEX('Seasonality Analysis'!C$3:N$17,COLUMN(D7),ROW(A4))</f>
        <v>56</v>
      </c>
      <c r="C17" s="346">
        <f t="shared" si="1"/>
        <v>0.87386215864759431</v>
      </c>
      <c r="D17" s="347"/>
      <c r="E17" s="347"/>
      <c r="F17" s="347"/>
      <c r="G17" s="346"/>
      <c r="H17" s="348"/>
      <c r="I17" s="348"/>
      <c r="J17" s="348"/>
      <c r="K17" s="348"/>
      <c r="L17" s="348"/>
      <c r="P17" s="82"/>
      <c r="Q17" s="82"/>
      <c r="R17" s="82"/>
      <c r="AI17" s="388" t="s">
        <v>747</v>
      </c>
      <c r="AJ17" s="85" t="s">
        <v>216</v>
      </c>
      <c r="AK17" s="389" t="str">
        <f ca="1">_xlfn.FORMULATEXT(L62)</f>
        <v>=IF(OR(J62="",K62=""),"",IF(J62&gt;K62,J62-K62,0))</v>
      </c>
    </row>
    <row r="18" spans="1:37" x14ac:dyDescent="0.35">
      <c r="A18" s="344">
        <v>42125</v>
      </c>
      <c r="B18" s="345">
        <f>INDEX('Seasonality Analysis'!C$3:N$17,COLUMN(D8),ROW(A5))</f>
        <v>68</v>
      </c>
      <c r="C18" s="346">
        <f t="shared" si="1"/>
        <v>1.0611183355006504</v>
      </c>
      <c r="D18" s="347"/>
      <c r="E18" s="347"/>
      <c r="F18" s="347"/>
      <c r="G18" s="346"/>
      <c r="H18" s="348"/>
      <c r="I18" s="348"/>
      <c r="J18" s="348"/>
      <c r="K18" s="348"/>
      <c r="L18" s="348"/>
      <c r="AI18" s="388"/>
      <c r="AJ18" s="85"/>
      <c r="AK18" s="389"/>
    </row>
    <row r="19" spans="1:37" x14ac:dyDescent="0.35">
      <c r="A19" s="344">
        <v>42156</v>
      </c>
      <c r="B19" s="345">
        <f>INDEX('Seasonality Analysis'!C$3:N$17,COLUMN(D9),ROW(A6))</f>
        <v>58</v>
      </c>
      <c r="C19" s="346">
        <f t="shared" si="1"/>
        <v>0.90507152145643699</v>
      </c>
      <c r="D19" s="347"/>
      <c r="E19" s="347"/>
      <c r="F19" s="347"/>
      <c r="G19" s="346"/>
      <c r="H19" s="348"/>
      <c r="I19" s="348"/>
      <c r="J19" s="348"/>
      <c r="K19" s="348"/>
      <c r="L19" s="348"/>
      <c r="AI19" s="388" t="s">
        <v>752</v>
      </c>
      <c r="AJ19" s="85" t="s">
        <v>753</v>
      </c>
      <c r="AK19" s="389" t="str">
        <f t="shared" ref="AK19:AK25" ca="1" si="2">_xlfn.FORMULATEXT(N3)</f>
        <v>=AVERAGE(C38,C2)</v>
      </c>
    </row>
    <row r="20" spans="1:37" x14ac:dyDescent="0.35">
      <c r="A20" s="344">
        <v>42186</v>
      </c>
      <c r="B20" s="345">
        <f>INDEX('Seasonality Analysis'!C$3:N$17,COLUMN(D10),ROW(A7))</f>
        <v>70</v>
      </c>
      <c r="C20" s="346">
        <f t="shared" si="1"/>
        <v>1.0923276983094929</v>
      </c>
      <c r="D20" s="347"/>
      <c r="E20" s="347"/>
      <c r="F20" s="347"/>
      <c r="G20" s="346"/>
      <c r="H20" s="348"/>
      <c r="I20" s="348"/>
      <c r="J20" s="348"/>
      <c r="K20" s="348"/>
      <c r="L20" s="348"/>
      <c r="AI20" s="388" t="s">
        <v>571</v>
      </c>
      <c r="AJ20" s="85" t="s">
        <v>754</v>
      </c>
      <c r="AK20" s="389" t="str">
        <f t="shared" ca="1" si="2"/>
        <v>=AVERAGE(C39,C3)</v>
      </c>
    </row>
    <row r="21" spans="1:37" x14ac:dyDescent="0.35">
      <c r="A21" s="344">
        <v>42217</v>
      </c>
      <c r="B21" s="345">
        <f>INDEX('Seasonality Analysis'!C$3:N$17,COLUMN(D11),ROW(A8))</f>
        <v>57</v>
      </c>
      <c r="C21" s="346">
        <f t="shared" si="1"/>
        <v>0.88946684005201571</v>
      </c>
      <c r="D21" s="347"/>
      <c r="E21" s="347"/>
      <c r="F21" s="347"/>
      <c r="G21" s="346"/>
      <c r="H21" s="348"/>
      <c r="I21" s="348"/>
      <c r="J21" s="348"/>
      <c r="K21" s="348"/>
      <c r="L21" s="348"/>
      <c r="AI21" s="388" t="s">
        <v>359</v>
      </c>
      <c r="AJ21" s="85" t="s">
        <v>755</v>
      </c>
      <c r="AK21" s="389" t="str">
        <f t="shared" ca="1" si="2"/>
        <v>=AVERAGE(C18,C30,C42,C6)</v>
      </c>
    </row>
    <row r="22" spans="1:37" x14ac:dyDescent="0.35">
      <c r="A22" s="344">
        <v>42248</v>
      </c>
      <c r="B22" s="345">
        <f>INDEX('Seasonality Analysis'!C$3:N$17,COLUMN(D12),ROW(A9))</f>
        <v>59</v>
      </c>
      <c r="C22" s="346">
        <f t="shared" si="1"/>
        <v>0.92067620286085827</v>
      </c>
      <c r="D22" s="347"/>
      <c r="E22" s="347"/>
      <c r="F22" s="347"/>
      <c r="G22" s="346"/>
      <c r="H22" s="348"/>
      <c r="I22" s="348"/>
      <c r="J22" s="348"/>
      <c r="K22" s="348"/>
      <c r="L22" s="348"/>
      <c r="AI22" s="388" t="s">
        <v>361</v>
      </c>
      <c r="AJ22" s="85" t="s">
        <v>524</v>
      </c>
      <c r="AK22" s="389" t="str">
        <f t="shared" ca="1" si="2"/>
        <v>=AVERAGE(C20,C32,C8)</v>
      </c>
    </row>
    <row r="23" spans="1:37" x14ac:dyDescent="0.35">
      <c r="A23" s="344">
        <v>42278</v>
      </c>
      <c r="B23" s="345">
        <f>INDEX('Seasonality Analysis'!C$3:N$17,COLUMN(D13),ROW(A10))</f>
        <v>54</v>
      </c>
      <c r="C23" s="346">
        <f t="shared" si="1"/>
        <v>0.84265279583875163</v>
      </c>
      <c r="D23" s="347"/>
      <c r="E23" s="347"/>
      <c r="F23" s="347"/>
      <c r="G23" s="346"/>
      <c r="H23" s="348"/>
      <c r="I23" s="348"/>
      <c r="J23" s="348"/>
      <c r="K23" s="348"/>
      <c r="L23" s="348"/>
      <c r="M23" s="30" t="s">
        <v>278</v>
      </c>
      <c r="AI23" s="388" t="s">
        <v>363</v>
      </c>
      <c r="AJ23" s="85" t="s">
        <v>525</v>
      </c>
      <c r="AK23" s="389" t="str">
        <f t="shared" ca="1" si="2"/>
        <v>=AVERAGE(C19,C31,C7)</v>
      </c>
    </row>
    <row r="24" spans="1:37" x14ac:dyDescent="0.35">
      <c r="A24" s="344">
        <v>42309</v>
      </c>
      <c r="B24" s="345">
        <f>INDEX('Seasonality Analysis'!C$3:N$17,COLUMN(D14),ROW(A11))</f>
        <v>63</v>
      </c>
      <c r="C24" s="346">
        <f t="shared" si="1"/>
        <v>0.98309492847854363</v>
      </c>
      <c r="D24" s="347"/>
      <c r="E24" s="347"/>
      <c r="F24" s="347"/>
      <c r="G24" s="346"/>
      <c r="H24" s="348"/>
      <c r="I24" s="348"/>
      <c r="J24" s="348"/>
      <c r="K24" s="348"/>
      <c r="L24" s="348"/>
      <c r="M24" s="85" t="s">
        <v>538</v>
      </c>
      <c r="AI24" s="388" t="s">
        <v>365</v>
      </c>
      <c r="AJ24" s="85" t="s">
        <v>526</v>
      </c>
      <c r="AK24" s="389" t="str">
        <f t="shared" ca="1" si="2"/>
        <v>=AVERAGE(C25,C37,C49,C13)</v>
      </c>
    </row>
    <row r="25" spans="1:37" x14ac:dyDescent="0.35">
      <c r="A25" s="344">
        <v>42339</v>
      </c>
      <c r="B25" s="345">
        <f>INDEX('Seasonality Analysis'!C$3:N$17,COLUMN(D15),ROW(A12))</f>
        <v>85</v>
      </c>
      <c r="C25" s="346">
        <f t="shared" si="1"/>
        <v>1.3263979193758129</v>
      </c>
      <c r="D25" s="347"/>
      <c r="E25" s="347"/>
      <c r="F25" s="347"/>
      <c r="G25" s="346"/>
      <c r="H25" s="348"/>
      <c r="I25" s="348"/>
      <c r="J25" s="348"/>
      <c r="K25" s="348"/>
      <c r="L25" s="348"/>
      <c r="M25" s="85" t="s">
        <v>528</v>
      </c>
      <c r="AI25" s="388" t="s">
        <v>367</v>
      </c>
      <c r="AJ25" s="85" t="s">
        <v>219</v>
      </c>
      <c r="AK25" s="389" t="str">
        <f t="shared" ca="1" si="2"/>
        <v>=AVERAGE(C17,C21,C22,C23,C24,C29,C33,C34,C36,C35,C41,C45,C46,C47,C48,C53,C57,C58,C59,C60,C14,C26,C50,C44,C56,C16,C28,C40,C52)</v>
      </c>
    </row>
    <row r="26" spans="1:37" x14ac:dyDescent="0.35">
      <c r="A26" s="338">
        <v>42370</v>
      </c>
      <c r="B26" s="339">
        <f>INDEX('Seasonality Analysis'!C$3:N$17,COLUMN(G1),ROW(A1))</f>
        <v>58</v>
      </c>
      <c r="C26" s="340">
        <f t="shared" ref="C26:C37" si="3">IF(B26=0,"",B26/AVERAGE(B$26:B$37))</f>
        <v>0.91820580474934044</v>
      </c>
      <c r="D26" s="341"/>
      <c r="E26" s="341"/>
      <c r="F26" s="341"/>
      <c r="G26" s="340"/>
      <c r="H26" s="343"/>
      <c r="I26" s="343"/>
      <c r="J26" s="343"/>
      <c r="K26" s="343"/>
      <c r="L26" s="343"/>
      <c r="M26" s="85" t="s">
        <v>529</v>
      </c>
      <c r="N26" s="69"/>
      <c r="AI26" s="388"/>
      <c r="AJ26" s="85"/>
      <c r="AK26" s="389"/>
    </row>
    <row r="27" spans="1:37" x14ac:dyDescent="0.35">
      <c r="A27" s="338">
        <v>42401</v>
      </c>
      <c r="B27" s="339">
        <f>INDEX('Seasonality Analysis'!C$3:N$17,COLUMN(G2),ROW(A2))</f>
        <v>68</v>
      </c>
      <c r="C27" s="340">
        <f t="shared" si="3"/>
        <v>1.0765171503957784</v>
      </c>
      <c r="D27" s="341"/>
      <c r="E27" s="341"/>
      <c r="F27" s="341"/>
      <c r="G27" s="340"/>
      <c r="H27" s="343"/>
      <c r="I27" s="343"/>
      <c r="J27" s="343"/>
      <c r="K27" s="343"/>
      <c r="L27" s="343"/>
      <c r="M27" s="85" t="s">
        <v>530</v>
      </c>
      <c r="AI27" s="388" t="s">
        <v>758</v>
      </c>
      <c r="AJ27" s="85" t="s">
        <v>759</v>
      </c>
      <c r="AK27" s="389" t="str">
        <f ca="1">_xlfn.FORMULATEXT(N12)</f>
        <v>=STDEV.S(G50:G61)</v>
      </c>
    </row>
    <row r="28" spans="1:37" x14ac:dyDescent="0.35">
      <c r="A28" s="338">
        <v>42430</v>
      </c>
      <c r="B28" s="339">
        <f>INDEX('Seasonality Analysis'!C$3:N$17,COLUMN(G3),ROW(A3))</f>
        <v>55</v>
      </c>
      <c r="C28" s="340">
        <f t="shared" si="3"/>
        <v>0.87071240105540904</v>
      </c>
      <c r="D28" s="341"/>
      <c r="E28" s="341"/>
      <c r="F28" s="341"/>
      <c r="G28" s="340"/>
      <c r="H28" s="343"/>
      <c r="I28" s="343"/>
      <c r="J28" s="343"/>
      <c r="K28" s="343"/>
      <c r="L28" s="343"/>
      <c r="M28" s="85" t="s">
        <v>531</v>
      </c>
      <c r="AI28" s="388" t="s">
        <v>760</v>
      </c>
      <c r="AJ28" s="85" t="s">
        <v>761</v>
      </c>
      <c r="AK28" s="389" t="s">
        <v>344</v>
      </c>
    </row>
    <row r="29" spans="1:37" x14ac:dyDescent="0.35">
      <c r="A29" s="338">
        <v>42461</v>
      </c>
      <c r="B29" s="339">
        <f>INDEX('Seasonality Analysis'!C$3:N$17,COLUMN(G4),ROW(A4))</f>
        <v>56</v>
      </c>
      <c r="C29" s="340">
        <f t="shared" si="3"/>
        <v>0.88654353562005284</v>
      </c>
      <c r="D29" s="341"/>
      <c r="E29" s="341"/>
      <c r="F29" s="341"/>
      <c r="G29" s="340"/>
      <c r="H29" s="343"/>
      <c r="I29" s="343"/>
      <c r="J29" s="343"/>
      <c r="K29" s="343"/>
      <c r="L29" s="343"/>
      <c r="M29" s="85" t="s">
        <v>532</v>
      </c>
      <c r="AI29" s="388" t="s">
        <v>762</v>
      </c>
      <c r="AJ29" s="85" t="s">
        <v>763</v>
      </c>
      <c r="AK29" s="389" t="s">
        <v>344</v>
      </c>
    </row>
    <row r="30" spans="1:37" x14ac:dyDescent="0.35">
      <c r="A30" s="338">
        <v>42491</v>
      </c>
      <c r="B30" s="339">
        <f>INDEX('Seasonality Analysis'!C$3:N$17,COLUMN(G5),ROW(A5))</f>
        <v>72</v>
      </c>
      <c r="C30" s="340">
        <f t="shared" si="3"/>
        <v>1.1398416886543536</v>
      </c>
      <c r="D30" s="341"/>
      <c r="E30" s="341"/>
      <c r="F30" s="341"/>
      <c r="G30" s="340"/>
      <c r="H30" s="343"/>
      <c r="I30" s="343"/>
      <c r="J30" s="343"/>
      <c r="K30" s="343"/>
      <c r="L30" s="343"/>
      <c r="M30" s="85" t="s">
        <v>533</v>
      </c>
      <c r="AI30" s="388"/>
      <c r="AJ30" s="85"/>
      <c r="AK30" s="389"/>
    </row>
    <row r="31" spans="1:37" x14ac:dyDescent="0.35">
      <c r="A31" s="338">
        <v>42522</v>
      </c>
      <c r="B31" s="339">
        <f>INDEX('Seasonality Analysis'!C$3:N$17,COLUMN(G6),ROW(A6))</f>
        <v>70</v>
      </c>
      <c r="C31" s="340">
        <f t="shared" si="3"/>
        <v>1.108179419525066</v>
      </c>
      <c r="D31" s="341"/>
      <c r="E31" s="341"/>
      <c r="F31" s="341"/>
      <c r="G31" s="340"/>
      <c r="H31" s="343"/>
      <c r="I31" s="343"/>
      <c r="J31" s="343"/>
      <c r="K31" s="343"/>
      <c r="L31" s="343"/>
      <c r="AI31" s="388" t="s">
        <v>756</v>
      </c>
      <c r="AJ31" s="85" t="s">
        <v>757</v>
      </c>
      <c r="AK31" s="389" t="s">
        <v>344</v>
      </c>
    </row>
    <row r="32" spans="1:37" x14ac:dyDescent="0.35">
      <c r="A32" s="338">
        <v>42552</v>
      </c>
      <c r="B32" s="339">
        <f>INDEX('Seasonality Analysis'!C$3:N$17,COLUMN(G7),ROW(A7))</f>
        <v>72</v>
      </c>
      <c r="C32" s="340">
        <f t="shared" si="3"/>
        <v>1.1398416886543536</v>
      </c>
      <c r="D32" s="341"/>
      <c r="E32" s="341"/>
      <c r="F32" s="341"/>
      <c r="G32" s="340"/>
      <c r="H32" s="343"/>
      <c r="I32" s="343"/>
      <c r="J32" s="343"/>
      <c r="K32" s="343"/>
      <c r="L32" s="343"/>
      <c r="M32" s="30" t="s">
        <v>51</v>
      </c>
      <c r="AI32" s="388"/>
      <c r="AJ32" s="85"/>
      <c r="AK32" s="389"/>
    </row>
    <row r="33" spans="1:37" x14ac:dyDescent="0.35">
      <c r="A33" s="338">
        <v>42583</v>
      </c>
      <c r="B33" s="339">
        <f>INDEX('Seasonality Analysis'!C$3:N$17,COLUMN(G8),ROW(A8))</f>
        <v>61</v>
      </c>
      <c r="C33" s="340">
        <f t="shared" si="3"/>
        <v>0.96569920844327184</v>
      </c>
      <c r="D33" s="341"/>
      <c r="E33" s="341"/>
      <c r="F33" s="341"/>
      <c r="G33" s="340"/>
      <c r="H33" s="343"/>
      <c r="I33" s="343"/>
      <c r="J33" s="343"/>
      <c r="K33" s="343"/>
      <c r="L33" s="343"/>
      <c r="M33" s="85" t="s">
        <v>534</v>
      </c>
      <c r="AI33" s="380"/>
      <c r="AJ33" s="320"/>
      <c r="AK33" s="321"/>
    </row>
    <row r="34" spans="1:37" x14ac:dyDescent="0.35">
      <c r="A34" s="338">
        <v>42614</v>
      </c>
      <c r="B34" s="339">
        <f>INDEX('Seasonality Analysis'!C$3:N$17,COLUMN(G9),ROW(A9))</f>
        <v>57</v>
      </c>
      <c r="C34" s="340">
        <f t="shared" si="3"/>
        <v>0.90237467018469664</v>
      </c>
      <c r="D34" s="341"/>
      <c r="E34" s="341"/>
      <c r="F34" s="341"/>
      <c r="G34" s="340"/>
      <c r="H34" s="343"/>
      <c r="I34" s="343"/>
      <c r="J34" s="343"/>
      <c r="K34" s="343"/>
      <c r="L34" s="343"/>
    </row>
    <row r="35" spans="1:37" x14ac:dyDescent="0.35">
      <c r="A35" s="338">
        <v>42644</v>
      </c>
      <c r="B35" s="339">
        <f>INDEX('Seasonality Analysis'!C$3:N$17,COLUMN(G10),ROW(A10))</f>
        <v>57</v>
      </c>
      <c r="C35" s="340">
        <f t="shared" si="3"/>
        <v>0.90237467018469664</v>
      </c>
      <c r="D35" s="341"/>
      <c r="E35" s="341"/>
      <c r="F35" s="341"/>
      <c r="G35" s="340"/>
      <c r="H35" s="343"/>
      <c r="I35" s="343"/>
      <c r="J35" s="343"/>
      <c r="K35" s="343"/>
      <c r="L35" s="343"/>
    </row>
    <row r="36" spans="1:37" x14ac:dyDescent="0.35">
      <c r="A36" s="338">
        <v>42675</v>
      </c>
      <c r="B36" s="339">
        <f>INDEX('Seasonality Analysis'!C$3:N$17,COLUMN(G11),ROW(A11))</f>
        <v>55</v>
      </c>
      <c r="C36" s="340">
        <f t="shared" si="3"/>
        <v>0.87071240105540904</v>
      </c>
      <c r="D36" s="341"/>
      <c r="E36" s="341"/>
      <c r="F36" s="341"/>
      <c r="G36" s="340"/>
      <c r="H36" s="343"/>
      <c r="I36" s="343"/>
      <c r="J36" s="343"/>
      <c r="K36" s="343"/>
      <c r="L36" s="343"/>
      <c r="M36" s="85"/>
    </row>
    <row r="37" spans="1:37" x14ac:dyDescent="0.35">
      <c r="A37" s="338">
        <v>42705</v>
      </c>
      <c r="B37" s="339">
        <f>INDEX('Seasonality Analysis'!C$3:N$17,COLUMN(G12),ROW(A12))</f>
        <v>77</v>
      </c>
      <c r="C37" s="340">
        <f t="shared" si="3"/>
        <v>1.2189973614775726</v>
      </c>
      <c r="D37" s="341"/>
      <c r="E37" s="341"/>
      <c r="F37" s="341"/>
      <c r="G37" s="340"/>
      <c r="H37" s="343"/>
      <c r="I37" s="343"/>
      <c r="J37" s="343"/>
      <c r="K37" s="343"/>
      <c r="L37" s="343"/>
    </row>
    <row r="38" spans="1:37" x14ac:dyDescent="0.35">
      <c r="A38" s="344">
        <v>42736</v>
      </c>
      <c r="B38" s="345">
        <f>INDEX('Seasonality Analysis'!C$3:N$17,COLUMN(J13),ROW(A1))</f>
        <v>67</v>
      </c>
      <c r="C38" s="346">
        <f t="shared" ref="C38:C49" si="4">IF(B38=0,"",B38/AVERAGE(B$38:B$49))</f>
        <v>1.0578947368421052</v>
      </c>
      <c r="D38" s="347"/>
      <c r="E38" s="347"/>
      <c r="F38" s="347"/>
      <c r="G38" s="346"/>
      <c r="H38" s="348"/>
      <c r="I38" s="348"/>
      <c r="J38" s="348"/>
      <c r="K38" s="348"/>
      <c r="L38" s="348"/>
    </row>
    <row r="39" spans="1:37" x14ac:dyDescent="0.35">
      <c r="A39" s="344">
        <v>42767</v>
      </c>
      <c r="B39" s="345">
        <f>INDEX('Seasonality Analysis'!C$3:N$17,COLUMN(J14),ROW(A2))</f>
        <v>70</v>
      </c>
      <c r="C39" s="346">
        <f t="shared" si="4"/>
        <v>1.1052631578947367</v>
      </c>
      <c r="D39" s="347"/>
      <c r="E39" s="347"/>
      <c r="F39" s="347"/>
      <c r="G39" s="346"/>
      <c r="H39" s="348"/>
      <c r="I39" s="348"/>
      <c r="J39" s="348"/>
      <c r="K39" s="348"/>
      <c r="L39" s="348"/>
    </row>
    <row r="40" spans="1:37" x14ac:dyDescent="0.35">
      <c r="A40" s="344">
        <v>42795</v>
      </c>
      <c r="B40" s="345">
        <f>INDEX('Seasonality Analysis'!C$3:N$17,COLUMN(J15),ROW(A3))</f>
        <v>60</v>
      </c>
      <c r="C40" s="346">
        <f t="shared" si="4"/>
        <v>0.94736842105263153</v>
      </c>
      <c r="D40" s="347"/>
      <c r="E40" s="347"/>
      <c r="F40" s="347"/>
      <c r="G40" s="346"/>
      <c r="H40" s="348"/>
      <c r="I40" s="348"/>
      <c r="J40" s="348"/>
      <c r="K40" s="348"/>
      <c r="L40" s="348"/>
    </row>
    <row r="41" spans="1:37" x14ac:dyDescent="0.35">
      <c r="A41" s="344">
        <v>42826</v>
      </c>
      <c r="B41" s="345">
        <f>INDEX('Seasonality Analysis'!C$3:N$17,COLUMN(J16),ROW(A4))</f>
        <v>59</v>
      </c>
      <c r="C41" s="346">
        <f t="shared" si="4"/>
        <v>0.93157894736842106</v>
      </c>
      <c r="D41" s="347"/>
      <c r="E41" s="347"/>
      <c r="F41" s="347"/>
      <c r="G41" s="346"/>
      <c r="H41" s="348"/>
      <c r="I41" s="348"/>
      <c r="J41" s="348"/>
      <c r="K41" s="348"/>
      <c r="L41" s="348"/>
    </row>
    <row r="42" spans="1:37" x14ac:dyDescent="0.35">
      <c r="A42" s="344">
        <v>42856</v>
      </c>
      <c r="B42" s="345">
        <f>INDEX('Seasonality Analysis'!C$3:N$17,COLUMN(J17),ROW(A5))</f>
        <v>66</v>
      </c>
      <c r="C42" s="346">
        <f t="shared" si="4"/>
        <v>1.0421052631578946</v>
      </c>
      <c r="D42" s="347"/>
      <c r="E42" s="347"/>
      <c r="F42" s="347"/>
      <c r="G42" s="346"/>
      <c r="H42" s="348"/>
      <c r="I42" s="348"/>
      <c r="J42" s="348"/>
      <c r="K42" s="348"/>
      <c r="L42" s="348"/>
    </row>
    <row r="43" spans="1:37" x14ac:dyDescent="0.35">
      <c r="A43" s="344">
        <v>42887</v>
      </c>
      <c r="B43" s="345">
        <f>INDEX('Seasonality Analysis'!C$3:N$17,COLUMN(J18),ROW(A6))</f>
        <v>69</v>
      </c>
      <c r="C43" s="346">
        <f t="shared" si="4"/>
        <v>1.0894736842105264</v>
      </c>
      <c r="D43" s="347"/>
      <c r="E43" s="347"/>
      <c r="F43" s="347"/>
      <c r="G43" s="346"/>
      <c r="H43" s="348"/>
      <c r="I43" s="348"/>
      <c r="J43" s="348"/>
      <c r="K43" s="348"/>
      <c r="L43" s="348"/>
    </row>
    <row r="44" spans="1:37" x14ac:dyDescent="0.35">
      <c r="A44" s="344">
        <v>42917</v>
      </c>
      <c r="B44" s="345">
        <f>INDEX('Seasonality Analysis'!C$3:N$17,COLUMN(J19),ROW(A7))</f>
        <v>64</v>
      </c>
      <c r="C44" s="346">
        <f t="shared" si="4"/>
        <v>1.0105263157894737</v>
      </c>
      <c r="D44" s="347"/>
      <c r="E44" s="347"/>
      <c r="F44" s="347"/>
      <c r="G44" s="346"/>
      <c r="H44" s="348"/>
      <c r="I44" s="348"/>
      <c r="J44" s="348"/>
      <c r="K44" s="348"/>
      <c r="L44" s="348"/>
    </row>
    <row r="45" spans="1:37" x14ac:dyDescent="0.35">
      <c r="A45" s="344">
        <v>42948</v>
      </c>
      <c r="B45" s="345">
        <f>INDEX('Seasonality Analysis'!C$3:N$17,COLUMN(J20),ROW(A8))</f>
        <v>57</v>
      </c>
      <c r="C45" s="346">
        <f t="shared" si="4"/>
        <v>0.89999999999999991</v>
      </c>
      <c r="D45" s="347"/>
      <c r="E45" s="347"/>
      <c r="F45" s="347"/>
      <c r="G45" s="346"/>
      <c r="H45" s="348"/>
      <c r="I45" s="348"/>
      <c r="J45" s="348"/>
      <c r="K45" s="348"/>
      <c r="L45" s="348"/>
    </row>
    <row r="46" spans="1:37" x14ac:dyDescent="0.35">
      <c r="A46" s="344">
        <v>42979</v>
      </c>
      <c r="B46" s="345">
        <f>INDEX('Seasonality Analysis'!C$3:N$17,COLUMN(J21),ROW(A9))</f>
        <v>58</v>
      </c>
      <c r="C46" s="346">
        <f t="shared" si="4"/>
        <v>0.91578947368421049</v>
      </c>
      <c r="D46" s="347"/>
      <c r="E46" s="347"/>
      <c r="F46" s="347"/>
      <c r="G46" s="346"/>
      <c r="H46" s="348"/>
      <c r="I46" s="348"/>
      <c r="J46" s="348"/>
      <c r="K46" s="348"/>
      <c r="L46" s="348"/>
    </row>
    <row r="47" spans="1:37" x14ac:dyDescent="0.35">
      <c r="A47" s="344">
        <v>43009</v>
      </c>
      <c r="B47" s="345">
        <f>INDEX('Seasonality Analysis'!C$3:N$17,COLUMN(J22),ROW(A10))</f>
        <v>59</v>
      </c>
      <c r="C47" s="346">
        <f t="shared" si="4"/>
        <v>0.93157894736842106</v>
      </c>
      <c r="D47" s="347"/>
      <c r="E47" s="347"/>
      <c r="F47" s="347"/>
      <c r="G47" s="346"/>
      <c r="H47" s="348"/>
      <c r="I47" s="348"/>
      <c r="J47" s="348"/>
      <c r="K47" s="348"/>
      <c r="L47" s="348"/>
    </row>
    <row r="48" spans="1:37" x14ac:dyDescent="0.35">
      <c r="A48" s="344">
        <v>43040</v>
      </c>
      <c r="B48" s="345">
        <f>INDEX('Seasonality Analysis'!C$3:N$17,COLUMN(J23),ROW(A11))</f>
        <v>58</v>
      </c>
      <c r="C48" s="346">
        <f t="shared" si="4"/>
        <v>0.91578947368421049</v>
      </c>
      <c r="D48" s="347"/>
      <c r="E48" s="347"/>
      <c r="F48" s="347"/>
      <c r="G48" s="346"/>
      <c r="H48" s="348"/>
      <c r="I48" s="348"/>
      <c r="J48" s="348"/>
      <c r="K48" s="348"/>
      <c r="L48" s="348"/>
    </row>
    <row r="49" spans="1:12" x14ac:dyDescent="0.35">
      <c r="A49" s="344">
        <v>43070</v>
      </c>
      <c r="B49" s="345">
        <f>INDEX('Seasonality Analysis'!C$3:N$17,COLUMN(J24),ROW(A12))</f>
        <v>73</v>
      </c>
      <c r="C49" s="346">
        <f t="shared" si="4"/>
        <v>1.1526315789473685</v>
      </c>
      <c r="D49" s="347"/>
      <c r="E49" s="347"/>
      <c r="F49" s="347"/>
      <c r="G49" s="346"/>
      <c r="H49" s="348"/>
      <c r="I49" s="348"/>
      <c r="J49" s="348"/>
      <c r="K49" s="348"/>
      <c r="L49" s="348"/>
    </row>
    <row r="50" spans="1:12" x14ac:dyDescent="0.35">
      <c r="A50" s="338">
        <v>43101</v>
      </c>
      <c r="B50" s="339">
        <f>INDEX('Seasonality Analysis'!C$3:N$17,COLUMN(M25),ROW(A1))</f>
        <v>62</v>
      </c>
      <c r="C50" s="340">
        <f t="shared" ref="C50:C61" si="5">IF(B50=0,"",B50/AVERAGE(B$50:B$61))</f>
        <v>0.97637795275590555</v>
      </c>
      <c r="D50" s="424">
        <f>N9</f>
        <v>0.92014022173874899</v>
      </c>
      <c r="E50" s="341"/>
      <c r="F50" s="341"/>
      <c r="G50" s="340">
        <f>IF(OR(C50="",D50=""),"",(ABS(C50-D50))^(1/2))</f>
        <v>0.23714495781516537</v>
      </c>
      <c r="H50" s="343"/>
      <c r="I50" s="343"/>
      <c r="J50" s="343"/>
      <c r="K50" s="343"/>
      <c r="L50" s="343"/>
    </row>
    <row r="51" spans="1:12" x14ac:dyDescent="0.35">
      <c r="A51" s="338">
        <v>43132</v>
      </c>
      <c r="B51" s="339">
        <f>INDEX('Seasonality Analysis'!C$3:N$17,COLUMN(M26),ROW(A2))</f>
        <v>74</v>
      </c>
      <c r="C51" s="340">
        <f t="shared" si="5"/>
        <v>1.1653543307086613</v>
      </c>
      <c r="D51" s="424">
        <f>N3+N4-100%</f>
        <v>1.480872233587502</v>
      </c>
      <c r="E51" s="341"/>
      <c r="F51" s="341"/>
      <c r="G51" s="340">
        <f t="shared" ref="G51:G61" si="6">IF(OR(C51="",D51=""),"",C51-D51)</f>
        <v>-0.31551790287884063</v>
      </c>
      <c r="H51" s="343"/>
      <c r="I51" s="343"/>
      <c r="J51" s="343"/>
      <c r="K51" s="343"/>
      <c r="L51" s="343"/>
    </row>
    <row r="52" spans="1:12" x14ac:dyDescent="0.35">
      <c r="A52" s="338">
        <v>43160</v>
      </c>
      <c r="B52" s="339">
        <f>INDEX('Seasonality Analysis'!C$3:N$17,COLUMN(M27),ROW(A3))</f>
        <v>61</v>
      </c>
      <c r="C52" s="340">
        <f t="shared" si="5"/>
        <v>0.96062992125984248</v>
      </c>
      <c r="D52" s="424">
        <f>N9</f>
        <v>0.92014022173874899</v>
      </c>
      <c r="E52" s="341"/>
      <c r="F52" s="341"/>
      <c r="G52" s="340">
        <f t="shared" si="6"/>
        <v>4.0489699521093492E-2</v>
      </c>
      <c r="H52" s="343"/>
      <c r="I52" s="343"/>
      <c r="J52" s="343"/>
      <c r="K52" s="343"/>
      <c r="L52" s="343"/>
    </row>
    <row r="53" spans="1:12" x14ac:dyDescent="0.35">
      <c r="A53" s="338">
        <v>43191</v>
      </c>
      <c r="B53" s="339">
        <f>INDEX('Seasonality Analysis'!C$3:N$17,COLUMN(M28),ROW(A4))</f>
        <v>60</v>
      </c>
      <c r="C53" s="340">
        <f t="shared" si="5"/>
        <v>0.94488188976377951</v>
      </c>
      <c r="D53" s="424">
        <f>N9</f>
        <v>0.92014022173874899</v>
      </c>
      <c r="E53" s="341"/>
      <c r="F53" s="341"/>
      <c r="G53" s="340">
        <f t="shared" si="6"/>
        <v>2.4741668025030528E-2</v>
      </c>
      <c r="H53" s="343"/>
      <c r="I53" s="343"/>
      <c r="J53" s="343"/>
      <c r="K53" s="343"/>
      <c r="L53" s="343"/>
    </row>
    <row r="54" spans="1:12" x14ac:dyDescent="0.35">
      <c r="A54" s="338">
        <v>43221</v>
      </c>
      <c r="B54" s="339">
        <f>INDEX('Seasonality Analysis'!C$3:N$17,COLUMN(M29),ROW(A5))</f>
        <v>66</v>
      </c>
      <c r="C54" s="340">
        <f t="shared" si="5"/>
        <v>1.0393700787401574</v>
      </c>
      <c r="D54" s="424">
        <f>N5</f>
        <v>1.0545825762451857</v>
      </c>
      <c r="E54" s="341"/>
      <c r="F54" s="341"/>
      <c r="G54" s="340">
        <f t="shared" si="6"/>
        <v>-1.5212497505028288E-2</v>
      </c>
      <c r="H54" s="343"/>
      <c r="I54" s="343"/>
      <c r="J54" s="343"/>
      <c r="K54" s="343"/>
      <c r="L54" s="343"/>
    </row>
    <row r="55" spans="1:12" x14ac:dyDescent="0.35">
      <c r="A55" s="338">
        <v>43252</v>
      </c>
      <c r="B55" s="339">
        <f>INDEX('Seasonality Analysis'!C$3:N$17,COLUMN(M30),ROW(A6))</f>
        <v>71</v>
      </c>
      <c r="C55" s="340">
        <f t="shared" si="5"/>
        <v>1.1181102362204725</v>
      </c>
      <c r="D55" s="424">
        <f>N6+N7-100%</f>
        <v>1.0935853389970953</v>
      </c>
      <c r="E55" s="341"/>
      <c r="F55" s="341"/>
      <c r="G55" s="340">
        <f t="shared" si="6"/>
        <v>2.452489722337714E-2</v>
      </c>
      <c r="H55" s="343"/>
      <c r="I55" s="343"/>
      <c r="J55" s="343"/>
      <c r="K55" s="343"/>
      <c r="L55" s="343"/>
    </row>
    <row r="56" spans="1:12" x14ac:dyDescent="0.35">
      <c r="A56" s="338">
        <v>43282</v>
      </c>
      <c r="B56" s="339">
        <f>INDEX('Seasonality Analysis'!C$3:N$17,COLUMN(M31),ROW(A7))</f>
        <v>60</v>
      </c>
      <c r="C56" s="340">
        <f t="shared" si="5"/>
        <v>0.94488188976377951</v>
      </c>
      <c r="D56" s="424">
        <f>N9</f>
        <v>0.92014022173874899</v>
      </c>
      <c r="E56" s="341"/>
      <c r="F56" s="341"/>
      <c r="G56" s="340">
        <f t="shared" si="6"/>
        <v>2.4741668025030528E-2</v>
      </c>
      <c r="H56" s="343"/>
      <c r="I56" s="343"/>
      <c r="J56" s="343"/>
      <c r="K56" s="343"/>
      <c r="L56" s="343"/>
    </row>
    <row r="57" spans="1:12" x14ac:dyDescent="0.35">
      <c r="A57" s="338">
        <v>43313</v>
      </c>
      <c r="B57" s="339">
        <f>INDEX('Seasonality Analysis'!C$3:N$17,COLUMN(M32),ROW(A8))</f>
        <v>54</v>
      </c>
      <c r="C57" s="340">
        <f t="shared" si="5"/>
        <v>0.85039370078740162</v>
      </c>
      <c r="D57" s="424">
        <f>N9</f>
        <v>0.92014022173874899</v>
      </c>
      <c r="E57" s="341"/>
      <c r="F57" s="341"/>
      <c r="G57" s="340">
        <f t="shared" si="6"/>
        <v>-6.9746520951347368E-2</v>
      </c>
      <c r="H57" s="343"/>
      <c r="I57" s="343"/>
      <c r="J57" s="343"/>
      <c r="K57" s="343"/>
      <c r="L57" s="343"/>
    </row>
    <row r="58" spans="1:12" x14ac:dyDescent="0.35">
      <c r="A58" s="338">
        <v>43344</v>
      </c>
      <c r="B58" s="339">
        <f>INDEX('Seasonality Analysis'!C$3:N$17,COLUMN(M33),ROW(A9))</f>
        <v>57</v>
      </c>
      <c r="C58" s="340">
        <f t="shared" si="5"/>
        <v>0.89763779527559051</v>
      </c>
      <c r="D58" s="424">
        <f>N9</f>
        <v>0.92014022173874899</v>
      </c>
      <c r="E58" s="341"/>
      <c r="F58" s="341"/>
      <c r="G58" s="340">
        <f t="shared" si="6"/>
        <v>-2.2502426463158476E-2</v>
      </c>
      <c r="H58" s="343"/>
      <c r="I58" s="343"/>
      <c r="J58" s="343"/>
      <c r="K58" s="343"/>
      <c r="L58" s="343"/>
    </row>
    <row r="59" spans="1:12" x14ac:dyDescent="0.35">
      <c r="A59" s="338">
        <v>43374</v>
      </c>
      <c r="B59" s="339">
        <f>INDEX('Seasonality Analysis'!C$3:N$17,COLUMN(M34),ROW(A10))</f>
        <v>61</v>
      </c>
      <c r="C59" s="340">
        <f t="shared" si="5"/>
        <v>0.96062992125984248</v>
      </c>
      <c r="D59" s="424">
        <f>N9</f>
        <v>0.92014022173874899</v>
      </c>
      <c r="E59" s="341"/>
      <c r="F59" s="341"/>
      <c r="G59" s="340">
        <f t="shared" si="6"/>
        <v>4.0489699521093492E-2</v>
      </c>
      <c r="H59" s="343"/>
      <c r="I59" s="343"/>
      <c r="J59" s="343"/>
      <c r="K59" s="343"/>
      <c r="L59" s="343"/>
    </row>
    <row r="60" spans="1:12" x14ac:dyDescent="0.35">
      <c r="A60" s="338">
        <v>43405</v>
      </c>
      <c r="B60" s="339">
        <f>INDEX('Seasonality Analysis'!C$3:N$17,COLUMN(M35),ROW(A11))</f>
        <v>53</v>
      </c>
      <c r="C60" s="340">
        <f t="shared" si="5"/>
        <v>0.83464566929133854</v>
      </c>
      <c r="D60" s="424">
        <f>N9</f>
        <v>0.92014022173874899</v>
      </c>
      <c r="E60" s="341"/>
      <c r="F60" s="341"/>
      <c r="G60" s="340">
        <f t="shared" si="6"/>
        <v>-8.5494552447410443E-2</v>
      </c>
      <c r="H60" s="343"/>
      <c r="I60" s="343"/>
      <c r="J60" s="343"/>
      <c r="K60" s="343"/>
      <c r="L60" s="343"/>
    </row>
    <row r="61" spans="1:12" x14ac:dyDescent="0.35">
      <c r="A61" s="338">
        <v>43435</v>
      </c>
      <c r="B61" s="339">
        <f>INDEX('Seasonality Analysis'!C$3:N$17,COLUMN(M36),ROW(A12))</f>
        <v>83</v>
      </c>
      <c r="C61" s="340">
        <f t="shared" si="5"/>
        <v>1.3070866141732282</v>
      </c>
      <c r="D61" s="424">
        <f>N8</f>
        <v>1.4757434640667961</v>
      </c>
      <c r="E61" s="341"/>
      <c r="F61" s="341"/>
      <c r="G61" s="340">
        <f t="shared" si="6"/>
        <v>-0.16865684989356788</v>
      </c>
      <c r="H61" s="343"/>
      <c r="I61" s="343"/>
      <c r="J61" s="343"/>
      <c r="K61" s="343"/>
      <c r="L61" s="343"/>
    </row>
    <row r="62" spans="1:12" x14ac:dyDescent="0.35">
      <c r="A62" s="349">
        <v>43466</v>
      </c>
      <c r="B62" s="348"/>
      <c r="C62" s="346" t="str">
        <f>IF(B62=0,"",B62/AVERAGE(B$62:B$73))</f>
        <v/>
      </c>
      <c r="D62" s="425">
        <f>N9</f>
        <v>0.92014022173874899</v>
      </c>
      <c r="E62" s="347">
        <f>'Growth Projection'!C$16/12</f>
        <v>95.198946430573415</v>
      </c>
      <c r="F62" s="347">
        <f>IFERROR(E62*D62,"")</f>
        <v>87.59637967792311</v>
      </c>
      <c r="G62" s="346"/>
      <c r="H62" s="347">
        <f t="shared" ref="H62:H93" si="7">IFERROR(F62+2*N$12*F62,"")</f>
        <v>110.95102229682865</v>
      </c>
      <c r="I62" s="347">
        <f t="shared" ref="I62:I93" si="8">IFERROR(IF(OR(ISBLANK(H62),ISBLANK(F62)),"",(H62*N$14)-(N$13*F62)),"")</f>
        <v>67.152832457867106</v>
      </c>
      <c r="J62" s="347">
        <f t="shared" ref="J62:J93" si="9">IFERROR(F62+I62,"")</f>
        <v>154.74921213579023</v>
      </c>
      <c r="K62" s="350">
        <v>150</v>
      </c>
      <c r="L62" s="347">
        <f>IF(OR(J62="",K62=""),"",IF(J62&gt;K62,J62-K62,0))</f>
        <v>4.7492121357902306</v>
      </c>
    </row>
    <row r="63" spans="1:12" x14ac:dyDescent="0.35">
      <c r="A63" s="349">
        <v>43497</v>
      </c>
      <c r="B63" s="348"/>
      <c r="C63" s="346" t="str">
        <f t="shared" ref="C63:C73" si="10">IF(B63=0,"",B63/AVERAGE(B$62:B$73))</f>
        <v/>
      </c>
      <c r="D63" s="425">
        <f>N3+N4-100%</f>
        <v>1.480872233587502</v>
      </c>
      <c r="E63" s="347">
        <f>'Growth Projection'!C$16/12</f>
        <v>95.198946430573415</v>
      </c>
      <c r="F63" s="347">
        <f t="shared" ref="F63:F126" si="11">IFERROR(E63*D63,"")</f>
        <v>140.97747643582019</v>
      </c>
      <c r="G63" s="346"/>
      <c r="H63" s="347">
        <f t="shared" si="7"/>
        <v>178.56440173546886</v>
      </c>
      <c r="I63" s="347">
        <f t="shared" si="8"/>
        <v>108.07566351755877</v>
      </c>
      <c r="J63" s="347">
        <f t="shared" si="9"/>
        <v>249.05313995337895</v>
      </c>
      <c r="K63" s="347">
        <f t="shared" ref="K63:K94" si="12">IFERROR(K62+L62-F62,"")</f>
        <v>67.15283245786712</v>
      </c>
      <c r="L63" s="347">
        <f t="shared" ref="L63:L126" si="13">IF(OR(J63="",K63=""),"",IF(J63&gt;K63,J63-K63,0))</f>
        <v>181.90030749551181</v>
      </c>
    </row>
    <row r="64" spans="1:12" x14ac:dyDescent="0.35">
      <c r="A64" s="349">
        <v>43525</v>
      </c>
      <c r="B64" s="348"/>
      <c r="C64" s="346" t="str">
        <f t="shared" si="10"/>
        <v/>
      </c>
      <c r="D64" s="425">
        <f>N9</f>
        <v>0.92014022173874899</v>
      </c>
      <c r="E64" s="347">
        <f>'Growth Projection'!C$16/12</f>
        <v>95.198946430573415</v>
      </c>
      <c r="F64" s="347">
        <f t="shared" si="11"/>
        <v>87.59637967792311</v>
      </c>
      <c r="G64" s="346"/>
      <c r="H64" s="347">
        <f t="shared" si="7"/>
        <v>110.95102229682865</v>
      </c>
      <c r="I64" s="347">
        <f t="shared" si="8"/>
        <v>67.152832457867106</v>
      </c>
      <c r="J64" s="347">
        <f t="shared" si="9"/>
        <v>154.74921213579023</v>
      </c>
      <c r="K64" s="347">
        <f t="shared" si="12"/>
        <v>108.07566351755875</v>
      </c>
      <c r="L64" s="347">
        <f t="shared" si="13"/>
        <v>46.673548618231479</v>
      </c>
    </row>
    <row r="65" spans="1:12" x14ac:dyDescent="0.35">
      <c r="A65" s="349">
        <v>43556</v>
      </c>
      <c r="B65" s="348"/>
      <c r="C65" s="346" t="str">
        <f t="shared" si="10"/>
        <v/>
      </c>
      <c r="D65" s="425">
        <f>N9</f>
        <v>0.92014022173874899</v>
      </c>
      <c r="E65" s="347">
        <f>'Growth Projection'!C$16/12</f>
        <v>95.198946430573415</v>
      </c>
      <c r="F65" s="347">
        <f t="shared" si="11"/>
        <v>87.59637967792311</v>
      </c>
      <c r="G65" s="346"/>
      <c r="H65" s="347">
        <f t="shared" si="7"/>
        <v>110.95102229682865</v>
      </c>
      <c r="I65" s="347">
        <f t="shared" si="8"/>
        <v>67.152832457867106</v>
      </c>
      <c r="J65" s="347">
        <f t="shared" si="9"/>
        <v>154.74921213579023</v>
      </c>
      <c r="K65" s="347">
        <f t="shared" si="12"/>
        <v>67.15283245786712</v>
      </c>
      <c r="L65" s="347">
        <f t="shared" si="13"/>
        <v>87.59637967792311</v>
      </c>
    </row>
    <row r="66" spans="1:12" x14ac:dyDescent="0.35">
      <c r="A66" s="349">
        <v>43586</v>
      </c>
      <c r="B66" s="348"/>
      <c r="C66" s="346" t="str">
        <f t="shared" si="10"/>
        <v/>
      </c>
      <c r="D66" s="425">
        <f>N5</f>
        <v>1.0545825762451857</v>
      </c>
      <c r="E66" s="347">
        <f>'Growth Projection'!C$16/12</f>
        <v>95.198946430573415</v>
      </c>
      <c r="F66" s="347">
        <f t="shared" si="11"/>
        <v>100.39515018258153</v>
      </c>
      <c r="G66" s="346"/>
      <c r="H66" s="347">
        <f t="shared" si="7"/>
        <v>127.16215655666429</v>
      </c>
      <c r="I66" s="347">
        <f t="shared" si="8"/>
        <v>76.964581465373527</v>
      </c>
      <c r="J66" s="347">
        <f t="shared" si="9"/>
        <v>177.35973164795507</v>
      </c>
      <c r="K66" s="347">
        <f t="shared" si="12"/>
        <v>67.15283245786712</v>
      </c>
      <c r="L66" s="347">
        <f t="shared" si="13"/>
        <v>110.20689919008795</v>
      </c>
    </row>
    <row r="67" spans="1:12" x14ac:dyDescent="0.35">
      <c r="A67" s="349">
        <v>43617</v>
      </c>
      <c r="B67" s="348"/>
      <c r="C67" s="346" t="str">
        <f t="shared" si="10"/>
        <v/>
      </c>
      <c r="D67" s="425">
        <f>N6+N7-100%</f>
        <v>1.0935853389970953</v>
      </c>
      <c r="E67" s="347">
        <f>'Growth Projection'!C$16/12</f>
        <v>95.198946430573415</v>
      </c>
      <c r="F67" s="347">
        <f t="shared" si="11"/>
        <v>104.10817210444495</v>
      </c>
      <c r="G67" s="346"/>
      <c r="H67" s="347">
        <f t="shared" si="7"/>
        <v>131.86513149188423</v>
      </c>
      <c r="I67" s="347">
        <f t="shared" si="8"/>
        <v>79.811045439661754</v>
      </c>
      <c r="J67" s="347">
        <f t="shared" si="9"/>
        <v>183.91921754410669</v>
      </c>
      <c r="K67" s="347">
        <f t="shared" si="12"/>
        <v>76.964581465373541</v>
      </c>
      <c r="L67" s="347">
        <f t="shared" si="13"/>
        <v>106.95463607873315</v>
      </c>
    </row>
    <row r="68" spans="1:12" x14ac:dyDescent="0.35">
      <c r="A68" s="349">
        <v>43647</v>
      </c>
      <c r="B68" s="348"/>
      <c r="C68" s="346" t="str">
        <f t="shared" si="10"/>
        <v/>
      </c>
      <c r="D68" s="425">
        <f>N9</f>
        <v>0.92014022173874899</v>
      </c>
      <c r="E68" s="347">
        <f>'Growth Projection'!C$16/12</f>
        <v>95.198946430573415</v>
      </c>
      <c r="F68" s="347">
        <f t="shared" si="11"/>
        <v>87.59637967792311</v>
      </c>
      <c r="G68" s="346"/>
      <c r="H68" s="347">
        <f t="shared" si="7"/>
        <v>110.95102229682865</v>
      </c>
      <c r="I68" s="347">
        <f t="shared" si="8"/>
        <v>67.152832457867106</v>
      </c>
      <c r="J68" s="347">
        <f t="shared" si="9"/>
        <v>154.74921213579023</v>
      </c>
      <c r="K68" s="347">
        <f t="shared" si="12"/>
        <v>79.81104543966174</v>
      </c>
      <c r="L68" s="347">
        <f t="shared" si="13"/>
        <v>74.938166696128491</v>
      </c>
    </row>
    <row r="69" spans="1:12" x14ac:dyDescent="0.35">
      <c r="A69" s="349">
        <v>43678</v>
      </c>
      <c r="B69" s="348"/>
      <c r="C69" s="346" t="str">
        <f t="shared" si="10"/>
        <v/>
      </c>
      <c r="D69" s="425">
        <f>N9</f>
        <v>0.92014022173874899</v>
      </c>
      <c r="E69" s="347">
        <f>'Growth Projection'!C$16/12</f>
        <v>95.198946430573415</v>
      </c>
      <c r="F69" s="347">
        <f t="shared" si="11"/>
        <v>87.59637967792311</v>
      </c>
      <c r="G69" s="346"/>
      <c r="H69" s="347">
        <f t="shared" si="7"/>
        <v>110.95102229682865</v>
      </c>
      <c r="I69" s="347">
        <f t="shared" si="8"/>
        <v>67.152832457867106</v>
      </c>
      <c r="J69" s="347">
        <f t="shared" si="9"/>
        <v>154.74921213579023</v>
      </c>
      <c r="K69" s="347">
        <f t="shared" si="12"/>
        <v>67.15283245786712</v>
      </c>
      <c r="L69" s="347">
        <f t="shared" si="13"/>
        <v>87.59637967792311</v>
      </c>
    </row>
    <row r="70" spans="1:12" x14ac:dyDescent="0.35">
      <c r="A70" s="349">
        <v>43709</v>
      </c>
      <c r="B70" s="348"/>
      <c r="C70" s="346" t="str">
        <f t="shared" si="10"/>
        <v/>
      </c>
      <c r="D70" s="425">
        <f>N9</f>
        <v>0.92014022173874899</v>
      </c>
      <c r="E70" s="347">
        <f>'Growth Projection'!C$16/12</f>
        <v>95.198946430573415</v>
      </c>
      <c r="F70" s="347">
        <f t="shared" si="11"/>
        <v>87.59637967792311</v>
      </c>
      <c r="G70" s="346"/>
      <c r="H70" s="347">
        <f t="shared" si="7"/>
        <v>110.95102229682865</v>
      </c>
      <c r="I70" s="347">
        <f t="shared" si="8"/>
        <v>67.152832457867106</v>
      </c>
      <c r="J70" s="347">
        <f t="shared" si="9"/>
        <v>154.74921213579023</v>
      </c>
      <c r="K70" s="347">
        <f t="shared" si="12"/>
        <v>67.15283245786712</v>
      </c>
      <c r="L70" s="347">
        <f t="shared" si="13"/>
        <v>87.59637967792311</v>
      </c>
    </row>
    <row r="71" spans="1:12" x14ac:dyDescent="0.35">
      <c r="A71" s="349">
        <v>43739</v>
      </c>
      <c r="B71" s="348"/>
      <c r="C71" s="346" t="str">
        <f t="shared" si="10"/>
        <v/>
      </c>
      <c r="D71" s="425">
        <f>N9</f>
        <v>0.92014022173874899</v>
      </c>
      <c r="E71" s="347">
        <f>'Growth Projection'!C$16/12</f>
        <v>95.198946430573415</v>
      </c>
      <c r="F71" s="347">
        <f t="shared" si="11"/>
        <v>87.59637967792311</v>
      </c>
      <c r="G71" s="346"/>
      <c r="H71" s="347">
        <f t="shared" si="7"/>
        <v>110.95102229682865</v>
      </c>
      <c r="I71" s="347">
        <f t="shared" si="8"/>
        <v>67.152832457867106</v>
      </c>
      <c r="J71" s="347">
        <f t="shared" si="9"/>
        <v>154.74921213579023</v>
      </c>
      <c r="K71" s="347">
        <f t="shared" si="12"/>
        <v>67.15283245786712</v>
      </c>
      <c r="L71" s="347">
        <f t="shared" si="13"/>
        <v>87.59637967792311</v>
      </c>
    </row>
    <row r="72" spans="1:12" x14ac:dyDescent="0.35">
      <c r="A72" s="349">
        <v>43770</v>
      </c>
      <c r="B72" s="348"/>
      <c r="C72" s="346" t="str">
        <f t="shared" si="10"/>
        <v/>
      </c>
      <c r="D72" s="425">
        <f>N9</f>
        <v>0.92014022173874899</v>
      </c>
      <c r="E72" s="347">
        <f>'Growth Projection'!C$16/12</f>
        <v>95.198946430573415</v>
      </c>
      <c r="F72" s="347">
        <f t="shared" si="11"/>
        <v>87.59637967792311</v>
      </c>
      <c r="G72" s="346"/>
      <c r="H72" s="347">
        <f t="shared" si="7"/>
        <v>110.95102229682865</v>
      </c>
      <c r="I72" s="347">
        <f t="shared" si="8"/>
        <v>67.152832457867106</v>
      </c>
      <c r="J72" s="347">
        <f t="shared" si="9"/>
        <v>154.74921213579023</v>
      </c>
      <c r="K72" s="347">
        <f t="shared" si="12"/>
        <v>67.15283245786712</v>
      </c>
      <c r="L72" s="347">
        <f t="shared" si="13"/>
        <v>87.59637967792311</v>
      </c>
    </row>
    <row r="73" spans="1:12" x14ac:dyDescent="0.35">
      <c r="A73" s="349">
        <v>43800</v>
      </c>
      <c r="B73" s="348"/>
      <c r="C73" s="346" t="str">
        <f t="shared" si="10"/>
        <v/>
      </c>
      <c r="D73" s="425">
        <f>N8</f>
        <v>1.4757434640667961</v>
      </c>
      <c r="E73" s="347">
        <f>'Growth Projection'!C$16/12</f>
        <v>95.198946430573415</v>
      </c>
      <c r="F73" s="347">
        <f t="shared" si="11"/>
        <v>140.48922298096377</v>
      </c>
      <c r="G73" s="346"/>
      <c r="H73" s="347">
        <f t="shared" si="7"/>
        <v>177.9459718396734</v>
      </c>
      <c r="I73" s="347">
        <f t="shared" si="8"/>
        <v>107.70136034919152</v>
      </c>
      <c r="J73" s="347">
        <f t="shared" si="9"/>
        <v>248.19058333015528</v>
      </c>
      <c r="K73" s="347">
        <f t="shared" si="12"/>
        <v>67.15283245786712</v>
      </c>
      <c r="L73" s="347">
        <f t="shared" si="13"/>
        <v>181.03775087228814</v>
      </c>
    </row>
    <row r="74" spans="1:12" x14ac:dyDescent="0.35">
      <c r="A74" s="338">
        <v>43831</v>
      </c>
      <c r="B74" s="339"/>
      <c r="C74" s="340"/>
      <c r="D74" s="424">
        <f>N3</f>
        <v>1.1649897712479078</v>
      </c>
      <c r="E74" s="341">
        <f>'Growth Projection'!D$16/12</f>
        <v>105.55321139590039</v>
      </c>
      <c r="F74" s="341">
        <f t="shared" si="11"/>
        <v>122.96841159859206</v>
      </c>
      <c r="G74" s="340"/>
      <c r="H74" s="341">
        <f t="shared" si="7"/>
        <v>155.75382255802919</v>
      </c>
      <c r="I74" s="341">
        <f t="shared" si="8"/>
        <v>94.26961675873315</v>
      </c>
      <c r="J74" s="341">
        <f t="shared" si="9"/>
        <v>217.23802835732522</v>
      </c>
      <c r="K74" s="341">
        <f t="shared" si="12"/>
        <v>107.7013603491915</v>
      </c>
      <c r="L74" s="341">
        <f t="shared" si="13"/>
        <v>109.53666800813372</v>
      </c>
    </row>
    <row r="75" spans="1:12" x14ac:dyDescent="0.35">
      <c r="A75" s="338">
        <v>43862</v>
      </c>
      <c r="B75" s="339"/>
      <c r="C75" s="340"/>
      <c r="D75" s="424">
        <f>N4</f>
        <v>1.3158824623395944</v>
      </c>
      <c r="E75" s="341">
        <f>'Growth Projection'!D$16/12</f>
        <v>105.55321139590039</v>
      </c>
      <c r="F75" s="341">
        <f t="shared" si="11"/>
        <v>138.89561971948913</v>
      </c>
      <c r="G75" s="340" t="str">
        <f t="shared" ref="G75:G106" si="14">IF(OR(C75="",D75=""),"",C75-D75)</f>
        <v/>
      </c>
      <c r="H75" s="341">
        <f t="shared" si="7"/>
        <v>175.92748760954564</v>
      </c>
      <c r="I75" s="341">
        <f t="shared" si="8"/>
        <v>106.47967774980107</v>
      </c>
      <c r="J75" s="341">
        <f t="shared" si="9"/>
        <v>245.37529746929022</v>
      </c>
      <c r="K75" s="341">
        <f t="shared" si="12"/>
        <v>94.269616758733164</v>
      </c>
      <c r="L75" s="341">
        <f t="shared" si="13"/>
        <v>151.10568071055707</v>
      </c>
    </row>
    <row r="76" spans="1:12" x14ac:dyDescent="0.35">
      <c r="A76" s="338">
        <v>43891</v>
      </c>
      <c r="B76" s="339"/>
      <c r="C76" s="340"/>
      <c r="D76" s="424">
        <f>N9</f>
        <v>0.92014022173874899</v>
      </c>
      <c r="E76" s="341">
        <f>'Growth Projection'!D$16/12</f>
        <v>105.55321139590039</v>
      </c>
      <c r="F76" s="341">
        <f t="shared" si="11"/>
        <v>97.123755339060835</v>
      </c>
      <c r="G76" s="340" t="str">
        <f t="shared" si="14"/>
        <v/>
      </c>
      <c r="H76" s="341">
        <f t="shared" si="7"/>
        <v>123.0185537781048</v>
      </c>
      <c r="I76" s="341">
        <f t="shared" si="8"/>
        <v>74.456676108574385</v>
      </c>
      <c r="J76" s="341">
        <f t="shared" si="9"/>
        <v>171.58043144763522</v>
      </c>
      <c r="K76" s="341">
        <f t="shared" si="12"/>
        <v>106.47967774980108</v>
      </c>
      <c r="L76" s="341">
        <f t="shared" si="13"/>
        <v>65.100753697834136</v>
      </c>
    </row>
    <row r="77" spans="1:12" x14ac:dyDescent="0.35">
      <c r="A77" s="338">
        <v>43922</v>
      </c>
      <c r="B77" s="339"/>
      <c r="C77" s="340"/>
      <c r="D77" s="424">
        <f>N9</f>
        <v>0.92014022173874899</v>
      </c>
      <c r="E77" s="341">
        <f>'Growth Projection'!D$16/12</f>
        <v>105.55321139590039</v>
      </c>
      <c r="F77" s="341">
        <f t="shared" si="11"/>
        <v>97.123755339060835</v>
      </c>
      <c r="G77" s="340" t="str">
        <f t="shared" si="14"/>
        <v/>
      </c>
      <c r="H77" s="341">
        <f t="shared" si="7"/>
        <v>123.0185537781048</v>
      </c>
      <c r="I77" s="341">
        <f t="shared" si="8"/>
        <v>74.456676108574385</v>
      </c>
      <c r="J77" s="341">
        <f t="shared" si="9"/>
        <v>171.58043144763522</v>
      </c>
      <c r="K77" s="341">
        <f t="shared" si="12"/>
        <v>74.456676108574385</v>
      </c>
      <c r="L77" s="341">
        <f t="shared" si="13"/>
        <v>97.123755339060835</v>
      </c>
    </row>
    <row r="78" spans="1:12" x14ac:dyDescent="0.35">
      <c r="A78" s="338">
        <v>43952</v>
      </c>
      <c r="B78" s="339"/>
      <c r="C78" s="340"/>
      <c r="D78" s="424">
        <f>N5+N6-100%</f>
        <v>1.137861653407457</v>
      </c>
      <c r="E78" s="341">
        <f>'Growth Projection'!D$16/12</f>
        <v>105.55321139590039</v>
      </c>
      <c r="F78" s="341">
        <f t="shared" si="11"/>
        <v>120.10495164140606</v>
      </c>
      <c r="G78" s="340" t="str">
        <f t="shared" si="14"/>
        <v/>
      </c>
      <c r="H78" s="341">
        <f t="shared" si="7"/>
        <v>152.12691684886676</v>
      </c>
      <c r="I78" s="341">
        <f t="shared" si="8"/>
        <v>92.074441028163733</v>
      </c>
      <c r="J78" s="341">
        <f t="shared" si="9"/>
        <v>212.17939266956978</v>
      </c>
      <c r="K78" s="341">
        <f t="shared" si="12"/>
        <v>74.456676108574385</v>
      </c>
      <c r="L78" s="341">
        <f t="shared" si="13"/>
        <v>137.72271656099539</v>
      </c>
    </row>
    <row r="79" spans="1:12" x14ac:dyDescent="0.35">
      <c r="A79" s="338">
        <v>43983</v>
      </c>
      <c r="B79" s="339"/>
      <c r="C79" s="340"/>
      <c r="D79" s="424">
        <f>N9</f>
        <v>0.92014022173874899</v>
      </c>
      <c r="E79" s="341">
        <f>'Growth Projection'!D$16/12</f>
        <v>105.55321139590039</v>
      </c>
      <c r="F79" s="341">
        <f t="shared" si="11"/>
        <v>97.123755339060835</v>
      </c>
      <c r="G79" s="340" t="str">
        <f t="shared" si="14"/>
        <v/>
      </c>
      <c r="H79" s="341">
        <f t="shared" si="7"/>
        <v>123.0185537781048</v>
      </c>
      <c r="I79" s="341">
        <f t="shared" si="8"/>
        <v>74.456676108574385</v>
      </c>
      <c r="J79" s="341">
        <f t="shared" si="9"/>
        <v>171.58043144763522</v>
      </c>
      <c r="K79" s="341">
        <f t="shared" si="12"/>
        <v>92.074441028163719</v>
      </c>
      <c r="L79" s="341">
        <f t="shared" si="13"/>
        <v>79.505990419471502</v>
      </c>
    </row>
    <row r="80" spans="1:12" x14ac:dyDescent="0.35">
      <c r="A80" s="338">
        <v>44013</v>
      </c>
      <c r="B80" s="339"/>
      <c r="C80" s="340"/>
      <c r="D80" s="424">
        <f>N9</f>
        <v>0.92014022173874899</v>
      </c>
      <c r="E80" s="341">
        <f>'Growth Projection'!D$16/12</f>
        <v>105.55321139590039</v>
      </c>
      <c r="F80" s="341">
        <f t="shared" si="11"/>
        <v>97.123755339060835</v>
      </c>
      <c r="G80" s="340" t="str">
        <f t="shared" si="14"/>
        <v/>
      </c>
      <c r="H80" s="341">
        <f t="shared" si="7"/>
        <v>123.0185537781048</v>
      </c>
      <c r="I80" s="341">
        <f t="shared" si="8"/>
        <v>74.456676108574385</v>
      </c>
      <c r="J80" s="341">
        <f t="shared" si="9"/>
        <v>171.58043144763522</v>
      </c>
      <c r="K80" s="341">
        <f t="shared" si="12"/>
        <v>74.456676108574385</v>
      </c>
      <c r="L80" s="341">
        <f t="shared" si="13"/>
        <v>97.123755339060835</v>
      </c>
    </row>
    <row r="81" spans="1:12" x14ac:dyDescent="0.35">
      <c r="A81" s="338">
        <v>44044</v>
      </c>
      <c r="B81" s="339"/>
      <c r="C81" s="340"/>
      <c r="D81" s="424">
        <f>N9</f>
        <v>0.92014022173874899</v>
      </c>
      <c r="E81" s="341">
        <f>'Growth Projection'!D$16/12</f>
        <v>105.55321139590039</v>
      </c>
      <c r="F81" s="341">
        <f t="shared" si="11"/>
        <v>97.123755339060835</v>
      </c>
      <c r="G81" s="340" t="str">
        <f t="shared" si="14"/>
        <v/>
      </c>
      <c r="H81" s="341">
        <f t="shared" si="7"/>
        <v>123.0185537781048</v>
      </c>
      <c r="I81" s="341">
        <f t="shared" si="8"/>
        <v>74.456676108574385</v>
      </c>
      <c r="J81" s="341">
        <f t="shared" si="9"/>
        <v>171.58043144763522</v>
      </c>
      <c r="K81" s="341">
        <f t="shared" si="12"/>
        <v>74.456676108574385</v>
      </c>
      <c r="L81" s="341">
        <f t="shared" si="13"/>
        <v>97.123755339060835</v>
      </c>
    </row>
    <row r="82" spans="1:12" x14ac:dyDescent="0.35">
      <c r="A82" s="338">
        <v>44075</v>
      </c>
      <c r="B82" s="339"/>
      <c r="C82" s="340"/>
      <c r="D82" s="424">
        <f>N9</f>
        <v>0.92014022173874899</v>
      </c>
      <c r="E82" s="341">
        <f>'Growth Projection'!D$16/12</f>
        <v>105.55321139590039</v>
      </c>
      <c r="F82" s="341">
        <f t="shared" si="11"/>
        <v>97.123755339060835</v>
      </c>
      <c r="G82" s="340" t="str">
        <f t="shared" si="14"/>
        <v/>
      </c>
      <c r="H82" s="341">
        <f t="shared" si="7"/>
        <v>123.0185537781048</v>
      </c>
      <c r="I82" s="341">
        <f t="shared" si="8"/>
        <v>74.456676108574385</v>
      </c>
      <c r="J82" s="341">
        <f t="shared" si="9"/>
        <v>171.58043144763522</v>
      </c>
      <c r="K82" s="341">
        <f t="shared" si="12"/>
        <v>74.456676108574385</v>
      </c>
      <c r="L82" s="341">
        <f t="shared" si="13"/>
        <v>97.123755339060835</v>
      </c>
    </row>
    <row r="83" spans="1:12" x14ac:dyDescent="0.35">
      <c r="A83" s="338">
        <v>44105</v>
      </c>
      <c r="B83" s="339"/>
      <c r="C83" s="340"/>
      <c r="D83" s="424">
        <f>N9</f>
        <v>0.92014022173874899</v>
      </c>
      <c r="E83" s="341">
        <f>'Growth Projection'!D$16/12</f>
        <v>105.55321139590039</v>
      </c>
      <c r="F83" s="341">
        <f t="shared" si="11"/>
        <v>97.123755339060835</v>
      </c>
      <c r="G83" s="340" t="str">
        <f t="shared" si="14"/>
        <v/>
      </c>
      <c r="H83" s="341">
        <f t="shared" si="7"/>
        <v>123.0185537781048</v>
      </c>
      <c r="I83" s="341">
        <f t="shared" si="8"/>
        <v>74.456676108574385</v>
      </c>
      <c r="J83" s="341">
        <f t="shared" si="9"/>
        <v>171.58043144763522</v>
      </c>
      <c r="K83" s="341">
        <f t="shared" si="12"/>
        <v>74.456676108574385</v>
      </c>
      <c r="L83" s="341">
        <f t="shared" si="13"/>
        <v>97.123755339060835</v>
      </c>
    </row>
    <row r="84" spans="1:12" x14ac:dyDescent="0.35">
      <c r="A84" s="338">
        <v>44136</v>
      </c>
      <c r="B84" s="339"/>
      <c r="C84" s="340"/>
      <c r="D84" s="424">
        <f>N9</f>
        <v>0.92014022173874899</v>
      </c>
      <c r="E84" s="341">
        <f>'Growth Projection'!D$16/12</f>
        <v>105.55321139590039</v>
      </c>
      <c r="F84" s="341">
        <f t="shared" si="11"/>
        <v>97.123755339060835</v>
      </c>
      <c r="G84" s="340" t="str">
        <f t="shared" si="14"/>
        <v/>
      </c>
      <c r="H84" s="341">
        <f t="shared" si="7"/>
        <v>123.0185537781048</v>
      </c>
      <c r="I84" s="341">
        <f t="shared" si="8"/>
        <v>74.456676108574385</v>
      </c>
      <c r="J84" s="341">
        <f t="shared" si="9"/>
        <v>171.58043144763522</v>
      </c>
      <c r="K84" s="341">
        <f t="shared" si="12"/>
        <v>74.456676108574385</v>
      </c>
      <c r="L84" s="341">
        <f t="shared" si="13"/>
        <v>97.123755339060835</v>
      </c>
    </row>
    <row r="85" spans="1:12" x14ac:dyDescent="0.35">
      <c r="A85" s="338">
        <v>44166</v>
      </c>
      <c r="B85" s="339"/>
      <c r="C85" s="340"/>
      <c r="D85" s="424">
        <f>N8</f>
        <v>1.4757434640667961</v>
      </c>
      <c r="E85" s="341">
        <f>'Growth Projection'!D$16/12</f>
        <v>105.55321139590039</v>
      </c>
      <c r="F85" s="341">
        <f t="shared" si="11"/>
        <v>155.76946182876085</v>
      </c>
      <c r="G85" s="340" t="str">
        <f t="shared" si="14"/>
        <v/>
      </c>
      <c r="H85" s="341">
        <f t="shared" si="7"/>
        <v>197.30017491674511</v>
      </c>
      <c r="I85" s="341">
        <f t="shared" si="8"/>
        <v>119.41544400236468</v>
      </c>
      <c r="J85" s="341">
        <f t="shared" si="9"/>
        <v>275.18490583112555</v>
      </c>
      <c r="K85" s="341">
        <f t="shared" si="12"/>
        <v>74.456676108574385</v>
      </c>
      <c r="L85" s="341">
        <f t="shared" si="13"/>
        <v>200.72822972255116</v>
      </c>
    </row>
    <row r="86" spans="1:12" x14ac:dyDescent="0.35">
      <c r="A86" s="344">
        <v>44197</v>
      </c>
      <c r="B86" s="345"/>
      <c r="C86" s="346"/>
      <c r="D86" s="425">
        <f>N9</f>
        <v>0.92014022173874899</v>
      </c>
      <c r="E86" s="347">
        <f>'Growth Projection'!E$16/12</f>
        <v>115.90747636122494</v>
      </c>
      <c r="F86" s="347">
        <f t="shared" si="11"/>
        <v>106.65113100019632</v>
      </c>
      <c r="G86" s="346" t="str">
        <f t="shared" si="14"/>
        <v/>
      </c>
      <c r="H86" s="347">
        <f t="shared" si="7"/>
        <v>135.08608525937808</v>
      </c>
      <c r="I86" s="347">
        <f t="shared" si="8"/>
        <v>81.76051975927993</v>
      </c>
      <c r="J86" s="347">
        <f t="shared" si="9"/>
        <v>188.41165075947623</v>
      </c>
      <c r="K86" s="347">
        <f t="shared" si="12"/>
        <v>119.41544400236469</v>
      </c>
      <c r="L86" s="347">
        <f t="shared" si="13"/>
        <v>68.996206757111537</v>
      </c>
    </row>
    <row r="87" spans="1:12" x14ac:dyDescent="0.35">
      <c r="A87" s="344">
        <v>44228</v>
      </c>
      <c r="B87" s="345"/>
      <c r="C87" s="346"/>
      <c r="D87" s="425">
        <f>N3+N4-100%</f>
        <v>1.480872233587502</v>
      </c>
      <c r="E87" s="347">
        <f>'Growth Projection'!E$16/12</f>
        <v>115.90747636122494</v>
      </c>
      <c r="F87" s="347">
        <f t="shared" si="11"/>
        <v>171.64416340853776</v>
      </c>
      <c r="G87" s="346" t="str">
        <f t="shared" si="14"/>
        <v/>
      </c>
      <c r="H87" s="347">
        <f t="shared" si="7"/>
        <v>217.40733431544834</v>
      </c>
      <c r="I87" s="347">
        <f t="shared" si="8"/>
        <v>131.58525261117944</v>
      </c>
      <c r="J87" s="347">
        <f t="shared" si="9"/>
        <v>303.22941601971718</v>
      </c>
      <c r="K87" s="347">
        <f t="shared" si="12"/>
        <v>81.760519759279916</v>
      </c>
      <c r="L87" s="347">
        <f t="shared" si="13"/>
        <v>221.46889626043725</v>
      </c>
    </row>
    <row r="88" spans="1:12" x14ac:dyDescent="0.35">
      <c r="A88" s="344">
        <v>44256</v>
      </c>
      <c r="B88" s="345"/>
      <c r="C88" s="346"/>
      <c r="D88" s="425">
        <f>N9</f>
        <v>0.92014022173874899</v>
      </c>
      <c r="E88" s="347">
        <f>'Growth Projection'!E$16/12</f>
        <v>115.90747636122494</v>
      </c>
      <c r="F88" s="347">
        <f t="shared" si="11"/>
        <v>106.65113100019632</v>
      </c>
      <c r="G88" s="346" t="str">
        <f t="shared" si="14"/>
        <v/>
      </c>
      <c r="H88" s="347">
        <f t="shared" si="7"/>
        <v>135.08608525937808</v>
      </c>
      <c r="I88" s="347">
        <f t="shared" si="8"/>
        <v>81.76051975927993</v>
      </c>
      <c r="J88" s="347">
        <f t="shared" si="9"/>
        <v>188.41165075947623</v>
      </c>
      <c r="K88" s="347">
        <f t="shared" si="12"/>
        <v>131.58525261117941</v>
      </c>
      <c r="L88" s="347">
        <f t="shared" si="13"/>
        <v>56.826398148296818</v>
      </c>
    </row>
    <row r="89" spans="1:12" x14ac:dyDescent="0.35">
      <c r="A89" s="344">
        <v>44287</v>
      </c>
      <c r="B89" s="345"/>
      <c r="C89" s="346"/>
      <c r="D89" s="425">
        <f>N9</f>
        <v>0.92014022173874899</v>
      </c>
      <c r="E89" s="347">
        <f>'Growth Projection'!E$16/12</f>
        <v>115.90747636122494</v>
      </c>
      <c r="F89" s="347">
        <f t="shared" si="11"/>
        <v>106.65113100019632</v>
      </c>
      <c r="G89" s="346" t="str">
        <f t="shared" si="14"/>
        <v/>
      </c>
      <c r="H89" s="347">
        <f t="shared" si="7"/>
        <v>135.08608525937808</v>
      </c>
      <c r="I89" s="347">
        <f t="shared" si="8"/>
        <v>81.76051975927993</v>
      </c>
      <c r="J89" s="347">
        <f t="shared" si="9"/>
        <v>188.41165075947623</v>
      </c>
      <c r="K89" s="347">
        <f t="shared" si="12"/>
        <v>81.760519759279916</v>
      </c>
      <c r="L89" s="347">
        <f t="shared" si="13"/>
        <v>106.65113100019632</v>
      </c>
    </row>
    <row r="90" spans="1:12" x14ac:dyDescent="0.35">
      <c r="A90" s="344">
        <v>44317</v>
      </c>
      <c r="B90" s="345"/>
      <c r="C90" s="346"/>
      <c r="D90" s="425">
        <f>N5+N6-100%</f>
        <v>1.137861653407457</v>
      </c>
      <c r="E90" s="347">
        <f>'Growth Projection'!E$16/12</f>
        <v>115.90747636122494</v>
      </c>
      <c r="F90" s="347">
        <f t="shared" si="11"/>
        <v>131.88667269466916</v>
      </c>
      <c r="G90" s="346" t="str">
        <f t="shared" si="14"/>
        <v/>
      </c>
      <c r="H90" s="347">
        <f t="shared" si="7"/>
        <v>167.04983946372755</v>
      </c>
      <c r="I90" s="347">
        <f t="shared" si="8"/>
        <v>101.10650311639297</v>
      </c>
      <c r="J90" s="347">
        <f t="shared" si="9"/>
        <v>232.99317581106214</v>
      </c>
      <c r="K90" s="347">
        <f t="shared" si="12"/>
        <v>81.760519759279916</v>
      </c>
      <c r="L90" s="347">
        <f t="shared" si="13"/>
        <v>151.23265605178221</v>
      </c>
    </row>
    <row r="91" spans="1:12" x14ac:dyDescent="0.35">
      <c r="A91" s="344">
        <v>44348</v>
      </c>
      <c r="B91" s="345"/>
      <c r="C91" s="346"/>
      <c r="D91" s="425">
        <f>N7</f>
        <v>1.0103062618348237</v>
      </c>
      <c r="E91" s="347">
        <f>'Growth Projection'!E$16/12</f>
        <v>115.90747636122494</v>
      </c>
      <c r="F91" s="347">
        <f t="shared" si="11"/>
        <v>117.10204916121737</v>
      </c>
      <c r="G91" s="346" t="str">
        <f t="shared" si="14"/>
        <v/>
      </c>
      <c r="H91" s="347">
        <f t="shared" si="7"/>
        <v>148.32339093535703</v>
      </c>
      <c r="I91" s="347">
        <f t="shared" si="8"/>
        <v>89.772366354748343</v>
      </c>
      <c r="J91" s="347">
        <f t="shared" si="9"/>
        <v>206.87441551596572</v>
      </c>
      <c r="K91" s="347">
        <f t="shared" si="12"/>
        <v>101.10650311639299</v>
      </c>
      <c r="L91" s="347">
        <f t="shared" si="13"/>
        <v>105.76791239957274</v>
      </c>
    </row>
    <row r="92" spans="1:12" x14ac:dyDescent="0.35">
      <c r="A92" s="344">
        <v>44378</v>
      </c>
      <c r="B92" s="345"/>
      <c r="C92" s="346"/>
      <c r="D92" s="425">
        <f>N9</f>
        <v>0.92014022173874899</v>
      </c>
      <c r="E92" s="347">
        <f>'Growth Projection'!E$16/12</f>
        <v>115.90747636122494</v>
      </c>
      <c r="F92" s="347">
        <f t="shared" si="11"/>
        <v>106.65113100019632</v>
      </c>
      <c r="G92" s="346" t="str">
        <f t="shared" si="14"/>
        <v/>
      </c>
      <c r="H92" s="347">
        <f t="shared" si="7"/>
        <v>135.08608525937808</v>
      </c>
      <c r="I92" s="347">
        <f t="shared" si="8"/>
        <v>81.76051975927993</v>
      </c>
      <c r="J92" s="347">
        <f t="shared" si="9"/>
        <v>188.41165075947623</v>
      </c>
      <c r="K92" s="347">
        <f t="shared" si="12"/>
        <v>89.772366354748357</v>
      </c>
      <c r="L92" s="347">
        <f t="shared" si="13"/>
        <v>98.639284404727874</v>
      </c>
    </row>
    <row r="93" spans="1:12" x14ac:dyDescent="0.35">
      <c r="A93" s="344">
        <v>44409</v>
      </c>
      <c r="B93" s="345"/>
      <c r="C93" s="346"/>
      <c r="D93" s="425">
        <f>N9</f>
        <v>0.92014022173874899</v>
      </c>
      <c r="E93" s="347">
        <f>'Growth Projection'!E$16/12</f>
        <v>115.90747636122494</v>
      </c>
      <c r="F93" s="347">
        <f t="shared" si="11"/>
        <v>106.65113100019632</v>
      </c>
      <c r="G93" s="346" t="str">
        <f t="shared" si="14"/>
        <v/>
      </c>
      <c r="H93" s="347">
        <f t="shared" si="7"/>
        <v>135.08608525937808</v>
      </c>
      <c r="I93" s="347">
        <f t="shared" si="8"/>
        <v>81.76051975927993</v>
      </c>
      <c r="J93" s="347">
        <f t="shared" si="9"/>
        <v>188.41165075947623</v>
      </c>
      <c r="K93" s="347">
        <f t="shared" si="12"/>
        <v>81.760519759279916</v>
      </c>
      <c r="L93" s="347">
        <f t="shared" si="13"/>
        <v>106.65113100019632</v>
      </c>
    </row>
    <row r="94" spans="1:12" x14ac:dyDescent="0.35">
      <c r="A94" s="344">
        <v>44440</v>
      </c>
      <c r="B94" s="345"/>
      <c r="C94" s="346"/>
      <c r="D94" s="425">
        <f>N9</f>
        <v>0.92014022173874899</v>
      </c>
      <c r="E94" s="347">
        <f>'Growth Projection'!E$16/12</f>
        <v>115.90747636122494</v>
      </c>
      <c r="F94" s="347">
        <f t="shared" si="11"/>
        <v>106.65113100019632</v>
      </c>
      <c r="G94" s="346" t="str">
        <f t="shared" si="14"/>
        <v/>
      </c>
      <c r="H94" s="347">
        <f t="shared" ref="H94:H125" si="15">IFERROR(F94+2*N$12*F94,"")</f>
        <v>135.08608525937808</v>
      </c>
      <c r="I94" s="347">
        <f t="shared" ref="I94:I125" si="16">IFERROR(IF(OR(ISBLANK(H94),ISBLANK(F94)),"",(H94*N$14)-(N$13*F94)),"")</f>
        <v>81.76051975927993</v>
      </c>
      <c r="J94" s="347">
        <f t="shared" ref="J94:J125" si="17">IFERROR(F94+I94,"")</f>
        <v>188.41165075947623</v>
      </c>
      <c r="K94" s="347">
        <f t="shared" si="12"/>
        <v>81.760519759279916</v>
      </c>
      <c r="L94" s="347">
        <f t="shared" si="13"/>
        <v>106.65113100019632</v>
      </c>
    </row>
    <row r="95" spans="1:12" x14ac:dyDescent="0.35">
      <c r="A95" s="344">
        <v>44470</v>
      </c>
      <c r="B95" s="345"/>
      <c r="C95" s="346"/>
      <c r="D95" s="425">
        <f>N9</f>
        <v>0.92014022173874899</v>
      </c>
      <c r="E95" s="347">
        <f>'Growth Projection'!E$16/12</f>
        <v>115.90747636122494</v>
      </c>
      <c r="F95" s="347">
        <f t="shared" si="11"/>
        <v>106.65113100019632</v>
      </c>
      <c r="G95" s="346" t="str">
        <f t="shared" si="14"/>
        <v/>
      </c>
      <c r="H95" s="347">
        <f t="shared" si="15"/>
        <v>135.08608525937808</v>
      </c>
      <c r="I95" s="347">
        <f t="shared" si="16"/>
        <v>81.76051975927993</v>
      </c>
      <c r="J95" s="347">
        <f t="shared" si="17"/>
        <v>188.41165075947623</v>
      </c>
      <c r="K95" s="347">
        <f t="shared" ref="K95:K126" si="18">IFERROR(K94+L94-F94,"")</f>
        <v>81.760519759279916</v>
      </c>
      <c r="L95" s="347">
        <f t="shared" si="13"/>
        <v>106.65113100019632</v>
      </c>
    </row>
    <row r="96" spans="1:12" x14ac:dyDescent="0.35">
      <c r="A96" s="344">
        <v>44501</v>
      </c>
      <c r="B96" s="345"/>
      <c r="C96" s="346"/>
      <c r="D96" s="425">
        <f>N9</f>
        <v>0.92014022173874899</v>
      </c>
      <c r="E96" s="347">
        <f>'Growth Projection'!E$16/12</f>
        <v>115.90747636122494</v>
      </c>
      <c r="F96" s="347">
        <f t="shared" si="11"/>
        <v>106.65113100019632</v>
      </c>
      <c r="G96" s="346" t="str">
        <f t="shared" si="14"/>
        <v/>
      </c>
      <c r="H96" s="347">
        <f t="shared" si="15"/>
        <v>135.08608525937808</v>
      </c>
      <c r="I96" s="347">
        <f t="shared" si="16"/>
        <v>81.76051975927993</v>
      </c>
      <c r="J96" s="347">
        <f t="shared" si="17"/>
        <v>188.41165075947623</v>
      </c>
      <c r="K96" s="347">
        <f t="shared" si="18"/>
        <v>81.760519759279916</v>
      </c>
      <c r="L96" s="347">
        <f t="shared" si="13"/>
        <v>106.65113100019632</v>
      </c>
    </row>
    <row r="97" spans="1:12" x14ac:dyDescent="0.35">
      <c r="A97" s="344">
        <v>44531</v>
      </c>
      <c r="B97" s="345"/>
      <c r="C97" s="346"/>
      <c r="D97" s="425">
        <f>N8</f>
        <v>1.4757434640667961</v>
      </c>
      <c r="E97" s="347">
        <f>'Growth Projection'!E$16/12</f>
        <v>115.90747636122494</v>
      </c>
      <c r="F97" s="347">
        <f t="shared" si="11"/>
        <v>171.04970067655438</v>
      </c>
      <c r="G97" s="346" t="str">
        <f t="shared" si="14"/>
        <v/>
      </c>
      <c r="H97" s="347">
        <f t="shared" si="15"/>
        <v>216.65437799381232</v>
      </c>
      <c r="I97" s="347">
        <f t="shared" si="16"/>
        <v>131.12952765553513</v>
      </c>
      <c r="J97" s="347">
        <f t="shared" si="17"/>
        <v>302.17922833208951</v>
      </c>
      <c r="K97" s="347">
        <f t="shared" si="18"/>
        <v>81.760519759279916</v>
      </c>
      <c r="L97" s="347">
        <f t="shared" si="13"/>
        <v>220.41870857280958</v>
      </c>
    </row>
    <row r="98" spans="1:12" x14ac:dyDescent="0.35">
      <c r="A98" s="338">
        <v>44562</v>
      </c>
      <c r="B98" s="339"/>
      <c r="C98" s="340"/>
      <c r="D98" s="424">
        <f>N3</f>
        <v>1.1649897712479078</v>
      </c>
      <c r="E98" s="341">
        <f>'Growth Projection'!F$16/12</f>
        <v>126.2617413265519</v>
      </c>
      <c r="F98" s="341">
        <f t="shared" si="11"/>
        <v>147.09363714538222</v>
      </c>
      <c r="G98" s="340" t="str">
        <f t="shared" si="14"/>
        <v/>
      </c>
      <c r="H98" s="341">
        <f t="shared" si="15"/>
        <v>186.31123197837022</v>
      </c>
      <c r="I98" s="341">
        <f t="shared" si="16"/>
        <v>112.76441340567911</v>
      </c>
      <c r="J98" s="341">
        <f t="shared" si="17"/>
        <v>259.8580505510613</v>
      </c>
      <c r="K98" s="341">
        <f t="shared" si="18"/>
        <v>131.12952765553513</v>
      </c>
      <c r="L98" s="341">
        <f t="shared" si="13"/>
        <v>128.72852289552617</v>
      </c>
    </row>
    <row r="99" spans="1:12" x14ac:dyDescent="0.35">
      <c r="A99" s="338">
        <v>44593</v>
      </c>
      <c r="B99" s="339"/>
      <c r="C99" s="340"/>
      <c r="D99" s="424">
        <f>N4</f>
        <v>1.3158824623395944</v>
      </c>
      <c r="E99" s="341">
        <f>'Growth Projection'!F$16/12</f>
        <v>126.2617413265519</v>
      </c>
      <c r="F99" s="341">
        <f t="shared" si="11"/>
        <v>166.14561107606804</v>
      </c>
      <c r="G99" s="340" t="str">
        <f t="shared" si="14"/>
        <v/>
      </c>
      <c r="H99" s="341">
        <f t="shared" si="15"/>
        <v>210.44277705083022</v>
      </c>
      <c r="I99" s="341">
        <f t="shared" si="16"/>
        <v>127.3699715127962</v>
      </c>
      <c r="J99" s="341">
        <f t="shared" si="17"/>
        <v>293.51558258886422</v>
      </c>
      <c r="K99" s="341">
        <f t="shared" si="18"/>
        <v>112.76441340567908</v>
      </c>
      <c r="L99" s="341">
        <f t="shared" si="13"/>
        <v>180.75116918318514</v>
      </c>
    </row>
    <row r="100" spans="1:12" x14ac:dyDescent="0.35">
      <c r="A100" s="338">
        <v>44621</v>
      </c>
      <c r="B100" s="339"/>
      <c r="C100" s="340"/>
      <c r="D100" s="424">
        <f>N9</f>
        <v>0.92014022173874899</v>
      </c>
      <c r="E100" s="341">
        <f>'Growth Projection'!F$16/12</f>
        <v>126.2617413265519</v>
      </c>
      <c r="F100" s="341">
        <f t="shared" si="11"/>
        <v>116.17850666133403</v>
      </c>
      <c r="G100" s="340" t="str">
        <f t="shared" si="14"/>
        <v/>
      </c>
      <c r="H100" s="341">
        <f t="shared" si="15"/>
        <v>147.1536167406542</v>
      </c>
      <c r="I100" s="341">
        <f t="shared" si="16"/>
        <v>89.06436340998718</v>
      </c>
      <c r="J100" s="341">
        <f t="shared" si="17"/>
        <v>205.24287007132119</v>
      </c>
      <c r="K100" s="341">
        <f t="shared" si="18"/>
        <v>127.36997151279618</v>
      </c>
      <c r="L100" s="341">
        <f t="shared" si="13"/>
        <v>77.872898558525009</v>
      </c>
    </row>
    <row r="101" spans="1:12" x14ac:dyDescent="0.35">
      <c r="A101" s="338">
        <v>44652</v>
      </c>
      <c r="B101" s="339"/>
      <c r="C101" s="340"/>
      <c r="D101" s="424">
        <f>N9</f>
        <v>0.92014022173874899</v>
      </c>
      <c r="E101" s="341">
        <f>'Growth Projection'!F$16/12</f>
        <v>126.2617413265519</v>
      </c>
      <c r="F101" s="341">
        <f t="shared" si="11"/>
        <v>116.17850666133403</v>
      </c>
      <c r="G101" s="340" t="str">
        <f t="shared" si="14"/>
        <v/>
      </c>
      <c r="H101" s="341">
        <f t="shared" si="15"/>
        <v>147.1536167406542</v>
      </c>
      <c r="I101" s="341">
        <f t="shared" si="16"/>
        <v>89.06436340998718</v>
      </c>
      <c r="J101" s="341">
        <f t="shared" si="17"/>
        <v>205.24287007132119</v>
      </c>
      <c r="K101" s="341">
        <f t="shared" si="18"/>
        <v>89.064363409987166</v>
      </c>
      <c r="L101" s="341">
        <f t="shared" si="13"/>
        <v>116.17850666133403</v>
      </c>
    </row>
    <row r="102" spans="1:12" x14ac:dyDescent="0.35">
      <c r="A102" s="338">
        <v>44682</v>
      </c>
      <c r="B102" s="339"/>
      <c r="C102" s="340"/>
      <c r="D102" s="424">
        <f>N5+N6-100%</f>
        <v>1.137861653407457</v>
      </c>
      <c r="E102" s="341">
        <f>'Growth Projection'!F$16/12</f>
        <v>126.2617413265519</v>
      </c>
      <c r="F102" s="341">
        <f t="shared" si="11"/>
        <v>143.668393747935</v>
      </c>
      <c r="G102" s="340" t="str">
        <f t="shared" si="14"/>
        <v/>
      </c>
      <c r="H102" s="341">
        <f t="shared" si="15"/>
        <v>181.97276207859178</v>
      </c>
      <c r="I102" s="341">
        <f t="shared" si="16"/>
        <v>110.13856520462429</v>
      </c>
      <c r="J102" s="341">
        <f t="shared" si="17"/>
        <v>253.80695895255928</v>
      </c>
      <c r="K102" s="341">
        <f t="shared" si="18"/>
        <v>89.064363409987166</v>
      </c>
      <c r="L102" s="341">
        <f t="shared" si="13"/>
        <v>164.74259554257213</v>
      </c>
    </row>
    <row r="103" spans="1:12" x14ac:dyDescent="0.35">
      <c r="A103" s="338">
        <v>44713</v>
      </c>
      <c r="B103" s="339"/>
      <c r="C103" s="340"/>
      <c r="D103" s="424">
        <f>N7</f>
        <v>1.0103062618348237</v>
      </c>
      <c r="E103" s="341">
        <f>'Growth Projection'!F$16/12</f>
        <v>126.2617413265519</v>
      </c>
      <c r="F103" s="341">
        <f t="shared" si="11"/>
        <v>127.56302789238413</v>
      </c>
      <c r="G103" s="340" t="str">
        <f t="shared" si="14"/>
        <v/>
      </c>
      <c r="H103" s="341">
        <f t="shared" si="15"/>
        <v>161.57343949576406</v>
      </c>
      <c r="I103" s="341">
        <f t="shared" si="16"/>
        <v>97.791925549571999</v>
      </c>
      <c r="J103" s="341">
        <f t="shared" si="17"/>
        <v>225.35495344195613</v>
      </c>
      <c r="K103" s="341">
        <f t="shared" si="18"/>
        <v>110.13856520462429</v>
      </c>
      <c r="L103" s="341">
        <f t="shared" si="13"/>
        <v>115.21638823733184</v>
      </c>
    </row>
    <row r="104" spans="1:12" x14ac:dyDescent="0.35">
      <c r="A104" s="338">
        <v>44743</v>
      </c>
      <c r="B104" s="339"/>
      <c r="C104" s="340"/>
      <c r="D104" s="424">
        <f>N9</f>
        <v>0.92014022173874899</v>
      </c>
      <c r="E104" s="341">
        <f>'Growth Projection'!F$16/12</f>
        <v>126.2617413265519</v>
      </c>
      <c r="F104" s="341">
        <f t="shared" si="11"/>
        <v>116.17850666133403</v>
      </c>
      <c r="G104" s="340" t="str">
        <f t="shared" si="14"/>
        <v/>
      </c>
      <c r="H104" s="341">
        <f t="shared" si="15"/>
        <v>147.1536167406542</v>
      </c>
      <c r="I104" s="341">
        <f t="shared" si="16"/>
        <v>89.06436340998718</v>
      </c>
      <c r="J104" s="341">
        <f t="shared" si="17"/>
        <v>205.24287007132119</v>
      </c>
      <c r="K104" s="341">
        <f t="shared" si="18"/>
        <v>97.791925549571999</v>
      </c>
      <c r="L104" s="341">
        <f t="shared" si="13"/>
        <v>107.45094452174919</v>
      </c>
    </row>
    <row r="105" spans="1:12" x14ac:dyDescent="0.35">
      <c r="A105" s="338">
        <v>44774</v>
      </c>
      <c r="B105" s="339"/>
      <c r="C105" s="340"/>
      <c r="D105" s="424">
        <f>N9</f>
        <v>0.92014022173874899</v>
      </c>
      <c r="E105" s="341">
        <f>'Growth Projection'!F$16/12</f>
        <v>126.2617413265519</v>
      </c>
      <c r="F105" s="341">
        <f t="shared" si="11"/>
        <v>116.17850666133403</v>
      </c>
      <c r="G105" s="340" t="str">
        <f t="shared" si="14"/>
        <v/>
      </c>
      <c r="H105" s="341">
        <f t="shared" si="15"/>
        <v>147.1536167406542</v>
      </c>
      <c r="I105" s="341">
        <f t="shared" si="16"/>
        <v>89.06436340998718</v>
      </c>
      <c r="J105" s="341">
        <f t="shared" si="17"/>
        <v>205.24287007132119</v>
      </c>
      <c r="K105" s="341">
        <f t="shared" si="18"/>
        <v>89.064363409987166</v>
      </c>
      <c r="L105" s="341">
        <f t="shared" si="13"/>
        <v>116.17850666133403</v>
      </c>
    </row>
    <row r="106" spans="1:12" x14ac:dyDescent="0.35">
      <c r="A106" s="338">
        <v>44805</v>
      </c>
      <c r="B106" s="339"/>
      <c r="C106" s="340"/>
      <c r="D106" s="424">
        <f>N9</f>
        <v>0.92014022173874899</v>
      </c>
      <c r="E106" s="341">
        <f>'Growth Projection'!F$16/12</f>
        <v>126.2617413265519</v>
      </c>
      <c r="F106" s="341">
        <f t="shared" si="11"/>
        <v>116.17850666133403</v>
      </c>
      <c r="G106" s="340" t="str">
        <f t="shared" si="14"/>
        <v/>
      </c>
      <c r="H106" s="341">
        <f t="shared" si="15"/>
        <v>147.1536167406542</v>
      </c>
      <c r="I106" s="341">
        <f t="shared" si="16"/>
        <v>89.06436340998718</v>
      </c>
      <c r="J106" s="341">
        <f t="shared" si="17"/>
        <v>205.24287007132119</v>
      </c>
      <c r="K106" s="341">
        <f t="shared" si="18"/>
        <v>89.064363409987166</v>
      </c>
      <c r="L106" s="341">
        <f t="shared" si="13"/>
        <v>116.17850666133403</v>
      </c>
    </row>
    <row r="107" spans="1:12" x14ac:dyDescent="0.35">
      <c r="A107" s="338">
        <v>44835</v>
      </c>
      <c r="B107" s="339"/>
      <c r="C107" s="340"/>
      <c r="D107" s="424">
        <f>N9</f>
        <v>0.92014022173874899</v>
      </c>
      <c r="E107" s="341">
        <f>'Growth Projection'!F$16/12</f>
        <v>126.2617413265519</v>
      </c>
      <c r="F107" s="341">
        <f t="shared" si="11"/>
        <v>116.17850666133403</v>
      </c>
      <c r="G107" s="340" t="str">
        <f t="shared" ref="G107:G138" si="19">IF(OR(C107="",D107=""),"",C107-D107)</f>
        <v/>
      </c>
      <c r="H107" s="341">
        <f t="shared" si="15"/>
        <v>147.1536167406542</v>
      </c>
      <c r="I107" s="341">
        <f t="shared" si="16"/>
        <v>89.06436340998718</v>
      </c>
      <c r="J107" s="341">
        <f t="shared" si="17"/>
        <v>205.24287007132119</v>
      </c>
      <c r="K107" s="341">
        <f t="shared" si="18"/>
        <v>89.064363409987166</v>
      </c>
      <c r="L107" s="341">
        <f t="shared" si="13"/>
        <v>116.17850666133403</v>
      </c>
    </row>
    <row r="108" spans="1:12" x14ac:dyDescent="0.35">
      <c r="A108" s="338">
        <v>44866</v>
      </c>
      <c r="B108" s="339"/>
      <c r="C108" s="340"/>
      <c r="D108" s="424">
        <f>N9</f>
        <v>0.92014022173874899</v>
      </c>
      <c r="E108" s="341">
        <f>'Growth Projection'!F$16/12</f>
        <v>126.2617413265519</v>
      </c>
      <c r="F108" s="341">
        <f t="shared" si="11"/>
        <v>116.17850666133403</v>
      </c>
      <c r="G108" s="340" t="str">
        <f t="shared" si="19"/>
        <v/>
      </c>
      <c r="H108" s="341">
        <f t="shared" si="15"/>
        <v>147.1536167406542</v>
      </c>
      <c r="I108" s="341">
        <f t="shared" si="16"/>
        <v>89.06436340998718</v>
      </c>
      <c r="J108" s="341">
        <f t="shared" si="17"/>
        <v>205.24287007132119</v>
      </c>
      <c r="K108" s="341">
        <f t="shared" si="18"/>
        <v>89.064363409987166</v>
      </c>
      <c r="L108" s="341">
        <f t="shared" si="13"/>
        <v>116.17850666133403</v>
      </c>
    </row>
    <row r="109" spans="1:12" x14ac:dyDescent="0.35">
      <c r="A109" s="338">
        <v>44896</v>
      </c>
      <c r="B109" s="339"/>
      <c r="C109" s="340"/>
      <c r="D109" s="424">
        <f>N8</f>
        <v>1.4757434640667961</v>
      </c>
      <c r="E109" s="341">
        <f>'Growth Projection'!F$16/12</f>
        <v>126.2617413265519</v>
      </c>
      <c r="F109" s="341">
        <f t="shared" si="11"/>
        <v>186.32993952435146</v>
      </c>
      <c r="G109" s="340" t="str">
        <f t="shared" si="19"/>
        <v/>
      </c>
      <c r="H109" s="341">
        <f t="shared" si="15"/>
        <v>236.00858107088402</v>
      </c>
      <c r="I109" s="341">
        <f t="shared" si="16"/>
        <v>142.84361130870829</v>
      </c>
      <c r="J109" s="341">
        <f t="shared" si="17"/>
        <v>329.17355083305972</v>
      </c>
      <c r="K109" s="341">
        <f t="shared" si="18"/>
        <v>89.064363409987166</v>
      </c>
      <c r="L109" s="341">
        <f t="shared" si="13"/>
        <v>240.10918742307257</v>
      </c>
    </row>
    <row r="110" spans="1:12" x14ac:dyDescent="0.35">
      <c r="A110" s="344">
        <v>44927</v>
      </c>
      <c r="B110" s="345"/>
      <c r="C110" s="346"/>
      <c r="D110" s="425">
        <f>N3</f>
        <v>1.1649897712479078</v>
      </c>
      <c r="E110" s="347">
        <f>'Growth Projection'!G$16/12</f>
        <v>136.61600629187646</v>
      </c>
      <c r="F110" s="347">
        <f t="shared" si="11"/>
        <v>159.1562499187759</v>
      </c>
      <c r="G110" s="346" t="str">
        <f t="shared" si="19"/>
        <v/>
      </c>
      <c r="H110" s="347">
        <f t="shared" si="15"/>
        <v>201.58993668853896</v>
      </c>
      <c r="I110" s="347">
        <f t="shared" si="16"/>
        <v>122.01181172915101</v>
      </c>
      <c r="J110" s="347">
        <f t="shared" si="17"/>
        <v>281.16806164792689</v>
      </c>
      <c r="K110" s="347">
        <f t="shared" si="18"/>
        <v>142.84361130870826</v>
      </c>
      <c r="L110" s="347">
        <f t="shared" si="13"/>
        <v>138.32445033921863</v>
      </c>
    </row>
    <row r="111" spans="1:12" x14ac:dyDescent="0.35">
      <c r="A111" s="344">
        <v>44958</v>
      </c>
      <c r="B111" s="345"/>
      <c r="C111" s="346"/>
      <c r="D111" s="425">
        <f>N4</f>
        <v>1.3158824623395944</v>
      </c>
      <c r="E111" s="347">
        <f>'Growth Projection'!G$16/12</f>
        <v>136.61600629187646</v>
      </c>
      <c r="F111" s="347">
        <f t="shared" si="11"/>
        <v>179.77060675435592</v>
      </c>
      <c r="G111" s="346" t="str">
        <f t="shared" si="19"/>
        <v/>
      </c>
      <c r="H111" s="347">
        <f t="shared" si="15"/>
        <v>227.7004217714705</v>
      </c>
      <c r="I111" s="347">
        <f t="shared" si="16"/>
        <v>137.81511839429254</v>
      </c>
      <c r="J111" s="347">
        <f t="shared" si="17"/>
        <v>317.58572514864846</v>
      </c>
      <c r="K111" s="347">
        <f t="shared" si="18"/>
        <v>122.01181172915099</v>
      </c>
      <c r="L111" s="347">
        <f t="shared" si="13"/>
        <v>195.57391341949747</v>
      </c>
    </row>
    <row r="112" spans="1:12" x14ac:dyDescent="0.35">
      <c r="A112" s="344">
        <v>44986</v>
      </c>
      <c r="B112" s="345"/>
      <c r="C112" s="346"/>
      <c r="D112" s="425">
        <f>N9</f>
        <v>0.92014022173874899</v>
      </c>
      <c r="E112" s="347">
        <f>'Growth Projection'!G$16/12</f>
        <v>136.61600629187646</v>
      </c>
      <c r="F112" s="347">
        <f t="shared" si="11"/>
        <v>125.70588232246953</v>
      </c>
      <c r="G112" s="346" t="str">
        <f t="shared" si="19"/>
        <v/>
      </c>
      <c r="H112" s="347">
        <f t="shared" si="15"/>
        <v>159.22114822192754</v>
      </c>
      <c r="I112" s="347">
        <f t="shared" si="16"/>
        <v>96.368207060692768</v>
      </c>
      <c r="J112" s="347">
        <f t="shared" si="17"/>
        <v>222.07408938316229</v>
      </c>
      <c r="K112" s="347">
        <f t="shared" si="18"/>
        <v>137.81511839429254</v>
      </c>
      <c r="L112" s="347">
        <f t="shared" si="13"/>
        <v>84.258970988869748</v>
      </c>
    </row>
    <row r="113" spans="1:12" x14ac:dyDescent="0.35">
      <c r="A113" s="344">
        <v>45017</v>
      </c>
      <c r="B113" s="345"/>
      <c r="C113" s="346"/>
      <c r="D113" s="425">
        <f>N6</f>
        <v>1.0832790771622716</v>
      </c>
      <c r="E113" s="347">
        <f>'Growth Projection'!G$16/12</f>
        <v>136.61600629187646</v>
      </c>
      <c r="F113" s="347">
        <f t="shared" si="11"/>
        <v>147.99326122145902</v>
      </c>
      <c r="G113" s="346" t="str">
        <f t="shared" si="19"/>
        <v/>
      </c>
      <c r="H113" s="347">
        <f t="shared" si="15"/>
        <v>187.45071070215494</v>
      </c>
      <c r="I113" s="347">
        <f t="shared" si="16"/>
        <v>113.45408009142542</v>
      </c>
      <c r="J113" s="347">
        <f t="shared" si="17"/>
        <v>261.44734131288442</v>
      </c>
      <c r="K113" s="347">
        <f t="shared" si="18"/>
        <v>96.368207060692754</v>
      </c>
      <c r="L113" s="347">
        <f t="shared" si="13"/>
        <v>165.07913425219166</v>
      </c>
    </row>
    <row r="114" spans="1:12" x14ac:dyDescent="0.35">
      <c r="A114" s="344">
        <v>45047</v>
      </c>
      <c r="B114" s="345"/>
      <c r="C114" s="346"/>
      <c r="D114" s="425">
        <f>N5</f>
        <v>1.0545825762451857</v>
      </c>
      <c r="E114" s="347">
        <f>'Growth Projection'!G$16/12</f>
        <v>136.61600629187646</v>
      </c>
      <c r="F114" s="347">
        <f t="shared" si="11"/>
        <v>144.07285987161558</v>
      </c>
      <c r="G114" s="346" t="str">
        <f t="shared" si="19"/>
        <v/>
      </c>
      <c r="H114" s="347">
        <f t="shared" si="15"/>
        <v>182.48506555587929</v>
      </c>
      <c r="I114" s="347">
        <f t="shared" si="16"/>
        <v>110.4486356200715</v>
      </c>
      <c r="J114" s="347">
        <f t="shared" si="17"/>
        <v>254.52149549168706</v>
      </c>
      <c r="K114" s="347">
        <f t="shared" si="18"/>
        <v>113.4540800914254</v>
      </c>
      <c r="L114" s="347">
        <f t="shared" si="13"/>
        <v>141.06741540026167</v>
      </c>
    </row>
    <row r="115" spans="1:12" x14ac:dyDescent="0.35">
      <c r="A115" s="344">
        <v>45078</v>
      </c>
      <c r="B115" s="345"/>
      <c r="C115" s="346"/>
      <c r="D115" s="425">
        <f>N7</f>
        <v>1.0103062618348237</v>
      </c>
      <c r="E115" s="347">
        <f>'Growth Projection'!G$16/12</f>
        <v>136.61600629187646</v>
      </c>
      <c r="F115" s="347">
        <f t="shared" si="11"/>
        <v>138.02400662354847</v>
      </c>
      <c r="G115" s="346" t="str">
        <f t="shared" si="19"/>
        <v/>
      </c>
      <c r="H115" s="347">
        <f t="shared" si="15"/>
        <v>174.82348805616806</v>
      </c>
      <c r="I115" s="347">
        <f t="shared" si="16"/>
        <v>105.81148474439382</v>
      </c>
      <c r="J115" s="347">
        <f t="shared" si="17"/>
        <v>243.8354913679423</v>
      </c>
      <c r="K115" s="347">
        <f t="shared" si="18"/>
        <v>110.44863562007149</v>
      </c>
      <c r="L115" s="347">
        <f t="shared" si="13"/>
        <v>133.38685574787081</v>
      </c>
    </row>
    <row r="116" spans="1:12" x14ac:dyDescent="0.35">
      <c r="A116" s="344">
        <v>45108</v>
      </c>
      <c r="B116" s="345"/>
      <c r="C116" s="346"/>
      <c r="D116" s="425">
        <f>N9</f>
        <v>0.92014022173874899</v>
      </c>
      <c r="E116" s="347">
        <f>'Growth Projection'!G$16/12</f>
        <v>136.61600629187646</v>
      </c>
      <c r="F116" s="347">
        <f t="shared" si="11"/>
        <v>125.70588232246953</v>
      </c>
      <c r="G116" s="346" t="str">
        <f t="shared" si="19"/>
        <v/>
      </c>
      <c r="H116" s="347">
        <f t="shared" si="15"/>
        <v>159.22114822192754</v>
      </c>
      <c r="I116" s="347">
        <f t="shared" si="16"/>
        <v>96.368207060692768</v>
      </c>
      <c r="J116" s="347">
        <f t="shared" si="17"/>
        <v>222.07408938316229</v>
      </c>
      <c r="K116" s="347">
        <f t="shared" si="18"/>
        <v>105.81148474439382</v>
      </c>
      <c r="L116" s="347">
        <f t="shared" si="13"/>
        <v>116.26260463876847</v>
      </c>
    </row>
    <row r="117" spans="1:12" x14ac:dyDescent="0.35">
      <c r="A117" s="344">
        <v>45139</v>
      </c>
      <c r="B117" s="345"/>
      <c r="C117" s="346"/>
      <c r="D117" s="425">
        <f>N9</f>
        <v>0.92014022173874899</v>
      </c>
      <c r="E117" s="347">
        <f>'Growth Projection'!G$16/12</f>
        <v>136.61600629187646</v>
      </c>
      <c r="F117" s="347">
        <f t="shared" si="11"/>
        <v>125.70588232246953</v>
      </c>
      <c r="G117" s="346" t="str">
        <f t="shared" si="19"/>
        <v/>
      </c>
      <c r="H117" s="347">
        <f t="shared" si="15"/>
        <v>159.22114822192754</v>
      </c>
      <c r="I117" s="347">
        <f t="shared" si="16"/>
        <v>96.368207060692768</v>
      </c>
      <c r="J117" s="347">
        <f t="shared" si="17"/>
        <v>222.07408938316229</v>
      </c>
      <c r="K117" s="347">
        <f t="shared" si="18"/>
        <v>96.368207060692754</v>
      </c>
      <c r="L117" s="347">
        <f t="shared" si="13"/>
        <v>125.70588232246953</v>
      </c>
    </row>
    <row r="118" spans="1:12" x14ac:dyDescent="0.35">
      <c r="A118" s="344">
        <v>45170</v>
      </c>
      <c r="B118" s="345"/>
      <c r="C118" s="346"/>
      <c r="D118" s="425">
        <f>N9</f>
        <v>0.92014022173874899</v>
      </c>
      <c r="E118" s="347">
        <f>'Growth Projection'!G$16/12</f>
        <v>136.61600629187646</v>
      </c>
      <c r="F118" s="347">
        <f t="shared" si="11"/>
        <v>125.70588232246953</v>
      </c>
      <c r="G118" s="346" t="str">
        <f t="shared" si="19"/>
        <v/>
      </c>
      <c r="H118" s="347">
        <f t="shared" si="15"/>
        <v>159.22114822192754</v>
      </c>
      <c r="I118" s="347">
        <f t="shared" si="16"/>
        <v>96.368207060692768</v>
      </c>
      <c r="J118" s="347">
        <f t="shared" si="17"/>
        <v>222.07408938316229</v>
      </c>
      <c r="K118" s="347">
        <f t="shared" si="18"/>
        <v>96.368207060692754</v>
      </c>
      <c r="L118" s="347">
        <f t="shared" si="13"/>
        <v>125.70588232246953</v>
      </c>
    </row>
    <row r="119" spans="1:12" x14ac:dyDescent="0.35">
      <c r="A119" s="344">
        <v>45200</v>
      </c>
      <c r="B119" s="345"/>
      <c r="C119" s="346"/>
      <c r="D119" s="425">
        <f>N9</f>
        <v>0.92014022173874899</v>
      </c>
      <c r="E119" s="347">
        <f>'Growth Projection'!G$16/12</f>
        <v>136.61600629187646</v>
      </c>
      <c r="F119" s="347">
        <f t="shared" si="11"/>
        <v>125.70588232246953</v>
      </c>
      <c r="G119" s="346" t="str">
        <f t="shared" si="19"/>
        <v/>
      </c>
      <c r="H119" s="347">
        <f t="shared" si="15"/>
        <v>159.22114822192754</v>
      </c>
      <c r="I119" s="347">
        <f t="shared" si="16"/>
        <v>96.368207060692768</v>
      </c>
      <c r="J119" s="347">
        <f t="shared" si="17"/>
        <v>222.07408938316229</v>
      </c>
      <c r="K119" s="347">
        <f t="shared" si="18"/>
        <v>96.368207060692754</v>
      </c>
      <c r="L119" s="347">
        <f t="shared" si="13"/>
        <v>125.70588232246953</v>
      </c>
    </row>
    <row r="120" spans="1:12" x14ac:dyDescent="0.35">
      <c r="A120" s="344">
        <v>45231</v>
      </c>
      <c r="B120" s="345"/>
      <c r="C120" s="346"/>
      <c r="D120" s="425">
        <f>N9</f>
        <v>0.92014022173874899</v>
      </c>
      <c r="E120" s="347">
        <f>'Growth Projection'!G$16/12</f>
        <v>136.61600629187646</v>
      </c>
      <c r="F120" s="347">
        <f t="shared" si="11"/>
        <v>125.70588232246953</v>
      </c>
      <c r="G120" s="346" t="str">
        <f t="shared" si="19"/>
        <v/>
      </c>
      <c r="H120" s="347">
        <f t="shared" si="15"/>
        <v>159.22114822192754</v>
      </c>
      <c r="I120" s="347">
        <f t="shared" si="16"/>
        <v>96.368207060692768</v>
      </c>
      <c r="J120" s="347">
        <f t="shared" si="17"/>
        <v>222.07408938316229</v>
      </c>
      <c r="K120" s="347">
        <f t="shared" si="18"/>
        <v>96.368207060692754</v>
      </c>
      <c r="L120" s="347">
        <f t="shared" si="13"/>
        <v>125.70588232246953</v>
      </c>
    </row>
    <row r="121" spans="1:12" x14ac:dyDescent="0.35">
      <c r="A121" s="344">
        <v>45261</v>
      </c>
      <c r="B121" s="345"/>
      <c r="C121" s="346"/>
      <c r="D121" s="425">
        <f>N8</f>
        <v>1.4757434640667961</v>
      </c>
      <c r="E121" s="347">
        <f>'Growth Projection'!G$16/12</f>
        <v>136.61600629187646</v>
      </c>
      <c r="F121" s="347">
        <f t="shared" si="11"/>
        <v>201.61017837214499</v>
      </c>
      <c r="G121" s="346" t="str">
        <f t="shared" si="19"/>
        <v/>
      </c>
      <c r="H121" s="347">
        <f t="shared" si="15"/>
        <v>255.36278414795123</v>
      </c>
      <c r="I121" s="347">
        <f t="shared" si="16"/>
        <v>154.55769496187872</v>
      </c>
      <c r="J121" s="347">
        <f t="shared" si="17"/>
        <v>356.16787333402374</v>
      </c>
      <c r="K121" s="347">
        <f t="shared" si="18"/>
        <v>96.368207060692754</v>
      </c>
      <c r="L121" s="347">
        <f t="shared" si="13"/>
        <v>259.79966627333101</v>
      </c>
    </row>
    <row r="122" spans="1:12" x14ac:dyDescent="0.35">
      <c r="A122" s="338">
        <v>45292</v>
      </c>
      <c r="B122" s="339"/>
      <c r="C122" s="340"/>
      <c r="D122" s="424">
        <f>N9</f>
        <v>0.92014022173874899</v>
      </c>
      <c r="E122" s="341">
        <f>'Growth Projection'!H$16/12</f>
        <v>146.97027125720342</v>
      </c>
      <c r="F122" s="341">
        <f t="shared" si="11"/>
        <v>135.23325798360725</v>
      </c>
      <c r="G122" s="340" t="str">
        <f t="shared" si="19"/>
        <v/>
      </c>
      <c r="H122" s="341">
        <f t="shared" si="15"/>
        <v>171.28867970320366</v>
      </c>
      <c r="I122" s="341">
        <f t="shared" si="16"/>
        <v>103.67205071140003</v>
      </c>
      <c r="J122" s="341">
        <f t="shared" si="17"/>
        <v>238.90530869500728</v>
      </c>
      <c r="K122" s="341">
        <f t="shared" si="18"/>
        <v>154.55769496187875</v>
      </c>
      <c r="L122" s="341">
        <f t="shared" si="13"/>
        <v>84.347613733128526</v>
      </c>
    </row>
    <row r="123" spans="1:12" x14ac:dyDescent="0.35">
      <c r="A123" s="338">
        <v>45323</v>
      </c>
      <c r="B123" s="339"/>
      <c r="C123" s="340"/>
      <c r="D123" s="424">
        <f>N3+N4-100%</f>
        <v>1.480872233587502</v>
      </c>
      <c r="E123" s="341">
        <f>'Growth Projection'!H$16/12</f>
        <v>146.97027125720342</v>
      </c>
      <c r="F123" s="341">
        <f t="shared" si="11"/>
        <v>217.64419386761588</v>
      </c>
      <c r="G123" s="340" t="str">
        <f t="shared" si="19"/>
        <v/>
      </c>
      <c r="H123" s="341">
        <f t="shared" si="15"/>
        <v>275.67173318541978</v>
      </c>
      <c r="I123" s="341">
        <f t="shared" si="16"/>
        <v>166.84963625161186</v>
      </c>
      <c r="J123" s="341">
        <f t="shared" si="17"/>
        <v>384.49383011922771</v>
      </c>
      <c r="K123" s="341">
        <f t="shared" si="18"/>
        <v>103.67205071140003</v>
      </c>
      <c r="L123" s="341">
        <f t="shared" si="13"/>
        <v>280.82177940782765</v>
      </c>
    </row>
    <row r="124" spans="1:12" x14ac:dyDescent="0.35">
      <c r="A124" s="338">
        <v>45352</v>
      </c>
      <c r="B124" s="339"/>
      <c r="C124" s="340"/>
      <c r="D124" s="424">
        <f>N9</f>
        <v>0.92014022173874899</v>
      </c>
      <c r="E124" s="341">
        <f>'Growth Projection'!H$16/12</f>
        <v>146.97027125720342</v>
      </c>
      <c r="F124" s="341">
        <f t="shared" si="11"/>
        <v>135.23325798360725</v>
      </c>
      <c r="G124" s="340" t="str">
        <f t="shared" si="19"/>
        <v/>
      </c>
      <c r="H124" s="341">
        <f t="shared" si="15"/>
        <v>171.28867970320366</v>
      </c>
      <c r="I124" s="341">
        <f t="shared" si="16"/>
        <v>103.67205071140003</v>
      </c>
      <c r="J124" s="341">
        <f t="shared" si="17"/>
        <v>238.90530869500728</v>
      </c>
      <c r="K124" s="341">
        <f t="shared" si="18"/>
        <v>166.84963625161183</v>
      </c>
      <c r="L124" s="341">
        <f t="shared" si="13"/>
        <v>72.055672443395451</v>
      </c>
    </row>
    <row r="125" spans="1:12" x14ac:dyDescent="0.35">
      <c r="A125" s="338">
        <v>45383</v>
      </c>
      <c r="B125" s="339"/>
      <c r="C125" s="340"/>
      <c r="D125" s="424">
        <f>N9</f>
        <v>0.92014022173874899</v>
      </c>
      <c r="E125" s="341">
        <f>'Growth Projection'!H$16/12</f>
        <v>146.97027125720342</v>
      </c>
      <c r="F125" s="341">
        <f t="shared" si="11"/>
        <v>135.23325798360725</v>
      </c>
      <c r="G125" s="340" t="str">
        <f t="shared" si="19"/>
        <v/>
      </c>
      <c r="H125" s="341">
        <f t="shared" si="15"/>
        <v>171.28867970320366</v>
      </c>
      <c r="I125" s="341">
        <f t="shared" si="16"/>
        <v>103.67205071140003</v>
      </c>
      <c r="J125" s="341">
        <f t="shared" si="17"/>
        <v>238.90530869500728</v>
      </c>
      <c r="K125" s="341">
        <f t="shared" si="18"/>
        <v>103.67205071140003</v>
      </c>
      <c r="L125" s="341">
        <f t="shared" si="13"/>
        <v>135.23325798360725</v>
      </c>
    </row>
    <row r="126" spans="1:12" x14ac:dyDescent="0.35">
      <c r="A126" s="338">
        <v>45413</v>
      </c>
      <c r="B126" s="339"/>
      <c r="C126" s="340"/>
      <c r="D126" s="424">
        <f>N5</f>
        <v>1.0545825762451857</v>
      </c>
      <c r="E126" s="341">
        <f>'Growth Projection'!H$16/12</f>
        <v>146.97027125720342</v>
      </c>
      <c r="F126" s="341">
        <f t="shared" si="11"/>
        <v>154.99228729387536</v>
      </c>
      <c r="G126" s="340" t="str">
        <f t="shared" si="19"/>
        <v/>
      </c>
      <c r="H126" s="341">
        <f t="shared" ref="H126:H157" si="20">IFERROR(F126+2*N$12*F126,"")</f>
        <v>196.31579280568465</v>
      </c>
      <c r="I126" s="341">
        <f t="shared" ref="I126:I157" si="21">IFERROR(IF(OR(ISBLANK(H126),ISBLANK(F126)),"",(H126*N$14)-(N$13*F126)),"")</f>
        <v>118.81964915874697</v>
      </c>
      <c r="J126" s="341">
        <f t="shared" ref="J126:J157" si="22">IFERROR(F126+I126,"")</f>
        <v>273.81193645262232</v>
      </c>
      <c r="K126" s="341">
        <f t="shared" si="18"/>
        <v>103.67205071140003</v>
      </c>
      <c r="L126" s="341">
        <f t="shared" si="13"/>
        <v>170.13988574122229</v>
      </c>
    </row>
    <row r="127" spans="1:12" x14ac:dyDescent="0.35">
      <c r="A127" s="338">
        <v>45444</v>
      </c>
      <c r="B127" s="339"/>
      <c r="C127" s="340"/>
      <c r="D127" s="424">
        <f>N7</f>
        <v>1.0103062618348237</v>
      </c>
      <c r="E127" s="341">
        <f>'Growth Projection'!H$16/12</f>
        <v>146.97027125720342</v>
      </c>
      <c r="F127" s="341">
        <f t="shared" ref="F127:F181" si="23">IFERROR(E127*D127,"")</f>
        <v>148.48498535471523</v>
      </c>
      <c r="G127" s="340" t="str">
        <f t="shared" si="19"/>
        <v/>
      </c>
      <c r="H127" s="341">
        <f t="shared" si="20"/>
        <v>188.0735366165751</v>
      </c>
      <c r="I127" s="341">
        <f t="shared" si="21"/>
        <v>113.83104393921748</v>
      </c>
      <c r="J127" s="341">
        <f t="shared" si="22"/>
        <v>262.31602929393273</v>
      </c>
      <c r="K127" s="341">
        <f t="shared" ref="K127:K158" si="24">IFERROR(K126+L126-F126,"")</f>
        <v>118.81964915874696</v>
      </c>
      <c r="L127" s="341">
        <f t="shared" ref="L127:L181" si="25">IF(OR(J127="",K127=""),"",IF(J127&gt;K127,J127-K127,0))</f>
        <v>143.49638013518577</v>
      </c>
    </row>
    <row r="128" spans="1:12" x14ac:dyDescent="0.35">
      <c r="A128" s="338">
        <v>45474</v>
      </c>
      <c r="B128" s="339"/>
      <c r="C128" s="340"/>
      <c r="D128" s="424">
        <f>N9</f>
        <v>0.92014022173874899</v>
      </c>
      <c r="E128" s="341">
        <f>'Growth Projection'!H$16/12</f>
        <v>146.97027125720342</v>
      </c>
      <c r="F128" s="341">
        <f t="shared" si="23"/>
        <v>135.23325798360725</v>
      </c>
      <c r="G128" s="340" t="str">
        <f t="shared" si="19"/>
        <v/>
      </c>
      <c r="H128" s="341">
        <f t="shared" si="20"/>
        <v>171.28867970320366</v>
      </c>
      <c r="I128" s="341">
        <f t="shared" si="21"/>
        <v>103.67205071140003</v>
      </c>
      <c r="J128" s="341">
        <f t="shared" si="22"/>
        <v>238.90530869500728</v>
      </c>
      <c r="K128" s="341">
        <f t="shared" si="24"/>
        <v>113.83104393921749</v>
      </c>
      <c r="L128" s="341">
        <f t="shared" si="25"/>
        <v>125.07426475578978</v>
      </c>
    </row>
    <row r="129" spans="1:12" x14ac:dyDescent="0.35">
      <c r="A129" s="338">
        <v>45505</v>
      </c>
      <c r="B129" s="339"/>
      <c r="C129" s="340"/>
      <c r="D129" s="424">
        <f>N9</f>
        <v>0.92014022173874899</v>
      </c>
      <c r="E129" s="341">
        <f>'Growth Projection'!H$16/12</f>
        <v>146.97027125720342</v>
      </c>
      <c r="F129" s="341">
        <f t="shared" si="23"/>
        <v>135.23325798360725</v>
      </c>
      <c r="G129" s="340" t="str">
        <f t="shared" si="19"/>
        <v/>
      </c>
      <c r="H129" s="341">
        <f t="shared" si="20"/>
        <v>171.28867970320366</v>
      </c>
      <c r="I129" s="341">
        <f t="shared" si="21"/>
        <v>103.67205071140003</v>
      </c>
      <c r="J129" s="341">
        <f t="shared" si="22"/>
        <v>238.90530869500728</v>
      </c>
      <c r="K129" s="341">
        <f t="shared" si="24"/>
        <v>103.67205071140003</v>
      </c>
      <c r="L129" s="341">
        <f t="shared" si="25"/>
        <v>135.23325798360725</v>
      </c>
    </row>
    <row r="130" spans="1:12" x14ac:dyDescent="0.35">
      <c r="A130" s="338">
        <v>45536</v>
      </c>
      <c r="B130" s="339"/>
      <c r="C130" s="340"/>
      <c r="D130" s="424">
        <f>N9</f>
        <v>0.92014022173874899</v>
      </c>
      <c r="E130" s="341">
        <f>'Growth Projection'!H$16/12</f>
        <v>146.97027125720342</v>
      </c>
      <c r="F130" s="341">
        <f t="shared" si="23"/>
        <v>135.23325798360725</v>
      </c>
      <c r="G130" s="340" t="str">
        <f t="shared" si="19"/>
        <v/>
      </c>
      <c r="H130" s="341">
        <f t="shared" si="20"/>
        <v>171.28867970320366</v>
      </c>
      <c r="I130" s="341">
        <f t="shared" si="21"/>
        <v>103.67205071140003</v>
      </c>
      <c r="J130" s="341">
        <f t="shared" si="22"/>
        <v>238.90530869500728</v>
      </c>
      <c r="K130" s="341">
        <f t="shared" si="24"/>
        <v>103.67205071140003</v>
      </c>
      <c r="L130" s="341">
        <f t="shared" si="25"/>
        <v>135.23325798360725</v>
      </c>
    </row>
    <row r="131" spans="1:12" x14ac:dyDescent="0.35">
      <c r="A131" s="338">
        <v>45566</v>
      </c>
      <c r="B131" s="339"/>
      <c r="C131" s="340"/>
      <c r="D131" s="424">
        <f>N9</f>
        <v>0.92014022173874899</v>
      </c>
      <c r="E131" s="341">
        <f>'Growth Projection'!H$16/12</f>
        <v>146.97027125720342</v>
      </c>
      <c r="F131" s="341">
        <f t="shared" si="23"/>
        <v>135.23325798360725</v>
      </c>
      <c r="G131" s="340" t="str">
        <f t="shared" si="19"/>
        <v/>
      </c>
      <c r="H131" s="341">
        <f t="shared" si="20"/>
        <v>171.28867970320366</v>
      </c>
      <c r="I131" s="341">
        <f t="shared" si="21"/>
        <v>103.67205071140003</v>
      </c>
      <c r="J131" s="341">
        <f t="shared" si="22"/>
        <v>238.90530869500728</v>
      </c>
      <c r="K131" s="341">
        <f t="shared" si="24"/>
        <v>103.67205071140003</v>
      </c>
      <c r="L131" s="341">
        <f t="shared" si="25"/>
        <v>135.23325798360725</v>
      </c>
    </row>
    <row r="132" spans="1:12" x14ac:dyDescent="0.35">
      <c r="A132" s="338">
        <v>45597</v>
      </c>
      <c r="B132" s="339"/>
      <c r="C132" s="340"/>
      <c r="D132" s="424">
        <f>N9</f>
        <v>0.92014022173874899</v>
      </c>
      <c r="E132" s="341">
        <f>'Growth Projection'!H$16/12</f>
        <v>146.97027125720342</v>
      </c>
      <c r="F132" s="341">
        <f t="shared" si="23"/>
        <v>135.23325798360725</v>
      </c>
      <c r="G132" s="340" t="str">
        <f t="shared" si="19"/>
        <v/>
      </c>
      <c r="H132" s="341">
        <f t="shared" si="20"/>
        <v>171.28867970320366</v>
      </c>
      <c r="I132" s="341">
        <f t="shared" si="21"/>
        <v>103.67205071140003</v>
      </c>
      <c r="J132" s="341">
        <f t="shared" si="22"/>
        <v>238.90530869500728</v>
      </c>
      <c r="K132" s="341">
        <f t="shared" si="24"/>
        <v>103.67205071140003</v>
      </c>
      <c r="L132" s="341">
        <f t="shared" si="25"/>
        <v>135.23325798360725</v>
      </c>
    </row>
    <row r="133" spans="1:12" x14ac:dyDescent="0.35">
      <c r="A133" s="338">
        <v>45627</v>
      </c>
      <c r="B133" s="339"/>
      <c r="C133" s="340"/>
      <c r="D133" s="424">
        <f>N8</f>
        <v>1.4757434640667961</v>
      </c>
      <c r="E133" s="341">
        <f>'Growth Projection'!H$16/12</f>
        <v>146.97027125720342</v>
      </c>
      <c r="F133" s="341">
        <f t="shared" si="23"/>
        <v>216.89041721994207</v>
      </c>
      <c r="G133" s="340" t="str">
        <f t="shared" si="19"/>
        <v/>
      </c>
      <c r="H133" s="341">
        <f t="shared" si="20"/>
        <v>274.71698722502293</v>
      </c>
      <c r="I133" s="341">
        <f t="shared" si="21"/>
        <v>166.27177861505191</v>
      </c>
      <c r="J133" s="341">
        <f t="shared" si="22"/>
        <v>383.16219583499401</v>
      </c>
      <c r="K133" s="341">
        <f t="shared" si="24"/>
        <v>103.67205071140003</v>
      </c>
      <c r="L133" s="341">
        <f t="shared" si="25"/>
        <v>279.49014512359395</v>
      </c>
    </row>
    <row r="134" spans="1:12" x14ac:dyDescent="0.35">
      <c r="A134" s="344">
        <v>45658</v>
      </c>
      <c r="B134" s="345"/>
      <c r="C134" s="346"/>
      <c r="D134" s="425">
        <f>N3</f>
        <v>1.1649897712479078</v>
      </c>
      <c r="E134" s="347">
        <f>'Growth Projection'!I$16/12</f>
        <v>157.32453622252797</v>
      </c>
      <c r="F134" s="347">
        <f t="shared" si="23"/>
        <v>183.28147546556605</v>
      </c>
      <c r="G134" s="346" t="str">
        <f t="shared" si="19"/>
        <v/>
      </c>
      <c r="H134" s="347">
        <f t="shared" si="20"/>
        <v>232.14734610887993</v>
      </c>
      <c r="I134" s="347">
        <f t="shared" si="21"/>
        <v>140.50660837609689</v>
      </c>
      <c r="J134" s="347">
        <f t="shared" si="22"/>
        <v>323.78808384166291</v>
      </c>
      <c r="K134" s="347">
        <f t="shared" si="24"/>
        <v>166.27177861505194</v>
      </c>
      <c r="L134" s="347">
        <f t="shared" si="25"/>
        <v>157.51630522661097</v>
      </c>
    </row>
    <row r="135" spans="1:12" x14ac:dyDescent="0.35">
      <c r="A135" s="344">
        <v>45689</v>
      </c>
      <c r="B135" s="345"/>
      <c r="C135" s="346"/>
      <c r="D135" s="425">
        <f>N4</f>
        <v>1.3158824623395944</v>
      </c>
      <c r="E135" s="347">
        <f>'Growth Projection'!I$16/12</f>
        <v>157.32453622252797</v>
      </c>
      <c r="F135" s="347">
        <f t="shared" si="23"/>
        <v>207.0205981109348</v>
      </c>
      <c r="G135" s="346" t="str">
        <f t="shared" si="19"/>
        <v/>
      </c>
      <c r="H135" s="347">
        <f t="shared" si="20"/>
        <v>262.21571121275502</v>
      </c>
      <c r="I135" s="347">
        <f t="shared" si="21"/>
        <v>158.70541215728764</v>
      </c>
      <c r="J135" s="347">
        <f t="shared" si="22"/>
        <v>365.72601026822247</v>
      </c>
      <c r="K135" s="347">
        <f t="shared" si="24"/>
        <v>140.50660837609686</v>
      </c>
      <c r="L135" s="347">
        <f t="shared" si="25"/>
        <v>225.2194018921256</v>
      </c>
    </row>
    <row r="136" spans="1:12" x14ac:dyDescent="0.35">
      <c r="A136" s="344">
        <v>45717</v>
      </c>
      <c r="B136" s="345"/>
      <c r="C136" s="346"/>
      <c r="D136" s="425">
        <f>N6</f>
        <v>1.0832790771622716</v>
      </c>
      <c r="E136" s="347">
        <f>'Growth Projection'!I$16/12</f>
        <v>157.32453622252797</v>
      </c>
      <c r="F136" s="347">
        <f t="shared" si="23"/>
        <v>170.42637841412247</v>
      </c>
      <c r="G136" s="346" t="str">
        <f t="shared" si="19"/>
        <v/>
      </c>
      <c r="H136" s="347">
        <f t="shared" si="20"/>
        <v>215.86486771391861</v>
      </c>
      <c r="I136" s="347">
        <f t="shared" si="21"/>
        <v>130.65167850685737</v>
      </c>
      <c r="J136" s="347">
        <f t="shared" si="22"/>
        <v>301.07805692097986</v>
      </c>
      <c r="K136" s="347">
        <f t="shared" si="24"/>
        <v>158.70541215728767</v>
      </c>
      <c r="L136" s="347">
        <f t="shared" si="25"/>
        <v>142.37264476369219</v>
      </c>
    </row>
    <row r="137" spans="1:12" x14ac:dyDescent="0.35">
      <c r="A137" s="344">
        <v>45748</v>
      </c>
      <c r="B137" s="345"/>
      <c r="C137" s="346"/>
      <c r="D137" s="425">
        <f>N9</f>
        <v>0.92014022173874899</v>
      </c>
      <c r="E137" s="347">
        <f>'Growth Projection'!I$16/12</f>
        <v>157.32453622252797</v>
      </c>
      <c r="F137" s="347">
        <f t="shared" si="23"/>
        <v>144.76063364474274</v>
      </c>
      <c r="G137" s="346" t="str">
        <f t="shared" si="19"/>
        <v/>
      </c>
      <c r="H137" s="347">
        <f t="shared" si="20"/>
        <v>183.35621118447696</v>
      </c>
      <c r="I137" s="347">
        <f t="shared" si="21"/>
        <v>110.97589436210559</v>
      </c>
      <c r="J137" s="347">
        <f t="shared" si="22"/>
        <v>255.73652800684835</v>
      </c>
      <c r="K137" s="347">
        <f t="shared" si="24"/>
        <v>130.65167850685739</v>
      </c>
      <c r="L137" s="347">
        <f t="shared" si="25"/>
        <v>125.08484949999095</v>
      </c>
    </row>
    <row r="138" spans="1:12" x14ac:dyDescent="0.35">
      <c r="A138" s="344">
        <v>45778</v>
      </c>
      <c r="B138" s="345"/>
      <c r="C138" s="346"/>
      <c r="D138" s="425">
        <f>N5</f>
        <v>1.0545825762451857</v>
      </c>
      <c r="E138" s="347">
        <f>'Growth Projection'!I$16/12</f>
        <v>157.32453622252797</v>
      </c>
      <c r="F138" s="347">
        <f t="shared" si="23"/>
        <v>165.91171471613259</v>
      </c>
      <c r="G138" s="346" t="str">
        <f t="shared" si="19"/>
        <v/>
      </c>
      <c r="H138" s="347">
        <f t="shared" si="20"/>
        <v>210.14652005548677</v>
      </c>
      <c r="I138" s="347">
        <f t="shared" si="21"/>
        <v>127.19066269742048</v>
      </c>
      <c r="J138" s="347">
        <f t="shared" si="22"/>
        <v>293.10237741355309</v>
      </c>
      <c r="K138" s="347">
        <f t="shared" si="24"/>
        <v>110.97589436210561</v>
      </c>
      <c r="L138" s="347">
        <f t="shared" si="25"/>
        <v>182.12648305144748</v>
      </c>
    </row>
    <row r="139" spans="1:12" x14ac:dyDescent="0.35">
      <c r="A139" s="344">
        <v>45809</v>
      </c>
      <c r="B139" s="345"/>
      <c r="C139" s="346"/>
      <c r="D139" s="425">
        <f>N7</f>
        <v>1.0103062618348237</v>
      </c>
      <c r="E139" s="347">
        <f>'Growth Projection'!I$16/12</f>
        <v>157.32453622252797</v>
      </c>
      <c r="F139" s="347">
        <f t="shared" si="23"/>
        <v>158.94596408587955</v>
      </c>
      <c r="G139" s="346" t="str">
        <f t="shared" ref="G139:G170" si="26">IF(OR(C139="",D139=""),"",C139-D139)</f>
        <v/>
      </c>
      <c r="H139" s="347">
        <f t="shared" si="20"/>
        <v>201.32358517697904</v>
      </c>
      <c r="I139" s="347">
        <f t="shared" si="21"/>
        <v>121.85060313403926</v>
      </c>
      <c r="J139" s="347">
        <f t="shared" si="22"/>
        <v>280.79656721991881</v>
      </c>
      <c r="K139" s="347">
        <f t="shared" si="24"/>
        <v>127.19066269742049</v>
      </c>
      <c r="L139" s="347">
        <f t="shared" si="25"/>
        <v>153.60590452249832</v>
      </c>
    </row>
    <row r="140" spans="1:12" x14ac:dyDescent="0.35">
      <c r="A140" s="344">
        <v>45839</v>
      </c>
      <c r="B140" s="345"/>
      <c r="C140" s="346"/>
      <c r="D140" s="425">
        <f>N9</f>
        <v>0.92014022173874899</v>
      </c>
      <c r="E140" s="347">
        <f>'Growth Projection'!I$16/12</f>
        <v>157.32453622252797</v>
      </c>
      <c r="F140" s="347">
        <f t="shared" si="23"/>
        <v>144.76063364474274</v>
      </c>
      <c r="G140" s="346" t="str">
        <f t="shared" si="26"/>
        <v/>
      </c>
      <c r="H140" s="347">
        <f t="shared" si="20"/>
        <v>183.35621118447696</v>
      </c>
      <c r="I140" s="347">
        <f t="shared" si="21"/>
        <v>110.97589436210559</v>
      </c>
      <c r="J140" s="347">
        <f t="shared" si="22"/>
        <v>255.73652800684835</v>
      </c>
      <c r="K140" s="347">
        <f t="shared" si="24"/>
        <v>121.85060313403926</v>
      </c>
      <c r="L140" s="347">
        <f t="shared" si="25"/>
        <v>133.88592487280908</v>
      </c>
    </row>
    <row r="141" spans="1:12" x14ac:dyDescent="0.35">
      <c r="A141" s="344">
        <v>45870</v>
      </c>
      <c r="B141" s="345"/>
      <c r="C141" s="346"/>
      <c r="D141" s="425">
        <f>N9</f>
        <v>0.92014022173874899</v>
      </c>
      <c r="E141" s="347">
        <f>'Growth Projection'!I$16/12</f>
        <v>157.32453622252797</v>
      </c>
      <c r="F141" s="347">
        <f t="shared" si="23"/>
        <v>144.76063364474274</v>
      </c>
      <c r="G141" s="346" t="str">
        <f t="shared" si="26"/>
        <v/>
      </c>
      <c r="H141" s="347">
        <f t="shared" si="20"/>
        <v>183.35621118447696</v>
      </c>
      <c r="I141" s="347">
        <f t="shared" si="21"/>
        <v>110.97589436210559</v>
      </c>
      <c r="J141" s="347">
        <f t="shared" si="22"/>
        <v>255.73652800684835</v>
      </c>
      <c r="K141" s="347">
        <f t="shared" si="24"/>
        <v>110.97589436210561</v>
      </c>
      <c r="L141" s="347">
        <f t="shared" si="25"/>
        <v>144.76063364474274</v>
      </c>
    </row>
    <row r="142" spans="1:12" x14ac:dyDescent="0.35">
      <c r="A142" s="344">
        <v>45901</v>
      </c>
      <c r="B142" s="345"/>
      <c r="C142" s="346"/>
      <c r="D142" s="425">
        <f>N9</f>
        <v>0.92014022173874899</v>
      </c>
      <c r="E142" s="347">
        <f>'Growth Projection'!I$16/12</f>
        <v>157.32453622252797</v>
      </c>
      <c r="F142" s="347">
        <f t="shared" si="23"/>
        <v>144.76063364474274</v>
      </c>
      <c r="G142" s="346" t="str">
        <f t="shared" si="26"/>
        <v/>
      </c>
      <c r="H142" s="347">
        <f t="shared" si="20"/>
        <v>183.35621118447696</v>
      </c>
      <c r="I142" s="347">
        <f t="shared" si="21"/>
        <v>110.97589436210559</v>
      </c>
      <c r="J142" s="347">
        <f t="shared" si="22"/>
        <v>255.73652800684835</v>
      </c>
      <c r="K142" s="347">
        <f t="shared" si="24"/>
        <v>110.97589436210561</v>
      </c>
      <c r="L142" s="347">
        <f t="shared" si="25"/>
        <v>144.76063364474274</v>
      </c>
    </row>
    <row r="143" spans="1:12" x14ac:dyDescent="0.35">
      <c r="A143" s="344">
        <v>45931</v>
      </c>
      <c r="B143" s="345"/>
      <c r="C143" s="346"/>
      <c r="D143" s="425">
        <f>N9</f>
        <v>0.92014022173874899</v>
      </c>
      <c r="E143" s="347">
        <f>'Growth Projection'!I$16/12</f>
        <v>157.32453622252797</v>
      </c>
      <c r="F143" s="347">
        <f t="shared" si="23"/>
        <v>144.76063364474274</v>
      </c>
      <c r="G143" s="346" t="str">
        <f t="shared" si="26"/>
        <v/>
      </c>
      <c r="H143" s="347">
        <f t="shared" si="20"/>
        <v>183.35621118447696</v>
      </c>
      <c r="I143" s="347">
        <f t="shared" si="21"/>
        <v>110.97589436210559</v>
      </c>
      <c r="J143" s="347">
        <f t="shared" si="22"/>
        <v>255.73652800684835</v>
      </c>
      <c r="K143" s="347">
        <f t="shared" si="24"/>
        <v>110.97589436210561</v>
      </c>
      <c r="L143" s="347">
        <f t="shared" si="25"/>
        <v>144.76063364474274</v>
      </c>
    </row>
    <row r="144" spans="1:12" x14ac:dyDescent="0.35">
      <c r="A144" s="344">
        <v>45962</v>
      </c>
      <c r="B144" s="345"/>
      <c r="C144" s="346"/>
      <c r="D144" s="425">
        <f>N9</f>
        <v>0.92014022173874899</v>
      </c>
      <c r="E144" s="347">
        <f>'Growth Projection'!I$16/12</f>
        <v>157.32453622252797</v>
      </c>
      <c r="F144" s="347">
        <f t="shared" si="23"/>
        <v>144.76063364474274</v>
      </c>
      <c r="G144" s="346" t="str">
        <f t="shared" si="26"/>
        <v/>
      </c>
      <c r="H144" s="347">
        <f t="shared" si="20"/>
        <v>183.35621118447696</v>
      </c>
      <c r="I144" s="347">
        <f t="shared" si="21"/>
        <v>110.97589436210559</v>
      </c>
      <c r="J144" s="347">
        <f t="shared" si="22"/>
        <v>255.73652800684835</v>
      </c>
      <c r="K144" s="347">
        <f t="shared" si="24"/>
        <v>110.97589436210561</v>
      </c>
      <c r="L144" s="347">
        <f t="shared" si="25"/>
        <v>144.76063364474274</v>
      </c>
    </row>
    <row r="145" spans="1:12" x14ac:dyDescent="0.35">
      <c r="A145" s="344">
        <v>45992</v>
      </c>
      <c r="B145" s="345"/>
      <c r="C145" s="346"/>
      <c r="D145" s="425">
        <f>N8</f>
        <v>1.4757434640667961</v>
      </c>
      <c r="E145" s="347">
        <f>'Growth Projection'!I$16/12</f>
        <v>157.32453622252797</v>
      </c>
      <c r="F145" s="347">
        <f t="shared" si="23"/>
        <v>232.17065606773556</v>
      </c>
      <c r="G145" s="346" t="str">
        <f t="shared" si="26"/>
        <v/>
      </c>
      <c r="H145" s="347">
        <f t="shared" si="20"/>
        <v>294.07119030209014</v>
      </c>
      <c r="I145" s="347">
        <f t="shared" si="21"/>
        <v>177.98586226822238</v>
      </c>
      <c r="J145" s="347">
        <f t="shared" si="22"/>
        <v>410.15651833595791</v>
      </c>
      <c r="K145" s="347">
        <f t="shared" si="24"/>
        <v>110.97589436210561</v>
      </c>
      <c r="L145" s="347">
        <f t="shared" si="25"/>
        <v>299.18062397385233</v>
      </c>
    </row>
    <row r="146" spans="1:12" x14ac:dyDescent="0.35">
      <c r="A146" s="338">
        <v>46023</v>
      </c>
      <c r="B146" s="339"/>
      <c r="C146" s="340"/>
      <c r="D146" s="424">
        <f>N9</f>
        <v>0.92014022173874899</v>
      </c>
      <c r="E146" s="341">
        <f>'Growth Projection'!J$16/12</f>
        <v>167.67880118785493</v>
      </c>
      <c r="F146" s="341">
        <f t="shared" si="23"/>
        <v>154.28800930588045</v>
      </c>
      <c r="G146" s="340" t="str">
        <f t="shared" si="26"/>
        <v/>
      </c>
      <c r="H146" s="341">
        <f t="shared" si="20"/>
        <v>195.42374266575308</v>
      </c>
      <c r="I146" s="341">
        <f t="shared" si="21"/>
        <v>118.27973801281286</v>
      </c>
      <c r="J146" s="341">
        <f t="shared" si="22"/>
        <v>272.56774731869331</v>
      </c>
      <c r="K146" s="341">
        <f t="shared" si="24"/>
        <v>177.98586226822235</v>
      </c>
      <c r="L146" s="341">
        <f t="shared" si="25"/>
        <v>94.581885050470959</v>
      </c>
    </row>
    <row r="147" spans="1:12" x14ac:dyDescent="0.35">
      <c r="A147" s="338">
        <v>46054</v>
      </c>
      <c r="B147" s="339"/>
      <c r="C147" s="340"/>
      <c r="D147" s="424">
        <f>N3+N4-100%</f>
        <v>1.480872233587502</v>
      </c>
      <c r="E147" s="341">
        <f>'Growth Projection'!J$16/12</f>
        <v>167.67880118785493</v>
      </c>
      <c r="F147" s="341">
        <f t="shared" si="23"/>
        <v>248.3108808403334</v>
      </c>
      <c r="G147" s="340" t="str">
        <f t="shared" si="26"/>
        <v/>
      </c>
      <c r="H147" s="341">
        <f t="shared" si="20"/>
        <v>314.51466576539917</v>
      </c>
      <c r="I147" s="341">
        <f t="shared" si="21"/>
        <v>190.35922534523246</v>
      </c>
      <c r="J147" s="341">
        <f t="shared" si="22"/>
        <v>438.67010618556583</v>
      </c>
      <c r="K147" s="341">
        <f t="shared" si="24"/>
        <v>118.27973801281286</v>
      </c>
      <c r="L147" s="341">
        <f t="shared" si="25"/>
        <v>320.39036817275297</v>
      </c>
    </row>
    <row r="148" spans="1:12" x14ac:dyDescent="0.35">
      <c r="A148" s="338">
        <v>46082</v>
      </c>
      <c r="B148" s="339"/>
      <c r="C148" s="340"/>
      <c r="D148" s="424">
        <f>N6</f>
        <v>1.0832790771622716</v>
      </c>
      <c r="E148" s="341">
        <f>'Growth Projection'!J$16/12</f>
        <v>167.67880118785493</v>
      </c>
      <c r="F148" s="341">
        <f t="shared" si="23"/>
        <v>181.64293701045548</v>
      </c>
      <c r="G148" s="340" t="str">
        <f t="shared" si="26"/>
        <v/>
      </c>
      <c r="H148" s="341">
        <f t="shared" si="20"/>
        <v>230.07194621980207</v>
      </c>
      <c r="I148" s="341">
        <f t="shared" si="21"/>
        <v>139.25047771457434</v>
      </c>
      <c r="J148" s="341">
        <f t="shared" si="22"/>
        <v>320.89341472502986</v>
      </c>
      <c r="K148" s="341">
        <f t="shared" si="24"/>
        <v>190.35922534523243</v>
      </c>
      <c r="L148" s="341">
        <f t="shared" si="25"/>
        <v>130.53418937979743</v>
      </c>
    </row>
    <row r="149" spans="1:12" x14ac:dyDescent="0.35">
      <c r="A149" s="338">
        <v>46113</v>
      </c>
      <c r="B149" s="339"/>
      <c r="C149" s="340"/>
      <c r="D149" s="424">
        <f>N9</f>
        <v>0.92014022173874899</v>
      </c>
      <c r="E149" s="341">
        <f>'Growth Projection'!J$16/12</f>
        <v>167.67880118785493</v>
      </c>
      <c r="F149" s="341">
        <f t="shared" si="23"/>
        <v>154.28800930588045</v>
      </c>
      <c r="G149" s="340" t="str">
        <f t="shared" si="26"/>
        <v/>
      </c>
      <c r="H149" s="341">
        <f t="shared" si="20"/>
        <v>195.42374266575308</v>
      </c>
      <c r="I149" s="341">
        <f t="shared" si="21"/>
        <v>118.27973801281286</v>
      </c>
      <c r="J149" s="341">
        <f t="shared" si="22"/>
        <v>272.56774731869331</v>
      </c>
      <c r="K149" s="341">
        <f t="shared" si="24"/>
        <v>139.25047771457437</v>
      </c>
      <c r="L149" s="341">
        <f t="shared" si="25"/>
        <v>133.31726960411893</v>
      </c>
    </row>
    <row r="150" spans="1:12" x14ac:dyDescent="0.35">
      <c r="A150" s="338">
        <v>46143</v>
      </c>
      <c r="B150" s="339"/>
      <c r="C150" s="340"/>
      <c r="D150" s="424">
        <f>N5</f>
        <v>1.0545825762451857</v>
      </c>
      <c r="E150" s="341">
        <f>'Growth Projection'!J$16/12</f>
        <v>167.67880118785493</v>
      </c>
      <c r="F150" s="341">
        <f t="shared" si="23"/>
        <v>176.83114213839235</v>
      </c>
      <c r="G150" s="340" t="str">
        <f t="shared" si="26"/>
        <v/>
      </c>
      <c r="H150" s="341">
        <f t="shared" si="20"/>
        <v>223.97724730529211</v>
      </c>
      <c r="I150" s="341">
        <f t="shared" si="21"/>
        <v>135.56167623609593</v>
      </c>
      <c r="J150" s="341">
        <f t="shared" si="22"/>
        <v>312.39281837448829</v>
      </c>
      <c r="K150" s="341">
        <f t="shared" si="24"/>
        <v>118.27973801281286</v>
      </c>
      <c r="L150" s="341">
        <f t="shared" si="25"/>
        <v>194.11308036167543</v>
      </c>
    </row>
    <row r="151" spans="1:12" x14ac:dyDescent="0.35">
      <c r="A151" s="338">
        <v>46174</v>
      </c>
      <c r="B151" s="339"/>
      <c r="C151" s="340"/>
      <c r="D151" s="424">
        <f>N7</f>
        <v>1.0103062618348237</v>
      </c>
      <c r="E151" s="341">
        <f>'Growth Projection'!J$16/12</f>
        <v>167.67880118785493</v>
      </c>
      <c r="F151" s="341">
        <f t="shared" si="23"/>
        <v>169.40694281704631</v>
      </c>
      <c r="G151" s="340" t="str">
        <f t="shared" si="26"/>
        <v/>
      </c>
      <c r="H151" s="341">
        <f t="shared" si="20"/>
        <v>214.57363373738607</v>
      </c>
      <c r="I151" s="341">
        <f t="shared" si="21"/>
        <v>129.87016232886293</v>
      </c>
      <c r="J151" s="341">
        <f t="shared" si="22"/>
        <v>299.27710514590922</v>
      </c>
      <c r="K151" s="341">
        <f t="shared" si="24"/>
        <v>135.56167623609593</v>
      </c>
      <c r="L151" s="341">
        <f t="shared" si="25"/>
        <v>163.71542890981328</v>
      </c>
    </row>
    <row r="152" spans="1:12" x14ac:dyDescent="0.35">
      <c r="A152" s="338">
        <v>46204</v>
      </c>
      <c r="B152" s="339"/>
      <c r="C152" s="340"/>
      <c r="D152" s="424">
        <f>N9</f>
        <v>0.92014022173874899</v>
      </c>
      <c r="E152" s="341">
        <f>'Growth Projection'!J$16/12</f>
        <v>167.67880118785493</v>
      </c>
      <c r="F152" s="341">
        <f t="shared" si="23"/>
        <v>154.28800930588045</v>
      </c>
      <c r="G152" s="340" t="str">
        <f t="shared" si="26"/>
        <v/>
      </c>
      <c r="H152" s="341">
        <f t="shared" si="20"/>
        <v>195.42374266575308</v>
      </c>
      <c r="I152" s="341">
        <f t="shared" si="21"/>
        <v>118.27973801281286</v>
      </c>
      <c r="J152" s="341">
        <f t="shared" si="22"/>
        <v>272.56774731869331</v>
      </c>
      <c r="K152" s="341">
        <f t="shared" si="24"/>
        <v>129.8701623288629</v>
      </c>
      <c r="L152" s="341">
        <f t="shared" si="25"/>
        <v>142.6975849898304</v>
      </c>
    </row>
    <row r="153" spans="1:12" x14ac:dyDescent="0.35">
      <c r="A153" s="338">
        <v>46235</v>
      </c>
      <c r="B153" s="339"/>
      <c r="C153" s="340"/>
      <c r="D153" s="424">
        <f>N9</f>
        <v>0.92014022173874899</v>
      </c>
      <c r="E153" s="341">
        <f>'Growth Projection'!J$16/12</f>
        <v>167.67880118785493</v>
      </c>
      <c r="F153" s="341">
        <f t="shared" si="23"/>
        <v>154.28800930588045</v>
      </c>
      <c r="G153" s="340" t="str">
        <f t="shared" si="26"/>
        <v/>
      </c>
      <c r="H153" s="341">
        <f t="shared" si="20"/>
        <v>195.42374266575308</v>
      </c>
      <c r="I153" s="341">
        <f t="shared" si="21"/>
        <v>118.27973801281286</v>
      </c>
      <c r="J153" s="341">
        <f t="shared" si="22"/>
        <v>272.56774731869331</v>
      </c>
      <c r="K153" s="341">
        <f t="shared" si="24"/>
        <v>118.27973801281286</v>
      </c>
      <c r="L153" s="341">
        <f t="shared" si="25"/>
        <v>154.28800930588045</v>
      </c>
    </row>
    <row r="154" spans="1:12" x14ac:dyDescent="0.35">
      <c r="A154" s="338">
        <v>46266</v>
      </c>
      <c r="B154" s="339"/>
      <c r="C154" s="340"/>
      <c r="D154" s="424">
        <f>N9</f>
        <v>0.92014022173874899</v>
      </c>
      <c r="E154" s="341">
        <f>'Growth Projection'!J$16/12</f>
        <v>167.67880118785493</v>
      </c>
      <c r="F154" s="341">
        <f t="shared" si="23"/>
        <v>154.28800930588045</v>
      </c>
      <c r="G154" s="340" t="str">
        <f t="shared" si="26"/>
        <v/>
      </c>
      <c r="H154" s="341">
        <f t="shared" si="20"/>
        <v>195.42374266575308</v>
      </c>
      <c r="I154" s="341">
        <f t="shared" si="21"/>
        <v>118.27973801281286</v>
      </c>
      <c r="J154" s="341">
        <f t="shared" si="22"/>
        <v>272.56774731869331</v>
      </c>
      <c r="K154" s="341">
        <f t="shared" si="24"/>
        <v>118.27973801281286</v>
      </c>
      <c r="L154" s="341">
        <f t="shared" si="25"/>
        <v>154.28800930588045</v>
      </c>
    </row>
    <row r="155" spans="1:12" x14ac:dyDescent="0.35">
      <c r="A155" s="338">
        <v>46296</v>
      </c>
      <c r="B155" s="339"/>
      <c r="C155" s="340"/>
      <c r="D155" s="424">
        <f>N9</f>
        <v>0.92014022173874899</v>
      </c>
      <c r="E155" s="341">
        <f>'Growth Projection'!J$16/12</f>
        <v>167.67880118785493</v>
      </c>
      <c r="F155" s="341">
        <f t="shared" si="23"/>
        <v>154.28800930588045</v>
      </c>
      <c r="G155" s="340" t="str">
        <f t="shared" si="26"/>
        <v/>
      </c>
      <c r="H155" s="341">
        <f t="shared" si="20"/>
        <v>195.42374266575308</v>
      </c>
      <c r="I155" s="341">
        <f t="shared" si="21"/>
        <v>118.27973801281286</v>
      </c>
      <c r="J155" s="341">
        <f t="shared" si="22"/>
        <v>272.56774731869331</v>
      </c>
      <c r="K155" s="341">
        <f t="shared" si="24"/>
        <v>118.27973801281286</v>
      </c>
      <c r="L155" s="341">
        <f t="shared" si="25"/>
        <v>154.28800930588045</v>
      </c>
    </row>
    <row r="156" spans="1:12" x14ac:dyDescent="0.35">
      <c r="A156" s="338">
        <v>46327</v>
      </c>
      <c r="B156" s="339"/>
      <c r="C156" s="340"/>
      <c r="D156" s="424">
        <f>N9</f>
        <v>0.92014022173874899</v>
      </c>
      <c r="E156" s="341">
        <f>'Growth Projection'!J$16/12</f>
        <v>167.67880118785493</v>
      </c>
      <c r="F156" s="341">
        <f t="shared" si="23"/>
        <v>154.28800930588045</v>
      </c>
      <c r="G156" s="340" t="str">
        <f t="shared" si="26"/>
        <v/>
      </c>
      <c r="H156" s="341">
        <f t="shared" si="20"/>
        <v>195.42374266575308</v>
      </c>
      <c r="I156" s="341">
        <f t="shared" si="21"/>
        <v>118.27973801281286</v>
      </c>
      <c r="J156" s="341">
        <f t="shared" si="22"/>
        <v>272.56774731869331</v>
      </c>
      <c r="K156" s="341">
        <f t="shared" si="24"/>
        <v>118.27973801281286</v>
      </c>
      <c r="L156" s="341">
        <f t="shared" si="25"/>
        <v>154.28800930588045</v>
      </c>
    </row>
    <row r="157" spans="1:12" x14ac:dyDescent="0.35">
      <c r="A157" s="338">
        <v>46357</v>
      </c>
      <c r="B157" s="339"/>
      <c r="C157" s="340"/>
      <c r="D157" s="424">
        <f>N8</f>
        <v>1.4757434640667961</v>
      </c>
      <c r="E157" s="341">
        <f>'Growth Projection'!J$16/12</f>
        <v>167.67880118785493</v>
      </c>
      <c r="F157" s="341">
        <f t="shared" si="23"/>
        <v>247.45089491553264</v>
      </c>
      <c r="G157" s="340" t="str">
        <f t="shared" si="26"/>
        <v/>
      </c>
      <c r="H157" s="341">
        <f t="shared" si="20"/>
        <v>313.42539337916185</v>
      </c>
      <c r="I157" s="341">
        <f t="shared" si="21"/>
        <v>189.69994592139551</v>
      </c>
      <c r="J157" s="341">
        <f t="shared" si="22"/>
        <v>437.15084083692818</v>
      </c>
      <c r="K157" s="341">
        <f t="shared" si="24"/>
        <v>118.27973801281286</v>
      </c>
      <c r="L157" s="341">
        <f t="shared" si="25"/>
        <v>318.87110282411533</v>
      </c>
    </row>
    <row r="158" spans="1:12" x14ac:dyDescent="0.35">
      <c r="A158" s="344">
        <v>46388</v>
      </c>
      <c r="B158" s="345"/>
      <c r="C158" s="346"/>
      <c r="D158" s="425">
        <f>N9</f>
        <v>0.92014022173874899</v>
      </c>
      <c r="E158" s="347">
        <f>'Growth Projection'!K$16/12</f>
        <v>178.03306615318192</v>
      </c>
      <c r="F158" s="347">
        <f t="shared" si="23"/>
        <v>163.81538496701819</v>
      </c>
      <c r="G158" s="346" t="str">
        <f t="shared" si="26"/>
        <v/>
      </c>
      <c r="H158" s="347">
        <f t="shared" ref="H158:H181" si="27">IFERROR(F158+2*N$12*F158,"")</f>
        <v>207.49127414702923</v>
      </c>
      <c r="I158" s="347">
        <f t="shared" ref="I158:I181" si="28">IFERROR(IF(OR(ISBLANK(H158),ISBLANK(F158)),"",(H158*N$14)-(N$13*F158)),"")</f>
        <v>125.58358166352014</v>
      </c>
      <c r="J158" s="347">
        <f t="shared" ref="J158:J181" si="29">IFERROR(F158+I158,"")</f>
        <v>289.39896663053833</v>
      </c>
      <c r="K158" s="347">
        <f t="shared" si="24"/>
        <v>189.69994592139554</v>
      </c>
      <c r="L158" s="347">
        <f t="shared" si="25"/>
        <v>99.699020709142786</v>
      </c>
    </row>
    <row r="159" spans="1:12" x14ac:dyDescent="0.35">
      <c r="A159" s="344">
        <v>46419</v>
      </c>
      <c r="B159" s="345"/>
      <c r="C159" s="346"/>
      <c r="D159" s="425">
        <f>N3+N4-100%</f>
        <v>1.480872233587502</v>
      </c>
      <c r="E159" s="347">
        <f>'Growth Projection'!K$16/12</f>
        <v>178.03306615318192</v>
      </c>
      <c r="F159" s="347">
        <f t="shared" si="23"/>
        <v>263.64422432669403</v>
      </c>
      <c r="G159" s="346" t="str">
        <f t="shared" si="26"/>
        <v/>
      </c>
      <c r="H159" s="347">
        <f t="shared" si="27"/>
        <v>333.93613205539128</v>
      </c>
      <c r="I159" s="347">
        <f t="shared" si="28"/>
        <v>202.11401989204427</v>
      </c>
      <c r="J159" s="347">
        <f t="shared" si="29"/>
        <v>465.7582442187383</v>
      </c>
      <c r="K159" s="347">
        <f t="shared" ref="K159:K181" si="30">IFERROR(K158+L158-F158,"")</f>
        <v>125.58358166352014</v>
      </c>
      <c r="L159" s="347">
        <f t="shared" si="25"/>
        <v>340.17466255521816</v>
      </c>
    </row>
    <row r="160" spans="1:12" x14ac:dyDescent="0.35">
      <c r="A160" s="344">
        <v>46447</v>
      </c>
      <c r="B160" s="345"/>
      <c r="C160" s="346"/>
      <c r="D160" s="425">
        <f>N6</f>
        <v>1.0832790771622716</v>
      </c>
      <c r="E160" s="347">
        <f>'Growth Projection'!K$16/12</f>
        <v>178.03306615318192</v>
      </c>
      <c r="F160" s="347">
        <f t="shared" si="23"/>
        <v>192.85949560678856</v>
      </c>
      <c r="G160" s="346" t="str">
        <f t="shared" si="26"/>
        <v/>
      </c>
      <c r="H160" s="347">
        <f t="shared" si="27"/>
        <v>244.27902472568564</v>
      </c>
      <c r="I160" s="347">
        <f t="shared" si="28"/>
        <v>147.84927692229138</v>
      </c>
      <c r="J160" s="347">
        <f t="shared" si="29"/>
        <v>340.70877252907997</v>
      </c>
      <c r="K160" s="347">
        <f t="shared" si="30"/>
        <v>202.11401989204427</v>
      </c>
      <c r="L160" s="347">
        <f t="shared" si="25"/>
        <v>138.5947526370357</v>
      </c>
    </row>
    <row r="161" spans="1:12" x14ac:dyDescent="0.35">
      <c r="A161" s="344">
        <v>46478</v>
      </c>
      <c r="B161" s="345"/>
      <c r="C161" s="346"/>
      <c r="D161" s="425">
        <f>N9</f>
        <v>0.92014022173874899</v>
      </c>
      <c r="E161" s="347">
        <f>'Growth Projection'!K$16/12</f>
        <v>178.03306615318192</v>
      </c>
      <c r="F161" s="347">
        <f t="shared" si="23"/>
        <v>163.81538496701819</v>
      </c>
      <c r="G161" s="346" t="str">
        <f t="shared" si="26"/>
        <v/>
      </c>
      <c r="H161" s="347">
        <f t="shared" si="27"/>
        <v>207.49127414702923</v>
      </c>
      <c r="I161" s="347">
        <f t="shared" si="28"/>
        <v>125.58358166352014</v>
      </c>
      <c r="J161" s="347">
        <f t="shared" si="29"/>
        <v>289.39896663053833</v>
      </c>
      <c r="K161" s="347">
        <f t="shared" si="30"/>
        <v>147.84927692229141</v>
      </c>
      <c r="L161" s="347">
        <f t="shared" si="25"/>
        <v>141.54968970824692</v>
      </c>
    </row>
    <row r="162" spans="1:12" x14ac:dyDescent="0.35">
      <c r="A162" s="344">
        <v>46508</v>
      </c>
      <c r="B162" s="345"/>
      <c r="C162" s="346"/>
      <c r="D162" s="425">
        <f>N5</f>
        <v>1.0545825762451857</v>
      </c>
      <c r="E162" s="347">
        <f>'Growth Projection'!K$16/12</f>
        <v>178.03306615318192</v>
      </c>
      <c r="F162" s="347">
        <f t="shared" si="23"/>
        <v>187.75056956065217</v>
      </c>
      <c r="G162" s="346" t="str">
        <f t="shared" si="26"/>
        <v/>
      </c>
      <c r="H162" s="347">
        <f t="shared" si="27"/>
        <v>237.8079745550975</v>
      </c>
      <c r="I162" s="347">
        <f t="shared" si="28"/>
        <v>143.9326897747714</v>
      </c>
      <c r="J162" s="347">
        <f t="shared" si="29"/>
        <v>331.6832593354236</v>
      </c>
      <c r="K162" s="347">
        <f t="shared" si="30"/>
        <v>125.58358166352014</v>
      </c>
      <c r="L162" s="347">
        <f t="shared" si="25"/>
        <v>206.09967767190346</v>
      </c>
    </row>
    <row r="163" spans="1:12" x14ac:dyDescent="0.35">
      <c r="A163" s="344">
        <v>46539</v>
      </c>
      <c r="B163" s="345"/>
      <c r="C163" s="346"/>
      <c r="D163" s="425">
        <f>N7</f>
        <v>1.0103062618348237</v>
      </c>
      <c r="E163" s="347">
        <f>'Growth Projection'!K$16/12</f>
        <v>178.03306615318192</v>
      </c>
      <c r="F163" s="347">
        <f t="shared" si="23"/>
        <v>179.8679215482131</v>
      </c>
      <c r="G163" s="346" t="str">
        <f t="shared" si="26"/>
        <v/>
      </c>
      <c r="H163" s="347">
        <f t="shared" si="27"/>
        <v>227.82368229779317</v>
      </c>
      <c r="I163" s="347">
        <f t="shared" si="28"/>
        <v>137.8897215236866</v>
      </c>
      <c r="J163" s="347">
        <f t="shared" si="29"/>
        <v>317.75764307189968</v>
      </c>
      <c r="K163" s="347">
        <f t="shared" si="30"/>
        <v>143.93268977477143</v>
      </c>
      <c r="L163" s="347">
        <f t="shared" si="25"/>
        <v>173.82495329712825</v>
      </c>
    </row>
    <row r="164" spans="1:12" x14ac:dyDescent="0.35">
      <c r="A164" s="344">
        <v>46569</v>
      </c>
      <c r="B164" s="345"/>
      <c r="C164" s="346"/>
      <c r="D164" s="425">
        <f>N9</f>
        <v>0.92014022173874899</v>
      </c>
      <c r="E164" s="347">
        <f>'Growth Projection'!K$16/12</f>
        <v>178.03306615318192</v>
      </c>
      <c r="F164" s="347">
        <f t="shared" si="23"/>
        <v>163.81538496701819</v>
      </c>
      <c r="G164" s="346" t="str">
        <f t="shared" si="26"/>
        <v/>
      </c>
      <c r="H164" s="347">
        <f t="shared" si="27"/>
        <v>207.49127414702923</v>
      </c>
      <c r="I164" s="347">
        <f t="shared" si="28"/>
        <v>125.58358166352014</v>
      </c>
      <c r="J164" s="347">
        <f t="shared" si="29"/>
        <v>289.39896663053833</v>
      </c>
      <c r="K164" s="347">
        <f t="shared" si="30"/>
        <v>137.88972152368657</v>
      </c>
      <c r="L164" s="347">
        <f t="shared" si="25"/>
        <v>151.50924510685175</v>
      </c>
    </row>
    <row r="165" spans="1:12" x14ac:dyDescent="0.35">
      <c r="A165" s="344">
        <v>46600</v>
      </c>
      <c r="B165" s="345"/>
      <c r="C165" s="346"/>
      <c r="D165" s="425">
        <f>N9</f>
        <v>0.92014022173874899</v>
      </c>
      <c r="E165" s="347">
        <f>'Growth Projection'!K$16/12</f>
        <v>178.03306615318192</v>
      </c>
      <c r="F165" s="347">
        <f t="shared" si="23"/>
        <v>163.81538496701819</v>
      </c>
      <c r="G165" s="346" t="str">
        <f t="shared" si="26"/>
        <v/>
      </c>
      <c r="H165" s="347">
        <f t="shared" si="27"/>
        <v>207.49127414702923</v>
      </c>
      <c r="I165" s="347">
        <f t="shared" si="28"/>
        <v>125.58358166352014</v>
      </c>
      <c r="J165" s="347">
        <f t="shared" si="29"/>
        <v>289.39896663053833</v>
      </c>
      <c r="K165" s="347">
        <f t="shared" si="30"/>
        <v>125.58358166352014</v>
      </c>
      <c r="L165" s="347">
        <f t="shared" si="25"/>
        <v>163.81538496701819</v>
      </c>
    </row>
    <row r="166" spans="1:12" x14ac:dyDescent="0.35">
      <c r="A166" s="344">
        <v>46631</v>
      </c>
      <c r="B166" s="345"/>
      <c r="C166" s="346"/>
      <c r="D166" s="425">
        <f>N9</f>
        <v>0.92014022173874899</v>
      </c>
      <c r="E166" s="347">
        <f>'Growth Projection'!K$16/12</f>
        <v>178.03306615318192</v>
      </c>
      <c r="F166" s="347">
        <f t="shared" si="23"/>
        <v>163.81538496701819</v>
      </c>
      <c r="G166" s="346" t="str">
        <f t="shared" si="26"/>
        <v/>
      </c>
      <c r="H166" s="347">
        <f t="shared" si="27"/>
        <v>207.49127414702923</v>
      </c>
      <c r="I166" s="347">
        <f t="shared" si="28"/>
        <v>125.58358166352014</v>
      </c>
      <c r="J166" s="347">
        <f t="shared" si="29"/>
        <v>289.39896663053833</v>
      </c>
      <c r="K166" s="347">
        <f t="shared" si="30"/>
        <v>125.58358166352014</v>
      </c>
      <c r="L166" s="347">
        <f t="shared" si="25"/>
        <v>163.81538496701819</v>
      </c>
    </row>
    <row r="167" spans="1:12" x14ac:dyDescent="0.35">
      <c r="A167" s="344">
        <v>46661</v>
      </c>
      <c r="B167" s="345"/>
      <c r="C167" s="346"/>
      <c r="D167" s="425">
        <f>N9</f>
        <v>0.92014022173874899</v>
      </c>
      <c r="E167" s="347">
        <f>'Growth Projection'!K$16/12</f>
        <v>178.03306615318192</v>
      </c>
      <c r="F167" s="347">
        <f t="shared" si="23"/>
        <v>163.81538496701819</v>
      </c>
      <c r="G167" s="346" t="str">
        <f t="shared" si="26"/>
        <v/>
      </c>
      <c r="H167" s="347">
        <f t="shared" si="27"/>
        <v>207.49127414702923</v>
      </c>
      <c r="I167" s="347">
        <f t="shared" si="28"/>
        <v>125.58358166352014</v>
      </c>
      <c r="J167" s="347">
        <f t="shared" si="29"/>
        <v>289.39896663053833</v>
      </c>
      <c r="K167" s="347">
        <f t="shared" si="30"/>
        <v>125.58358166352014</v>
      </c>
      <c r="L167" s="347">
        <f t="shared" si="25"/>
        <v>163.81538496701819</v>
      </c>
    </row>
    <row r="168" spans="1:12" x14ac:dyDescent="0.35">
      <c r="A168" s="344">
        <v>46692</v>
      </c>
      <c r="B168" s="345"/>
      <c r="C168" s="346"/>
      <c r="D168" s="425">
        <f>N9</f>
        <v>0.92014022173874899</v>
      </c>
      <c r="E168" s="347">
        <f>'Growth Projection'!K$16/12</f>
        <v>178.03306615318192</v>
      </c>
      <c r="F168" s="347">
        <f t="shared" si="23"/>
        <v>163.81538496701819</v>
      </c>
      <c r="G168" s="346" t="str">
        <f t="shared" si="26"/>
        <v/>
      </c>
      <c r="H168" s="347">
        <f t="shared" si="27"/>
        <v>207.49127414702923</v>
      </c>
      <c r="I168" s="347">
        <f t="shared" si="28"/>
        <v>125.58358166352014</v>
      </c>
      <c r="J168" s="347">
        <f t="shared" si="29"/>
        <v>289.39896663053833</v>
      </c>
      <c r="K168" s="347">
        <f t="shared" si="30"/>
        <v>125.58358166352014</v>
      </c>
      <c r="L168" s="347">
        <f t="shared" si="25"/>
        <v>163.81538496701819</v>
      </c>
    </row>
    <row r="169" spans="1:12" x14ac:dyDescent="0.35">
      <c r="A169" s="344">
        <v>46722</v>
      </c>
      <c r="B169" s="345"/>
      <c r="C169" s="346"/>
      <c r="D169" s="425">
        <f>N8</f>
        <v>1.4757434640667961</v>
      </c>
      <c r="E169" s="347">
        <f>'Growth Projection'!K$16/12</f>
        <v>178.03306615318192</v>
      </c>
      <c r="F169" s="347">
        <f t="shared" si="23"/>
        <v>262.73113376332975</v>
      </c>
      <c r="G169" s="346" t="str">
        <f t="shared" si="26"/>
        <v/>
      </c>
      <c r="H169" s="347">
        <f t="shared" si="27"/>
        <v>332.77959645623355</v>
      </c>
      <c r="I169" s="347">
        <f t="shared" si="28"/>
        <v>201.41402957456867</v>
      </c>
      <c r="J169" s="347">
        <f t="shared" si="29"/>
        <v>464.14516333789845</v>
      </c>
      <c r="K169" s="347">
        <f t="shared" si="30"/>
        <v>125.58358166352014</v>
      </c>
      <c r="L169" s="347">
        <f t="shared" si="25"/>
        <v>338.56158167437832</v>
      </c>
    </row>
    <row r="170" spans="1:12" x14ac:dyDescent="0.35">
      <c r="A170" s="338">
        <v>46753</v>
      </c>
      <c r="B170" s="339"/>
      <c r="C170" s="340"/>
      <c r="D170" s="424">
        <f>N3</f>
        <v>1.1649897712479078</v>
      </c>
      <c r="E170" s="341">
        <f>'Growth Projection'!L$16/12</f>
        <v>188.38733111850647</v>
      </c>
      <c r="F170" s="341">
        <f t="shared" si="23"/>
        <v>219.46931378575272</v>
      </c>
      <c r="G170" s="340" t="str">
        <f t="shared" si="26"/>
        <v/>
      </c>
      <c r="H170" s="341">
        <f t="shared" si="27"/>
        <v>277.98346023939325</v>
      </c>
      <c r="I170" s="341">
        <f t="shared" si="28"/>
        <v>168.24880334651689</v>
      </c>
      <c r="J170" s="341">
        <f t="shared" si="29"/>
        <v>387.71811713226964</v>
      </c>
      <c r="K170" s="341">
        <f t="shared" si="30"/>
        <v>201.4140295745687</v>
      </c>
      <c r="L170" s="341">
        <f t="shared" si="25"/>
        <v>186.30408755770094</v>
      </c>
    </row>
    <row r="171" spans="1:12" x14ac:dyDescent="0.35">
      <c r="A171" s="338">
        <v>46784</v>
      </c>
      <c r="B171" s="339"/>
      <c r="C171" s="340"/>
      <c r="D171" s="424">
        <f>N4+N6-100%</f>
        <v>1.3991615395018657</v>
      </c>
      <c r="E171" s="341">
        <f>'Growth Projection'!L$16/12</f>
        <v>188.38733111850647</v>
      </c>
      <c r="F171" s="341">
        <f t="shared" si="23"/>
        <v>263.58430823041726</v>
      </c>
      <c r="G171" s="340" t="str">
        <f t="shared" ref="G171:G181" si="31">IF(OR(C171="",D171=""),"",C171-D171)</f>
        <v/>
      </c>
      <c r="H171" s="341">
        <f t="shared" si="27"/>
        <v>333.86024133755132</v>
      </c>
      <c r="I171" s="341">
        <f t="shared" si="28"/>
        <v>202.06808722234268</v>
      </c>
      <c r="J171" s="341">
        <f t="shared" si="29"/>
        <v>465.65239545275995</v>
      </c>
      <c r="K171" s="341">
        <f t="shared" si="30"/>
        <v>168.24880334651692</v>
      </c>
      <c r="L171" s="341">
        <f t="shared" si="25"/>
        <v>297.40359210624302</v>
      </c>
    </row>
    <row r="172" spans="1:12" x14ac:dyDescent="0.35">
      <c r="A172" s="338">
        <v>46813</v>
      </c>
      <c r="B172" s="339"/>
      <c r="C172" s="340"/>
      <c r="D172" s="424">
        <f>N9</f>
        <v>0.92014022173874899</v>
      </c>
      <c r="E172" s="341">
        <f>'Growth Projection'!L$16/12</f>
        <v>188.38733111850647</v>
      </c>
      <c r="F172" s="341">
        <f t="shared" si="23"/>
        <v>173.34276062815366</v>
      </c>
      <c r="G172" s="340" t="str">
        <f t="shared" si="31"/>
        <v/>
      </c>
      <c r="H172" s="341">
        <f t="shared" si="27"/>
        <v>219.55880562830251</v>
      </c>
      <c r="I172" s="341">
        <f t="shared" si="28"/>
        <v>132.88742531422568</v>
      </c>
      <c r="J172" s="341">
        <f t="shared" si="29"/>
        <v>306.23018594237931</v>
      </c>
      <c r="K172" s="341">
        <f t="shared" si="30"/>
        <v>202.06808722234268</v>
      </c>
      <c r="L172" s="341">
        <f t="shared" si="25"/>
        <v>104.16209872003662</v>
      </c>
    </row>
    <row r="173" spans="1:12" x14ac:dyDescent="0.35">
      <c r="A173" s="338">
        <v>46844</v>
      </c>
      <c r="B173" s="339"/>
      <c r="C173" s="340"/>
      <c r="D173" s="424">
        <f>N9</f>
        <v>0.92014022173874899</v>
      </c>
      <c r="E173" s="341">
        <f>'Growth Projection'!L$16/12</f>
        <v>188.38733111850647</v>
      </c>
      <c r="F173" s="341">
        <f t="shared" si="23"/>
        <v>173.34276062815366</v>
      </c>
      <c r="G173" s="340" t="str">
        <f t="shared" si="31"/>
        <v/>
      </c>
      <c r="H173" s="341">
        <f t="shared" si="27"/>
        <v>219.55880562830251</v>
      </c>
      <c r="I173" s="341">
        <f t="shared" si="28"/>
        <v>132.88742531422568</v>
      </c>
      <c r="J173" s="341">
        <f t="shared" si="29"/>
        <v>306.23018594237931</v>
      </c>
      <c r="K173" s="341">
        <f t="shared" si="30"/>
        <v>132.88742531422565</v>
      </c>
      <c r="L173" s="341">
        <f t="shared" si="25"/>
        <v>173.34276062815366</v>
      </c>
    </row>
    <row r="174" spans="1:12" x14ac:dyDescent="0.35">
      <c r="A174" s="338">
        <v>46874</v>
      </c>
      <c r="B174" s="339"/>
      <c r="C174" s="340"/>
      <c r="D174" s="424">
        <f>N5</f>
        <v>1.0545825762451857</v>
      </c>
      <c r="E174" s="341">
        <f>'Growth Projection'!L$16/12</f>
        <v>188.38733111850647</v>
      </c>
      <c r="F174" s="341">
        <f t="shared" si="23"/>
        <v>198.6699969829094</v>
      </c>
      <c r="G174" s="340" t="str">
        <f t="shared" si="31"/>
        <v/>
      </c>
      <c r="H174" s="341">
        <f t="shared" si="27"/>
        <v>251.63870180489963</v>
      </c>
      <c r="I174" s="341">
        <f t="shared" si="28"/>
        <v>152.30370331344494</v>
      </c>
      <c r="J174" s="341">
        <f t="shared" si="29"/>
        <v>350.97370029635431</v>
      </c>
      <c r="K174" s="341">
        <f t="shared" si="30"/>
        <v>132.88742531422565</v>
      </c>
      <c r="L174" s="341">
        <f t="shared" si="25"/>
        <v>218.08627498212866</v>
      </c>
    </row>
    <row r="175" spans="1:12" x14ac:dyDescent="0.35">
      <c r="A175" s="338">
        <v>46905</v>
      </c>
      <c r="B175" s="339"/>
      <c r="C175" s="340"/>
      <c r="D175" s="424">
        <f>N7</f>
        <v>1.0103062618348237</v>
      </c>
      <c r="E175" s="341">
        <f>'Growth Projection'!L$16/12</f>
        <v>188.38733111850647</v>
      </c>
      <c r="F175" s="341">
        <f t="shared" si="23"/>
        <v>190.32890027937742</v>
      </c>
      <c r="G175" s="340" t="str">
        <f t="shared" si="31"/>
        <v/>
      </c>
      <c r="H175" s="341">
        <f t="shared" si="27"/>
        <v>241.07373085819711</v>
      </c>
      <c r="I175" s="341">
        <f t="shared" si="28"/>
        <v>145.9092807185084</v>
      </c>
      <c r="J175" s="341">
        <f t="shared" si="29"/>
        <v>336.23818099788582</v>
      </c>
      <c r="K175" s="341">
        <f t="shared" si="30"/>
        <v>152.30370331344491</v>
      </c>
      <c r="L175" s="341">
        <f t="shared" si="25"/>
        <v>183.93447768444091</v>
      </c>
    </row>
    <row r="176" spans="1:12" x14ac:dyDescent="0.35">
      <c r="A176" s="338">
        <v>46935</v>
      </c>
      <c r="B176" s="339"/>
      <c r="C176" s="340"/>
      <c r="D176" s="424">
        <f>N9</f>
        <v>0.92014022173874899</v>
      </c>
      <c r="E176" s="341">
        <f>'Growth Projection'!L$16/12</f>
        <v>188.38733111850647</v>
      </c>
      <c r="F176" s="341">
        <f t="shared" si="23"/>
        <v>173.34276062815366</v>
      </c>
      <c r="G176" s="340" t="str">
        <f t="shared" si="31"/>
        <v/>
      </c>
      <c r="H176" s="341">
        <f t="shared" si="27"/>
        <v>219.55880562830251</v>
      </c>
      <c r="I176" s="341">
        <f t="shared" si="28"/>
        <v>132.88742531422568</v>
      </c>
      <c r="J176" s="341">
        <f t="shared" si="29"/>
        <v>306.23018594237931</v>
      </c>
      <c r="K176" s="341">
        <f t="shared" si="30"/>
        <v>145.9092807185084</v>
      </c>
      <c r="L176" s="341">
        <f t="shared" si="25"/>
        <v>160.32090522387091</v>
      </c>
    </row>
    <row r="177" spans="1:12" x14ac:dyDescent="0.35">
      <c r="A177" s="338">
        <v>46966</v>
      </c>
      <c r="B177" s="339"/>
      <c r="C177" s="340"/>
      <c r="D177" s="424">
        <f>N9</f>
        <v>0.92014022173874899</v>
      </c>
      <c r="E177" s="341">
        <f>'Growth Projection'!L$16/12</f>
        <v>188.38733111850647</v>
      </c>
      <c r="F177" s="341">
        <f t="shared" si="23"/>
        <v>173.34276062815366</v>
      </c>
      <c r="G177" s="340" t="str">
        <f t="shared" si="31"/>
        <v/>
      </c>
      <c r="H177" s="341">
        <f t="shared" si="27"/>
        <v>219.55880562830251</v>
      </c>
      <c r="I177" s="341">
        <f t="shared" si="28"/>
        <v>132.88742531422568</v>
      </c>
      <c r="J177" s="341">
        <f t="shared" si="29"/>
        <v>306.23018594237931</v>
      </c>
      <c r="K177" s="341">
        <f t="shared" si="30"/>
        <v>132.88742531422565</v>
      </c>
      <c r="L177" s="341">
        <f t="shared" si="25"/>
        <v>173.34276062815366</v>
      </c>
    </row>
    <row r="178" spans="1:12" x14ac:dyDescent="0.35">
      <c r="A178" s="338">
        <v>46997</v>
      </c>
      <c r="B178" s="339"/>
      <c r="C178" s="340"/>
      <c r="D178" s="424">
        <f>N9</f>
        <v>0.92014022173874899</v>
      </c>
      <c r="E178" s="341">
        <f>'Growth Projection'!L$16/12</f>
        <v>188.38733111850647</v>
      </c>
      <c r="F178" s="341">
        <f t="shared" si="23"/>
        <v>173.34276062815366</v>
      </c>
      <c r="G178" s="340" t="str">
        <f t="shared" si="31"/>
        <v/>
      </c>
      <c r="H178" s="341">
        <f t="shared" si="27"/>
        <v>219.55880562830251</v>
      </c>
      <c r="I178" s="341">
        <f t="shared" si="28"/>
        <v>132.88742531422568</v>
      </c>
      <c r="J178" s="341">
        <f t="shared" si="29"/>
        <v>306.23018594237931</v>
      </c>
      <c r="K178" s="341">
        <f t="shared" si="30"/>
        <v>132.88742531422565</v>
      </c>
      <c r="L178" s="341">
        <f t="shared" si="25"/>
        <v>173.34276062815366</v>
      </c>
    </row>
    <row r="179" spans="1:12" x14ac:dyDescent="0.35">
      <c r="A179" s="338">
        <v>47027</v>
      </c>
      <c r="B179" s="339"/>
      <c r="C179" s="340"/>
      <c r="D179" s="424">
        <f>N9</f>
        <v>0.92014022173874899</v>
      </c>
      <c r="E179" s="341">
        <f>'Growth Projection'!L$16/12</f>
        <v>188.38733111850647</v>
      </c>
      <c r="F179" s="341">
        <f t="shared" si="23"/>
        <v>173.34276062815366</v>
      </c>
      <c r="G179" s="340" t="str">
        <f t="shared" si="31"/>
        <v/>
      </c>
      <c r="H179" s="341">
        <f t="shared" si="27"/>
        <v>219.55880562830251</v>
      </c>
      <c r="I179" s="341">
        <f t="shared" si="28"/>
        <v>132.88742531422568</v>
      </c>
      <c r="J179" s="341">
        <f t="shared" si="29"/>
        <v>306.23018594237931</v>
      </c>
      <c r="K179" s="341">
        <f t="shared" si="30"/>
        <v>132.88742531422565</v>
      </c>
      <c r="L179" s="341">
        <f t="shared" si="25"/>
        <v>173.34276062815366</v>
      </c>
    </row>
    <row r="180" spans="1:12" x14ac:dyDescent="0.35">
      <c r="A180" s="338">
        <v>47058</v>
      </c>
      <c r="B180" s="339"/>
      <c r="C180" s="340"/>
      <c r="D180" s="424">
        <f>N9</f>
        <v>0.92014022173874899</v>
      </c>
      <c r="E180" s="341">
        <f>'Growth Projection'!L$16/12</f>
        <v>188.38733111850647</v>
      </c>
      <c r="F180" s="341">
        <f t="shared" si="23"/>
        <v>173.34276062815366</v>
      </c>
      <c r="G180" s="340" t="str">
        <f t="shared" si="31"/>
        <v/>
      </c>
      <c r="H180" s="341">
        <f t="shared" si="27"/>
        <v>219.55880562830251</v>
      </c>
      <c r="I180" s="341">
        <f t="shared" si="28"/>
        <v>132.88742531422568</v>
      </c>
      <c r="J180" s="341">
        <f t="shared" si="29"/>
        <v>306.23018594237931</v>
      </c>
      <c r="K180" s="341">
        <f t="shared" si="30"/>
        <v>132.88742531422565</v>
      </c>
      <c r="L180" s="341">
        <f t="shared" si="25"/>
        <v>173.34276062815366</v>
      </c>
    </row>
    <row r="181" spans="1:12" x14ac:dyDescent="0.35">
      <c r="A181" s="338">
        <v>47088</v>
      </c>
      <c r="B181" s="339"/>
      <c r="C181" s="340"/>
      <c r="D181" s="424">
        <f>N8</f>
        <v>1.4757434640667961</v>
      </c>
      <c r="E181" s="341">
        <f>'Growth Projection'!L$16/12</f>
        <v>188.38733111850647</v>
      </c>
      <c r="F181" s="341">
        <f t="shared" si="23"/>
        <v>278.01137261112325</v>
      </c>
      <c r="G181" s="340" t="str">
        <f t="shared" si="31"/>
        <v/>
      </c>
      <c r="H181" s="341">
        <f t="shared" si="27"/>
        <v>352.13379953330076</v>
      </c>
      <c r="I181" s="341">
        <f t="shared" si="28"/>
        <v>213.12811322773914</v>
      </c>
      <c r="J181" s="341">
        <f t="shared" si="29"/>
        <v>491.13948583886236</v>
      </c>
      <c r="K181" s="341">
        <f t="shared" si="30"/>
        <v>132.88742531422565</v>
      </c>
      <c r="L181" s="341">
        <f t="shared" si="25"/>
        <v>358.2520605246367</v>
      </c>
    </row>
    <row r="182" spans="1:12" x14ac:dyDescent="0.35">
      <c r="A182" s="171"/>
      <c r="F182" s="109"/>
      <c r="H182" s="109"/>
      <c r="I182" s="109"/>
      <c r="J182" s="109"/>
      <c r="K182" s="109"/>
      <c r="L182" s="109"/>
    </row>
    <row r="183" spans="1:12" x14ac:dyDescent="0.35">
      <c r="A183" s="171"/>
      <c r="F183" s="109"/>
      <c r="H183" s="109"/>
      <c r="I183" s="109"/>
      <c r="J183" s="109"/>
      <c r="K183" s="109"/>
      <c r="L183" s="109"/>
    </row>
    <row r="184" spans="1:12" x14ac:dyDescent="0.35">
      <c r="A184" s="171"/>
      <c r="F184" s="109"/>
      <c r="H184" s="109"/>
      <c r="I184" s="109"/>
      <c r="J184" s="109"/>
      <c r="K184" s="109"/>
      <c r="L184" s="109"/>
    </row>
    <row r="185" spans="1:12" x14ac:dyDescent="0.35">
      <c r="A185" s="171"/>
      <c r="F185" s="109"/>
      <c r="H185" s="109"/>
      <c r="I185" s="109"/>
      <c r="J185" s="109"/>
      <c r="K185" s="109"/>
      <c r="L185" s="109"/>
    </row>
    <row r="186" spans="1:12" x14ac:dyDescent="0.35">
      <c r="A186" s="171"/>
      <c r="F186" s="109"/>
      <c r="H186" s="109"/>
      <c r="I186" s="109"/>
      <c r="J186" s="109"/>
      <c r="K186" s="109"/>
      <c r="L186" s="109"/>
    </row>
    <row r="187" spans="1:12" x14ac:dyDescent="0.35">
      <c r="A187" s="171"/>
      <c r="F187" s="109"/>
      <c r="H187" s="109"/>
      <c r="I187" s="109"/>
      <c r="J187" s="109"/>
      <c r="K187" s="109"/>
      <c r="L187" s="109"/>
    </row>
    <row r="188" spans="1:12" x14ac:dyDescent="0.35">
      <c r="A188" s="171"/>
      <c r="F188" s="109"/>
      <c r="H188" s="109"/>
      <c r="I188" s="109"/>
      <c r="J188" s="109"/>
      <c r="K188" s="109"/>
      <c r="L188" s="109"/>
    </row>
    <row r="189" spans="1:12" x14ac:dyDescent="0.35">
      <c r="A189" s="171"/>
      <c r="F189" s="109"/>
      <c r="H189" s="109"/>
      <c r="I189" s="109"/>
      <c r="J189" s="109"/>
      <c r="K189" s="109"/>
      <c r="L189" s="109"/>
    </row>
    <row r="190" spans="1:12" x14ac:dyDescent="0.35">
      <c r="A190" s="171"/>
      <c r="F190" s="109"/>
      <c r="H190" s="109"/>
      <c r="I190" s="109"/>
      <c r="J190" s="109"/>
      <c r="K190" s="109"/>
      <c r="L190" s="109"/>
    </row>
    <row r="191" spans="1:12" x14ac:dyDescent="0.35">
      <c r="A191" s="171"/>
      <c r="F191" s="109"/>
      <c r="H191" s="109"/>
      <c r="I191" s="109"/>
      <c r="J191" s="109"/>
      <c r="K191" s="109"/>
      <c r="L191" s="109"/>
    </row>
    <row r="192" spans="1:12" x14ac:dyDescent="0.35">
      <c r="A192" s="171"/>
      <c r="F192" s="109"/>
      <c r="H192" s="109"/>
      <c r="I192" s="109"/>
      <c r="J192" s="109"/>
      <c r="K192" s="109"/>
      <c r="L192" s="109"/>
    </row>
    <row r="193" spans="1:12" x14ac:dyDescent="0.35">
      <c r="A193" s="171"/>
      <c r="F193" s="109"/>
      <c r="H193" s="109"/>
      <c r="I193" s="109"/>
      <c r="J193" s="109"/>
      <c r="K193" s="109"/>
      <c r="L193" s="109"/>
    </row>
    <row r="194" spans="1:12" x14ac:dyDescent="0.35">
      <c r="A194" s="171"/>
      <c r="F194" s="109"/>
      <c r="H194" s="109"/>
      <c r="I194" s="109"/>
      <c r="J194" s="109"/>
      <c r="K194" s="109"/>
      <c r="L194" s="109"/>
    </row>
    <row r="195" spans="1:12" x14ac:dyDescent="0.35">
      <c r="A195" s="171"/>
      <c r="F195" s="109"/>
      <c r="H195" s="109"/>
      <c r="I195" s="109"/>
      <c r="J195" s="109"/>
      <c r="K195" s="109"/>
      <c r="L195" s="109"/>
    </row>
    <row r="196" spans="1:12" x14ac:dyDescent="0.35">
      <c r="A196" s="171"/>
      <c r="F196" s="109"/>
      <c r="H196" s="109"/>
      <c r="I196" s="109"/>
      <c r="J196" s="109"/>
      <c r="K196" s="109"/>
      <c r="L196" s="109"/>
    </row>
    <row r="197" spans="1:12" x14ac:dyDescent="0.35">
      <c r="A197" s="171"/>
      <c r="F197" s="109"/>
      <c r="H197" s="109"/>
      <c r="I197" s="109"/>
      <c r="J197" s="109"/>
      <c r="K197" s="109"/>
      <c r="L197" s="109"/>
    </row>
    <row r="198" spans="1:12" x14ac:dyDescent="0.35">
      <c r="A198" s="171"/>
      <c r="F198" s="109"/>
      <c r="H198" s="109"/>
      <c r="I198" s="109"/>
      <c r="J198" s="109"/>
      <c r="K198" s="109"/>
      <c r="L198" s="109"/>
    </row>
    <row r="199" spans="1:12" x14ac:dyDescent="0.35">
      <c r="A199" s="171"/>
      <c r="F199" s="109"/>
      <c r="H199" s="109"/>
      <c r="I199" s="109"/>
      <c r="J199" s="109"/>
      <c r="K199" s="109"/>
      <c r="L199" s="109"/>
    </row>
    <row r="200" spans="1:12" x14ac:dyDescent="0.35">
      <c r="A200" s="171"/>
      <c r="F200" s="109"/>
      <c r="H200" s="109"/>
      <c r="I200" s="109"/>
      <c r="J200" s="109"/>
      <c r="K200" s="109"/>
      <c r="L200" s="109"/>
    </row>
    <row r="201" spans="1:12" x14ac:dyDescent="0.35">
      <c r="A201" s="171"/>
      <c r="F201" s="109"/>
      <c r="H201" s="109"/>
      <c r="I201" s="109"/>
      <c r="J201" s="109"/>
      <c r="K201" s="109"/>
      <c r="L201" s="109"/>
    </row>
    <row r="202" spans="1:12" x14ac:dyDescent="0.35">
      <c r="A202" s="171"/>
      <c r="F202" s="109"/>
      <c r="H202" s="109"/>
      <c r="I202" s="109"/>
      <c r="J202" s="109"/>
      <c r="K202" s="109"/>
      <c r="L202" s="109"/>
    </row>
    <row r="203" spans="1:12" x14ac:dyDescent="0.35">
      <c r="A203" s="171"/>
      <c r="F203" s="109"/>
      <c r="H203" s="109"/>
      <c r="I203" s="109"/>
      <c r="J203" s="109"/>
      <c r="K203" s="109"/>
      <c r="L203" s="109"/>
    </row>
    <row r="204" spans="1:12" x14ac:dyDescent="0.35">
      <c r="A204" s="171"/>
      <c r="F204" s="109"/>
      <c r="H204" s="109"/>
      <c r="I204" s="109"/>
      <c r="J204" s="109"/>
      <c r="K204" s="109"/>
      <c r="L204" s="109"/>
    </row>
    <row r="205" spans="1:12" x14ac:dyDescent="0.35">
      <c r="A205" s="171"/>
      <c r="F205" s="109"/>
      <c r="H205" s="109"/>
      <c r="I205" s="109"/>
      <c r="J205" s="109"/>
      <c r="K205" s="109"/>
      <c r="L205" s="109"/>
    </row>
    <row r="206" spans="1:12" x14ac:dyDescent="0.35">
      <c r="L206" s="109" t="str">
        <f t="shared" ref="L206" si="32">IF(OR(J206="",K206=""),"",IF(J206&gt;K206,J206-K206,0))</f>
        <v/>
      </c>
    </row>
  </sheetData>
  <sheetProtection algorithmName="SHA-512" hashValue="chHEylVm09ZvwKJi9cFQzQItfchJwkyx39geOVNVsyxBe9TtWGmFPSjzorqIO6NhtMU+ssM4Hl9P+S35jRhynw==" saltValue="MpOcVlGvPGUOK1+1ZQtWnw==" spinCount="100000" sheet="1" objects="1" scenarios="1"/>
  <conditionalFormatting sqref="K182:K205">
    <cfRule type="expression" dxfId="9" priority="3">
      <formula>Formatformulas</formula>
    </cfRule>
  </conditionalFormatting>
  <conditionalFormatting sqref="K1">
    <cfRule type="expression" dxfId="8" priority="2">
      <formula>Formatformulas</formula>
    </cfRule>
  </conditionalFormatting>
  <conditionalFormatting sqref="K62:K73">
    <cfRule type="expression" dxfId="7" priority="1">
      <formula>Formatformulas</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76BDD-BDE9-4AEA-9D77-04672773658C}">
  <sheetPr codeName="Sheet21">
    <tabColor rgb="FF00B050"/>
  </sheetPr>
  <dimension ref="A1:AK205"/>
  <sheetViews>
    <sheetView showGridLines="0" zoomScale="61" zoomScaleNormal="40" workbookViewId="0">
      <pane xSplit="1" ySplit="1" topLeftCell="F2" activePane="bottomRight" state="frozen"/>
      <selection pane="topRight" activeCell="B1" sqref="B1"/>
      <selection pane="bottomLeft" activeCell="A2" sqref="A2"/>
      <selection pane="bottomRight" activeCell="K26" sqref="K26:L27"/>
    </sheetView>
  </sheetViews>
  <sheetFormatPr defaultColWidth="8.83203125" defaultRowHeight="15.5" x14ac:dyDescent="0.35"/>
  <cols>
    <col min="1" max="1" width="9" style="82" customWidth="1"/>
    <col min="2" max="2" width="12" style="82" bestFit="1" customWidth="1"/>
    <col min="3" max="3" width="16.58203125" style="82" bestFit="1" customWidth="1"/>
    <col min="4" max="4" width="28" style="82" bestFit="1" customWidth="1"/>
    <col min="5" max="5" width="22.83203125" style="109" bestFit="1" customWidth="1"/>
    <col min="6" max="6" width="21.33203125" style="82" bestFit="1" customWidth="1"/>
    <col min="7" max="7" width="22.5" style="82" customWidth="1"/>
    <col min="8" max="8" width="19.5" style="82" bestFit="1" customWidth="1"/>
    <col min="9" max="9" width="11.08203125" style="82" bestFit="1" customWidth="1"/>
    <col min="10" max="10" width="28.83203125" style="82" bestFit="1" customWidth="1"/>
    <col min="11" max="11" width="26.83203125" style="82" bestFit="1" customWidth="1"/>
    <col min="12" max="12" width="13.33203125" style="82" bestFit="1" customWidth="1"/>
    <col min="13" max="13" width="87.58203125" style="82" bestFit="1" customWidth="1"/>
    <col min="14" max="15" width="8.5" style="82" customWidth="1"/>
    <col min="16" max="16" width="19.83203125" bestFit="1" customWidth="1"/>
    <col min="17" max="33" width="4.83203125" bestFit="1" customWidth="1"/>
    <col min="35" max="37" width="68.08203125" customWidth="1"/>
  </cols>
  <sheetData>
    <row r="1" spans="1:37" x14ac:dyDescent="0.35">
      <c r="A1" s="169" t="s">
        <v>112</v>
      </c>
      <c r="B1" s="169" t="s">
        <v>113</v>
      </c>
      <c r="C1" s="169" t="s">
        <v>519</v>
      </c>
      <c r="D1" s="170" t="s">
        <v>520</v>
      </c>
      <c r="E1" s="170" t="s">
        <v>158</v>
      </c>
      <c r="F1" s="170" t="s">
        <v>115</v>
      </c>
      <c r="G1" s="280" t="s">
        <v>262</v>
      </c>
      <c r="H1" s="169" t="s">
        <v>212</v>
      </c>
      <c r="I1" s="169" t="s">
        <v>213</v>
      </c>
      <c r="J1" s="169" t="s">
        <v>214</v>
      </c>
      <c r="K1" s="169" t="s">
        <v>215</v>
      </c>
      <c r="L1" s="169" t="s">
        <v>216</v>
      </c>
    </row>
    <row r="2" spans="1:37" x14ac:dyDescent="0.35">
      <c r="A2" s="338">
        <v>41640</v>
      </c>
      <c r="B2" s="339">
        <f>INDEX('Seasonality Analysis'!C$3:N$17,COLUMN(B1),ROW(A1))</f>
        <v>21</v>
      </c>
      <c r="C2" s="340">
        <f t="shared" ref="C2:C13" si="0">IF(B2=0,"",B2/AVERAGE(B$2:B$13))</f>
        <v>1.1886792452830188</v>
      </c>
      <c r="D2" s="341"/>
      <c r="E2" s="341"/>
      <c r="F2" s="341"/>
      <c r="G2" s="340"/>
      <c r="H2" s="343"/>
      <c r="I2" s="343"/>
      <c r="J2" s="343"/>
      <c r="K2" s="343"/>
      <c r="L2" s="343"/>
    </row>
    <row r="3" spans="1:37" x14ac:dyDescent="0.35">
      <c r="A3" s="338">
        <v>41671</v>
      </c>
      <c r="B3" s="339">
        <f>INDEX('Seasonality Analysis'!C$3:N$17,COLUMN(B2),ROW(A2))</f>
        <v>24</v>
      </c>
      <c r="C3" s="340">
        <f t="shared" si="0"/>
        <v>1.3584905660377358</v>
      </c>
      <c r="D3" s="341"/>
      <c r="E3" s="341"/>
      <c r="F3" s="341"/>
      <c r="G3" s="340"/>
      <c r="H3" s="343"/>
      <c r="I3" s="343"/>
      <c r="J3" s="343"/>
      <c r="K3" s="343"/>
      <c r="L3" s="343"/>
      <c r="M3" s="390" t="s">
        <v>521</v>
      </c>
      <c r="N3" s="172">
        <f>AVERAGE(C38,C2)</f>
        <v>1.123286991062562</v>
      </c>
      <c r="P3" s="69" t="s">
        <v>217</v>
      </c>
      <c r="Q3" s="82">
        <v>2014</v>
      </c>
      <c r="R3" s="82">
        <v>2015</v>
      </c>
      <c r="S3" s="82">
        <v>2016</v>
      </c>
      <c r="T3" s="82">
        <v>2017</v>
      </c>
      <c r="U3" s="82">
        <v>2018</v>
      </c>
      <c r="V3" s="82">
        <v>2019</v>
      </c>
      <c r="W3" s="82">
        <v>2020</v>
      </c>
      <c r="X3" s="82">
        <v>2021</v>
      </c>
      <c r="Y3" s="82">
        <v>2022</v>
      </c>
      <c r="Z3" s="82">
        <v>2023</v>
      </c>
      <c r="AA3" s="82">
        <v>2024</v>
      </c>
      <c r="AB3" s="82">
        <v>2025</v>
      </c>
      <c r="AC3" s="82">
        <v>2026</v>
      </c>
      <c r="AD3" s="82">
        <v>2027</v>
      </c>
      <c r="AE3" s="82">
        <v>2028</v>
      </c>
      <c r="AF3" s="82">
        <v>2029</v>
      </c>
      <c r="AG3" s="82">
        <v>2030</v>
      </c>
      <c r="AI3" s="299" t="s">
        <v>342</v>
      </c>
      <c r="AJ3" s="300"/>
      <c r="AK3" s="301"/>
    </row>
    <row r="4" spans="1:37" x14ac:dyDescent="0.35">
      <c r="A4" s="338">
        <v>41699</v>
      </c>
      <c r="B4" s="339">
        <f>INDEX('Seasonality Analysis'!C$3:N$17,COLUMN(B3),ROW(A3))</f>
        <v>8</v>
      </c>
      <c r="C4" s="340">
        <f t="shared" si="0"/>
        <v>0.45283018867924524</v>
      </c>
      <c r="D4" s="341"/>
      <c r="E4" s="341"/>
      <c r="F4" s="341"/>
      <c r="G4" s="340"/>
      <c r="H4" s="343"/>
      <c r="I4" s="343"/>
      <c r="J4" s="343"/>
      <c r="K4" s="343"/>
      <c r="L4" s="343"/>
      <c r="M4" s="390" t="s">
        <v>522</v>
      </c>
      <c r="N4" s="172">
        <f>AVERAGE(C39,C3)</f>
        <v>1.2318768619662364</v>
      </c>
      <c r="P4" t="s">
        <v>93</v>
      </c>
      <c r="Q4" s="273" t="s">
        <v>76</v>
      </c>
      <c r="R4" s="273" t="s">
        <v>77</v>
      </c>
      <c r="S4" s="273" t="s">
        <v>77</v>
      </c>
      <c r="T4" s="273" t="s">
        <v>76</v>
      </c>
      <c r="U4" s="273" t="s">
        <v>77</v>
      </c>
      <c r="V4" s="273" t="s">
        <v>77</v>
      </c>
      <c r="W4" s="274" t="s">
        <v>76</v>
      </c>
      <c r="X4" s="274" t="s">
        <v>77</v>
      </c>
      <c r="Y4" s="274" t="s">
        <v>77</v>
      </c>
      <c r="Z4" s="274" t="s">
        <v>76</v>
      </c>
      <c r="AA4" s="274" t="s">
        <v>77</v>
      </c>
      <c r="AB4" s="274" t="s">
        <v>76</v>
      </c>
      <c r="AC4" s="274" t="s">
        <v>77</v>
      </c>
      <c r="AD4" s="274" t="s">
        <v>77</v>
      </c>
      <c r="AE4" s="274" t="s">
        <v>76</v>
      </c>
      <c r="AF4" s="274" t="s">
        <v>77</v>
      </c>
      <c r="AG4" s="274" t="s">
        <v>77</v>
      </c>
      <c r="AI4" s="302" t="s">
        <v>105</v>
      </c>
      <c r="AJ4" s="303" t="s">
        <v>107</v>
      </c>
      <c r="AK4" s="304" t="s">
        <v>106</v>
      </c>
    </row>
    <row r="5" spans="1:37" x14ac:dyDescent="0.35">
      <c r="A5" s="338">
        <v>41730</v>
      </c>
      <c r="B5" s="339">
        <f>INDEX('Seasonality Analysis'!C$3:N$17,COLUMN(B4),ROW(A4))</f>
        <v>9</v>
      </c>
      <c r="C5" s="340">
        <f t="shared" si="0"/>
        <v>0.50943396226415094</v>
      </c>
      <c r="D5" s="341"/>
      <c r="E5" s="341"/>
      <c r="F5" s="341"/>
      <c r="G5" s="340"/>
      <c r="H5" s="343"/>
      <c r="I5" s="343"/>
      <c r="J5" s="343"/>
      <c r="K5" s="343"/>
      <c r="L5" s="343"/>
      <c r="M5" s="390" t="s">
        <v>523</v>
      </c>
      <c r="N5" s="172">
        <f>AVERAGE(C18,C30,C42,C6)</f>
        <v>1.1067127156148391</v>
      </c>
      <c r="P5" t="s">
        <v>94</v>
      </c>
      <c r="Q5" s="82" t="s">
        <v>77</v>
      </c>
      <c r="R5" s="82" t="s">
        <v>77</v>
      </c>
      <c r="S5" s="82" t="s">
        <v>77</v>
      </c>
      <c r="T5" s="82" t="s">
        <v>77</v>
      </c>
      <c r="U5" s="82" t="s">
        <v>77</v>
      </c>
      <c r="V5" s="82" t="s">
        <v>77</v>
      </c>
      <c r="W5" s="82" t="s">
        <v>77</v>
      </c>
      <c r="X5" s="82" t="s">
        <v>77</v>
      </c>
      <c r="Y5" s="82" t="s">
        <v>77</v>
      </c>
      <c r="Z5" s="82" t="s">
        <v>77</v>
      </c>
      <c r="AA5" s="82" t="s">
        <v>77</v>
      </c>
      <c r="AB5" s="82" t="s">
        <v>77</v>
      </c>
      <c r="AC5" s="82" t="s">
        <v>77</v>
      </c>
      <c r="AD5" s="82" t="s">
        <v>77</v>
      </c>
      <c r="AE5" s="82" t="s">
        <v>77</v>
      </c>
      <c r="AF5" s="82" t="s">
        <v>77</v>
      </c>
      <c r="AG5" s="82" t="s">
        <v>77</v>
      </c>
      <c r="AH5" s="82"/>
      <c r="AI5" s="388" t="s">
        <v>735</v>
      </c>
      <c r="AJ5" s="391" t="s">
        <v>784</v>
      </c>
      <c r="AK5" s="389" t="s">
        <v>344</v>
      </c>
    </row>
    <row r="6" spans="1:37" x14ac:dyDescent="0.35">
      <c r="A6" s="338">
        <v>41760</v>
      </c>
      <c r="B6" s="339">
        <f>INDEX('Seasonality Analysis'!C$3:N$17,COLUMN(B5),ROW(A5))</f>
        <v>20</v>
      </c>
      <c r="C6" s="340">
        <f t="shared" si="0"/>
        <v>1.1320754716981132</v>
      </c>
      <c r="D6" s="341"/>
      <c r="E6" s="341"/>
      <c r="F6" s="341"/>
      <c r="G6" s="340"/>
      <c r="H6" s="343"/>
      <c r="I6" s="343"/>
      <c r="J6" s="343"/>
      <c r="K6" s="343"/>
      <c r="L6" s="343"/>
      <c r="M6" s="390" t="s">
        <v>524</v>
      </c>
      <c r="N6" s="172">
        <f>AVERAGE(C20,C32,C8)</f>
        <v>1.140613293533254</v>
      </c>
      <c r="P6" t="s">
        <v>95</v>
      </c>
      <c r="Q6" s="82" t="s">
        <v>80</v>
      </c>
      <c r="R6" s="82" t="s">
        <v>80</v>
      </c>
      <c r="S6" s="82" t="s">
        <v>80</v>
      </c>
      <c r="T6" s="82" t="s">
        <v>80</v>
      </c>
      <c r="U6" s="82" t="s">
        <v>80</v>
      </c>
      <c r="V6" s="82" t="s">
        <v>80</v>
      </c>
      <c r="W6" s="82" t="s">
        <v>80</v>
      </c>
      <c r="X6" s="82" t="s">
        <v>80</v>
      </c>
      <c r="Y6" s="82" t="s">
        <v>80</v>
      </c>
      <c r="Z6" s="82" t="s">
        <v>80</v>
      </c>
      <c r="AA6" s="82" t="s">
        <v>80</v>
      </c>
      <c r="AB6" s="82" t="s">
        <v>80</v>
      </c>
      <c r="AC6" s="82" t="s">
        <v>80</v>
      </c>
      <c r="AD6" s="82" t="s">
        <v>80</v>
      </c>
      <c r="AE6" s="82" t="s">
        <v>80</v>
      </c>
      <c r="AF6" s="82" t="s">
        <v>80</v>
      </c>
      <c r="AG6" s="82" t="s">
        <v>80</v>
      </c>
      <c r="AH6" s="82"/>
      <c r="AI6" s="388" t="s">
        <v>718</v>
      </c>
      <c r="AJ6" s="85" t="s">
        <v>736</v>
      </c>
      <c r="AK6" s="389" t="str">
        <f ca="1">_xlfn.FORMULATEXT(B2)</f>
        <v>=INDEX('Seasonality Analysis'!C$3:N$17,COLUMN(B1),ROW(A1))</v>
      </c>
    </row>
    <row r="7" spans="1:37" x14ac:dyDescent="0.35">
      <c r="A7" s="338">
        <v>41791</v>
      </c>
      <c r="B7" s="339">
        <f>INDEX('Seasonality Analysis'!C$3:N$17,COLUMN(B6),ROW(A6))</f>
        <v>17</v>
      </c>
      <c r="C7" s="340">
        <f t="shared" si="0"/>
        <v>0.96226415094339612</v>
      </c>
      <c r="D7" s="341"/>
      <c r="E7" s="341"/>
      <c r="F7" s="341"/>
      <c r="G7" s="340"/>
      <c r="H7" s="343"/>
      <c r="I7" s="343"/>
      <c r="J7" s="343"/>
      <c r="K7" s="343"/>
      <c r="L7" s="343"/>
      <c r="M7" s="390" t="s">
        <v>525</v>
      </c>
      <c r="N7" s="172">
        <f>AVERAGE(C19,C31,C7)</f>
        <v>0.99926686764198613</v>
      </c>
      <c r="P7" t="s">
        <v>96</v>
      </c>
      <c r="Q7" s="273" t="s">
        <v>82</v>
      </c>
      <c r="R7" s="273" t="s">
        <v>82</v>
      </c>
      <c r="S7" s="273" t="s">
        <v>82</v>
      </c>
      <c r="T7" s="273" t="s">
        <v>81</v>
      </c>
      <c r="U7" s="273" t="s">
        <v>81</v>
      </c>
      <c r="V7" s="273" t="s">
        <v>81</v>
      </c>
      <c r="W7" s="274" t="s">
        <v>80</v>
      </c>
      <c r="X7" s="274" t="s">
        <v>80</v>
      </c>
      <c r="Y7" s="274" t="s">
        <v>80</v>
      </c>
      <c r="Z7" s="274" t="s">
        <v>218</v>
      </c>
      <c r="AA7" s="274" t="s">
        <v>218</v>
      </c>
      <c r="AB7" s="274" t="s">
        <v>78</v>
      </c>
      <c r="AC7" s="274" t="s">
        <v>78</v>
      </c>
      <c r="AD7" s="274" t="s">
        <v>78</v>
      </c>
      <c r="AE7" s="274" t="s">
        <v>77</v>
      </c>
      <c r="AF7" s="274" t="s">
        <v>77</v>
      </c>
      <c r="AG7" s="274" t="s">
        <v>77</v>
      </c>
      <c r="AI7" s="388" t="s">
        <v>721</v>
      </c>
      <c r="AJ7" s="85" t="s">
        <v>519</v>
      </c>
      <c r="AK7" s="389" t="str">
        <f ca="1">_xlfn.FORMULATEXT(C2)</f>
        <v>=IF(B2=0,"",B2/AVERAGE(B$2:B$13))</v>
      </c>
    </row>
    <row r="8" spans="1:37" x14ac:dyDescent="0.35">
      <c r="A8" s="338">
        <v>41821</v>
      </c>
      <c r="B8" s="339">
        <f>INDEX('Seasonality Analysis'!C$3:N$17,COLUMN(B7),ROW(A7))</f>
        <v>20</v>
      </c>
      <c r="C8" s="340">
        <f t="shared" si="0"/>
        <v>1.1320754716981132</v>
      </c>
      <c r="D8" s="341"/>
      <c r="E8" s="341"/>
      <c r="F8" s="341"/>
      <c r="G8" s="340"/>
      <c r="H8" s="343"/>
      <c r="I8" s="343"/>
      <c r="J8" s="343"/>
      <c r="K8" s="343"/>
      <c r="L8" s="343"/>
      <c r="M8" s="390" t="s">
        <v>526</v>
      </c>
      <c r="N8" s="172">
        <f>AVERAGE(C25,C37,C49,C13)</f>
        <v>1.5306095476663821</v>
      </c>
      <c r="P8" t="s">
        <v>97</v>
      </c>
      <c r="Q8" s="82" t="s">
        <v>81</v>
      </c>
      <c r="R8" s="82" t="s">
        <v>81</v>
      </c>
      <c r="S8" s="82" t="s">
        <v>81</v>
      </c>
      <c r="T8" s="82" t="s">
        <v>81</v>
      </c>
      <c r="U8" s="82" t="s">
        <v>81</v>
      </c>
      <c r="V8" s="82" t="s">
        <v>81</v>
      </c>
      <c r="W8" s="82" t="s">
        <v>81</v>
      </c>
      <c r="X8" s="82" t="s">
        <v>81</v>
      </c>
      <c r="Y8" s="82" t="s">
        <v>81</v>
      </c>
      <c r="Z8" s="82" t="s">
        <v>81</v>
      </c>
      <c r="AA8" s="82" t="s">
        <v>81</v>
      </c>
      <c r="AB8" s="82" t="s">
        <v>81</v>
      </c>
      <c r="AC8" s="82" t="s">
        <v>81</v>
      </c>
      <c r="AD8" s="82" t="s">
        <v>81</v>
      </c>
      <c r="AE8" s="82" t="s">
        <v>81</v>
      </c>
      <c r="AF8" s="82" t="s">
        <v>81</v>
      </c>
      <c r="AG8" s="82" t="s">
        <v>81</v>
      </c>
      <c r="AH8" s="82"/>
      <c r="AI8" s="388" t="s">
        <v>737</v>
      </c>
      <c r="AJ8" s="85" t="s">
        <v>520</v>
      </c>
      <c r="AK8" s="389" t="str">
        <f ca="1">_xlfn.FORMULATEXT(D50)</f>
        <v>=N9</v>
      </c>
    </row>
    <row r="9" spans="1:37" x14ac:dyDescent="0.35">
      <c r="A9" s="338">
        <v>41852</v>
      </c>
      <c r="B9" s="339">
        <f>INDEX('Seasonality Analysis'!C$3:N$17,COLUMN(B8),ROW(A8))</f>
        <v>9</v>
      </c>
      <c r="C9" s="340">
        <f t="shared" si="0"/>
        <v>0.50943396226415094</v>
      </c>
      <c r="D9" s="341"/>
      <c r="E9" s="341"/>
      <c r="F9" s="341"/>
      <c r="G9" s="340"/>
      <c r="H9" s="343"/>
      <c r="I9" s="343"/>
      <c r="J9" s="343"/>
      <c r="K9" s="343"/>
      <c r="L9" s="343"/>
      <c r="M9" s="390" t="s">
        <v>219</v>
      </c>
      <c r="N9" s="172">
        <f>AVERAGE(C17,C21,C22,C23,C24,C29,C33,C34,C36,C35,C41,C45,C46,C47,C48,C53,C57,C58,C59,C60,C14,C26,C50,C44,C56,C16,C28,C40,C52)</f>
        <v>0.9140781568900137</v>
      </c>
      <c r="P9" t="s">
        <v>98</v>
      </c>
      <c r="Q9" s="82" t="s">
        <v>87</v>
      </c>
      <c r="R9" s="82" t="s">
        <v>87</v>
      </c>
      <c r="S9" s="82" t="s">
        <v>87</v>
      </c>
      <c r="T9" s="82" t="s">
        <v>87</v>
      </c>
      <c r="U9" s="82" t="s">
        <v>87</v>
      </c>
      <c r="V9" s="82" t="s">
        <v>87</v>
      </c>
      <c r="W9" s="82" t="s">
        <v>87</v>
      </c>
      <c r="X9" s="82" t="s">
        <v>87</v>
      </c>
      <c r="Y9" s="82" t="s">
        <v>87</v>
      </c>
      <c r="Z9" s="82" t="s">
        <v>87</v>
      </c>
      <c r="AA9" s="82" t="s">
        <v>87</v>
      </c>
      <c r="AB9" s="82" t="s">
        <v>87</v>
      </c>
      <c r="AC9" s="82" t="s">
        <v>87</v>
      </c>
      <c r="AD9" s="82" t="s">
        <v>87</v>
      </c>
      <c r="AE9" s="82" t="s">
        <v>87</v>
      </c>
      <c r="AF9" s="82" t="s">
        <v>87</v>
      </c>
      <c r="AG9" s="82" t="s">
        <v>87</v>
      </c>
      <c r="AH9" s="82"/>
      <c r="AI9" s="388" t="s">
        <v>738</v>
      </c>
      <c r="AJ9" s="85" t="s">
        <v>739</v>
      </c>
      <c r="AK9" s="389" t="str">
        <f ca="1">_xlfn.FORMULATEXT(G50)</f>
        <v>=IF(OR(C50="",D50=""),"",C50-D50)</v>
      </c>
    </row>
    <row r="10" spans="1:37" x14ac:dyDescent="0.35">
      <c r="A10" s="338">
        <v>41883</v>
      </c>
      <c r="B10" s="339">
        <f>INDEX('Seasonality Analysis'!C$3:N$17,COLUMN(B9),ROW(A9))</f>
        <v>12</v>
      </c>
      <c r="C10" s="340">
        <f t="shared" si="0"/>
        <v>0.67924528301886788</v>
      </c>
      <c r="D10" s="341"/>
      <c r="E10" s="341"/>
      <c r="F10" s="341"/>
      <c r="G10" s="340"/>
      <c r="H10" s="343"/>
      <c r="I10" s="343"/>
      <c r="J10" s="343"/>
      <c r="K10" s="343"/>
      <c r="L10" s="343"/>
      <c r="M10"/>
      <c r="P10" s="82"/>
      <c r="Q10" s="82"/>
      <c r="R10" s="82"/>
      <c r="S10" s="82"/>
      <c r="AI10" s="388" t="s">
        <v>444</v>
      </c>
      <c r="AJ10" s="85" t="s">
        <v>741</v>
      </c>
      <c r="AK10" s="389" t="str">
        <f ca="1">_xlfn.FORMULATEXT(E62)</f>
        <v>='Growth Projection'!C$17/12</v>
      </c>
    </row>
    <row r="11" spans="1:37" x14ac:dyDescent="0.35">
      <c r="A11" s="338">
        <v>41913</v>
      </c>
      <c r="B11" s="339">
        <f>INDEX('Seasonality Analysis'!C$3:N$17,COLUMN(B10),ROW(A10))</f>
        <v>10</v>
      </c>
      <c r="C11" s="340">
        <f t="shared" si="0"/>
        <v>0.56603773584905659</v>
      </c>
      <c r="D11" s="341"/>
      <c r="E11" s="341"/>
      <c r="F11" s="341"/>
      <c r="G11" s="340"/>
      <c r="H11" s="343"/>
      <c r="I11" s="343"/>
      <c r="J11" s="343"/>
      <c r="K11" s="343"/>
      <c r="L11" s="343"/>
      <c r="P11" s="82"/>
      <c r="Q11" s="82"/>
      <c r="R11" s="82"/>
      <c r="S11" s="82"/>
      <c r="AI11" s="388" t="s">
        <v>740</v>
      </c>
      <c r="AJ11" s="85" t="s">
        <v>742</v>
      </c>
      <c r="AK11" s="389" t="str">
        <f ca="1">_xlfn.FORMULATEXT(F62)</f>
        <v>=IFERROR(E62*D62,"")</v>
      </c>
    </row>
    <row r="12" spans="1:37" x14ac:dyDescent="0.35">
      <c r="A12" s="338">
        <v>41944</v>
      </c>
      <c r="B12" s="339">
        <f>INDEX('Seasonality Analysis'!C$3:N$17,COLUMN(B11),ROW(A11))</f>
        <v>19</v>
      </c>
      <c r="C12" s="340">
        <f t="shared" si="0"/>
        <v>1.0754716981132075</v>
      </c>
      <c r="D12" s="341"/>
      <c r="E12" s="341"/>
      <c r="F12" s="341"/>
      <c r="G12" s="340"/>
      <c r="H12" s="343"/>
      <c r="I12" s="343"/>
      <c r="J12" s="343"/>
      <c r="K12" s="343"/>
      <c r="L12" s="343"/>
      <c r="M12" s="390" t="s">
        <v>527</v>
      </c>
      <c r="N12" s="398">
        <f>_xlfn.STDEV.S(G50:G61)</f>
        <v>9.3052436406787092E-2</v>
      </c>
      <c r="P12" s="82"/>
      <c r="Q12" s="82"/>
      <c r="R12" s="82"/>
      <c r="S12" s="82"/>
      <c r="AI12" s="388" t="s">
        <v>743</v>
      </c>
      <c r="AJ12" s="85" t="s">
        <v>212</v>
      </c>
      <c r="AK12" s="389" t="str">
        <f ca="1">_xlfn.FORMULATEXT(H62)</f>
        <v>=IFERROR(F62+2*N$12*F62,"")</v>
      </c>
    </row>
    <row r="13" spans="1:37" x14ac:dyDescent="0.35">
      <c r="A13" s="338">
        <v>41974</v>
      </c>
      <c r="B13" s="339">
        <f>INDEX('Seasonality Analysis'!C$3:N$17,COLUMN(B12),ROW(A12))</f>
        <v>43</v>
      </c>
      <c r="C13" s="340">
        <f t="shared" si="0"/>
        <v>2.4339622641509431</v>
      </c>
      <c r="D13" s="341"/>
      <c r="E13" s="341"/>
      <c r="F13" s="341"/>
      <c r="G13" s="340"/>
      <c r="H13" s="343"/>
      <c r="I13" s="343"/>
      <c r="J13" s="343"/>
      <c r="K13" s="343"/>
      <c r="L13" s="343"/>
      <c r="M13" s="390" t="s">
        <v>220</v>
      </c>
      <c r="N13" s="402">
        <v>0.5</v>
      </c>
      <c r="P13" s="82"/>
      <c r="Q13" s="82"/>
      <c r="R13" s="82"/>
      <c r="S13" s="82"/>
      <c r="AI13" s="388" t="s">
        <v>744</v>
      </c>
      <c r="AJ13" s="85" t="s">
        <v>213</v>
      </c>
      <c r="AK13" s="389" t="str">
        <f ca="1">_xlfn.FORMULATEXT(I62)</f>
        <v>=IFERROR(IF(OR(ISBLANK(H62),ISBLANK(F62)),"",(H62*N$14)-(N$13*F62)),"")</v>
      </c>
    </row>
    <row r="14" spans="1:37" x14ac:dyDescent="0.35">
      <c r="A14" s="344">
        <v>42005</v>
      </c>
      <c r="B14" s="345">
        <f>INDEX('Seasonality Analysis'!C$3:N$17,COLUMN(E1),ROW(A1))</f>
        <v>50</v>
      </c>
      <c r="C14" s="346">
        <f t="shared" ref="C14:C25" si="1">IF(B14=0,"",B14/AVERAGE(B$14:B$25))</f>
        <v>0.92735703245749612</v>
      </c>
      <c r="D14" s="347"/>
      <c r="E14" s="347"/>
      <c r="F14" s="347"/>
      <c r="G14" s="346"/>
      <c r="H14" s="348"/>
      <c r="I14" s="348"/>
      <c r="J14" s="348"/>
      <c r="K14" s="348"/>
      <c r="L14" s="348"/>
      <c r="M14" s="390" t="s">
        <v>221</v>
      </c>
      <c r="N14" s="402">
        <v>1</v>
      </c>
      <c r="P14" s="82"/>
      <c r="Q14" s="82"/>
      <c r="R14" s="82"/>
      <c r="S14" s="82"/>
      <c r="AI14" s="388" t="s">
        <v>745</v>
      </c>
      <c r="AJ14" s="85" t="s">
        <v>748</v>
      </c>
      <c r="AK14" s="389" t="str">
        <f ca="1">_xlfn.FORMULATEXT(J62)</f>
        <v>=IFERROR(F62+I62,"")</v>
      </c>
    </row>
    <row r="15" spans="1:37" x14ac:dyDescent="0.35">
      <c r="A15" s="344">
        <v>42036</v>
      </c>
      <c r="B15" s="345">
        <f>INDEX('Seasonality Analysis'!C$3:N$17,COLUMN(E2),ROW(A2))</f>
        <v>66</v>
      </c>
      <c r="C15" s="346">
        <f t="shared" si="1"/>
        <v>1.2241112828438949</v>
      </c>
      <c r="D15" s="347"/>
      <c r="E15" s="347"/>
      <c r="F15" s="347"/>
      <c r="G15" s="346"/>
      <c r="H15" s="348"/>
      <c r="I15" s="348"/>
      <c r="J15" s="348"/>
      <c r="K15" s="348"/>
      <c r="L15" s="348"/>
      <c r="P15" s="82"/>
      <c r="Q15" s="82"/>
      <c r="R15" s="82"/>
      <c r="AI15" s="388" t="s">
        <v>746</v>
      </c>
      <c r="AJ15" s="85" t="s">
        <v>751</v>
      </c>
      <c r="AK15" s="318" t="s">
        <v>344</v>
      </c>
    </row>
    <row r="16" spans="1:37" x14ac:dyDescent="0.35">
      <c r="A16" s="344">
        <v>42064</v>
      </c>
      <c r="B16" s="345">
        <f>INDEX('Seasonality Analysis'!C$3:N$17,COLUMN(E3),ROW(A3))</f>
        <v>51</v>
      </c>
      <c r="C16" s="346">
        <f t="shared" si="1"/>
        <v>0.9459041731066461</v>
      </c>
      <c r="D16" s="347"/>
      <c r="E16" s="347"/>
      <c r="F16" s="347"/>
      <c r="G16" s="346"/>
      <c r="H16" s="348"/>
      <c r="I16" s="348"/>
      <c r="J16" s="348"/>
      <c r="K16" s="348"/>
      <c r="L16" s="348"/>
      <c r="M16" s="30" t="s">
        <v>278</v>
      </c>
      <c r="P16" s="82"/>
      <c r="Q16" s="82"/>
      <c r="R16" s="82"/>
      <c r="AI16" s="388" t="s">
        <v>749</v>
      </c>
      <c r="AJ16" s="85" t="s">
        <v>750</v>
      </c>
      <c r="AK16" s="389" t="str">
        <f ca="1">_xlfn.FORMULATEXT(K63)</f>
        <v>=IFERROR(K62+L62-F62,"")</v>
      </c>
    </row>
    <row r="17" spans="1:37" x14ac:dyDescent="0.35">
      <c r="A17" s="344">
        <v>42095</v>
      </c>
      <c r="B17" s="345">
        <f>INDEX('Seasonality Analysis'!C$3:N$17,COLUMN(E4),ROW(A4))</f>
        <v>48</v>
      </c>
      <c r="C17" s="346">
        <f t="shared" si="1"/>
        <v>0.89026275115919629</v>
      </c>
      <c r="D17" s="347"/>
      <c r="E17" s="347"/>
      <c r="F17" s="347"/>
      <c r="G17" s="346"/>
      <c r="H17" s="348"/>
      <c r="I17" s="348"/>
      <c r="J17" s="348"/>
      <c r="K17" s="348"/>
      <c r="L17" s="348"/>
      <c r="M17" s="85" t="s">
        <v>538</v>
      </c>
      <c r="P17" s="82"/>
      <c r="Q17" s="82"/>
      <c r="R17" s="82"/>
      <c r="AI17" s="388" t="s">
        <v>747</v>
      </c>
      <c r="AJ17" s="85" t="s">
        <v>216</v>
      </c>
      <c r="AK17" s="389" t="str">
        <f ca="1">_xlfn.FORMULATEXT(L62)</f>
        <v>=IF(OR(J62="",K62=""),"",IF(J62&gt;K62,J62-K62,0))</v>
      </c>
    </row>
    <row r="18" spans="1:37" x14ac:dyDescent="0.35">
      <c r="A18" s="344">
        <v>42125</v>
      </c>
      <c r="B18" s="345">
        <f>INDEX('Seasonality Analysis'!C$3:N$17,COLUMN(E5),ROW(A5))</f>
        <v>60</v>
      </c>
      <c r="C18" s="346">
        <f t="shared" si="1"/>
        <v>1.1128284389489953</v>
      </c>
      <c r="D18" s="347"/>
      <c r="E18" s="347"/>
      <c r="F18" s="347"/>
      <c r="G18" s="346"/>
      <c r="H18" s="348"/>
      <c r="I18" s="348"/>
      <c r="J18" s="348"/>
      <c r="K18" s="348"/>
      <c r="L18" s="348"/>
      <c r="M18" s="85" t="s">
        <v>528</v>
      </c>
      <c r="AI18" s="388"/>
      <c r="AJ18" s="85"/>
      <c r="AK18" s="389"/>
    </row>
    <row r="19" spans="1:37" x14ac:dyDescent="0.35">
      <c r="A19" s="344">
        <v>42156</v>
      </c>
      <c r="B19" s="345">
        <f>INDEX('Seasonality Analysis'!C$3:N$17,COLUMN(E6),ROW(A6))</f>
        <v>50</v>
      </c>
      <c r="C19" s="346">
        <f t="shared" si="1"/>
        <v>0.92735703245749612</v>
      </c>
      <c r="D19" s="347"/>
      <c r="E19" s="347"/>
      <c r="F19" s="347"/>
      <c r="G19" s="346"/>
      <c r="H19" s="348"/>
      <c r="I19" s="348"/>
      <c r="J19" s="348"/>
      <c r="K19" s="348"/>
      <c r="L19" s="348"/>
      <c r="M19" s="85" t="s">
        <v>529</v>
      </c>
      <c r="AI19" s="388" t="s">
        <v>752</v>
      </c>
      <c r="AJ19" s="85" t="s">
        <v>753</v>
      </c>
      <c r="AK19" s="389" t="str">
        <f t="shared" ref="AK19:AK25" ca="1" si="2">_xlfn.FORMULATEXT(N3)</f>
        <v>=AVERAGE(C38,C2)</v>
      </c>
    </row>
    <row r="20" spans="1:37" x14ac:dyDescent="0.35">
      <c r="A20" s="344">
        <v>42186</v>
      </c>
      <c r="B20" s="345">
        <f>INDEX('Seasonality Analysis'!C$3:N$17,COLUMN(E7),ROW(A7))</f>
        <v>62</v>
      </c>
      <c r="C20" s="346">
        <f t="shared" si="1"/>
        <v>1.1499227202472952</v>
      </c>
      <c r="D20" s="347"/>
      <c r="E20" s="347"/>
      <c r="F20" s="347"/>
      <c r="G20" s="346"/>
      <c r="H20" s="348"/>
      <c r="I20" s="348"/>
      <c r="J20" s="348"/>
      <c r="K20" s="348"/>
      <c r="L20" s="348"/>
      <c r="M20" s="85" t="s">
        <v>530</v>
      </c>
      <c r="AI20" s="388" t="s">
        <v>571</v>
      </c>
      <c r="AJ20" s="85" t="s">
        <v>754</v>
      </c>
      <c r="AK20" s="389" t="str">
        <f t="shared" ca="1" si="2"/>
        <v>=AVERAGE(C39,C3)</v>
      </c>
    </row>
    <row r="21" spans="1:37" x14ac:dyDescent="0.35">
      <c r="A21" s="344">
        <v>42217</v>
      </c>
      <c r="B21" s="345">
        <f>INDEX('Seasonality Analysis'!C$3:N$17,COLUMN(E8),ROW(A8))</f>
        <v>47</v>
      </c>
      <c r="C21" s="346">
        <f t="shared" si="1"/>
        <v>0.87171561051004642</v>
      </c>
      <c r="D21" s="347"/>
      <c r="E21" s="347"/>
      <c r="F21" s="347"/>
      <c r="G21" s="346"/>
      <c r="H21" s="348"/>
      <c r="I21" s="348"/>
      <c r="J21" s="348"/>
      <c r="K21" s="348"/>
      <c r="L21" s="348"/>
      <c r="M21" s="85" t="s">
        <v>531</v>
      </c>
      <c r="AI21" s="388" t="s">
        <v>359</v>
      </c>
      <c r="AJ21" s="85" t="s">
        <v>755</v>
      </c>
      <c r="AK21" s="389" t="str">
        <f t="shared" ca="1" si="2"/>
        <v>=AVERAGE(C18,C30,C42,C6)</v>
      </c>
    </row>
    <row r="22" spans="1:37" x14ac:dyDescent="0.35">
      <c r="A22" s="344">
        <v>42248</v>
      </c>
      <c r="B22" s="345">
        <f>INDEX('Seasonality Analysis'!C$3:N$17,COLUMN(E9),ROW(A9))</f>
        <v>51</v>
      </c>
      <c r="C22" s="346">
        <f t="shared" si="1"/>
        <v>0.9459041731066461</v>
      </c>
      <c r="D22" s="347"/>
      <c r="E22" s="347"/>
      <c r="F22" s="347"/>
      <c r="G22" s="346"/>
      <c r="H22" s="348"/>
      <c r="I22" s="348"/>
      <c r="J22" s="348"/>
      <c r="K22" s="348"/>
      <c r="L22" s="348"/>
      <c r="M22" s="85" t="s">
        <v>532</v>
      </c>
      <c r="AI22" s="388" t="s">
        <v>361</v>
      </c>
      <c r="AJ22" s="85" t="s">
        <v>524</v>
      </c>
      <c r="AK22" s="389" t="str">
        <f t="shared" ca="1" si="2"/>
        <v>=AVERAGE(C20,C32,C8)</v>
      </c>
    </row>
    <row r="23" spans="1:37" x14ac:dyDescent="0.35">
      <c r="A23" s="344">
        <v>42278</v>
      </c>
      <c r="B23" s="345">
        <f>INDEX('Seasonality Analysis'!C$3:N$17,COLUMN(E10),ROW(A10))</f>
        <v>46</v>
      </c>
      <c r="C23" s="346">
        <f t="shared" si="1"/>
        <v>0.85316846986089645</v>
      </c>
      <c r="D23" s="347"/>
      <c r="E23" s="347"/>
      <c r="F23" s="347"/>
      <c r="G23" s="346"/>
      <c r="H23" s="348"/>
      <c r="I23" s="348"/>
      <c r="J23" s="348"/>
      <c r="K23" s="348"/>
      <c r="L23" s="348"/>
      <c r="M23" s="41" t="s">
        <v>533</v>
      </c>
      <c r="AI23" s="388" t="s">
        <v>363</v>
      </c>
      <c r="AJ23" s="85" t="s">
        <v>525</v>
      </c>
      <c r="AK23" s="389" t="str">
        <f t="shared" ca="1" si="2"/>
        <v>=AVERAGE(C19,C31,C7)</v>
      </c>
    </row>
    <row r="24" spans="1:37" x14ac:dyDescent="0.35">
      <c r="A24" s="344">
        <v>42309</v>
      </c>
      <c r="B24" s="345">
        <f>INDEX('Seasonality Analysis'!C$3:N$17,COLUMN(E11),ROW(A11))</f>
        <v>45</v>
      </c>
      <c r="C24" s="346">
        <f t="shared" si="1"/>
        <v>0.83462132921174659</v>
      </c>
      <c r="D24" s="347"/>
      <c r="E24" s="347"/>
      <c r="F24" s="347"/>
      <c r="G24" s="346"/>
      <c r="H24" s="348"/>
      <c r="I24" s="348"/>
      <c r="J24" s="348"/>
      <c r="K24" s="348"/>
      <c r="L24" s="348"/>
      <c r="M24" s="85"/>
      <c r="AI24" s="388" t="s">
        <v>365</v>
      </c>
      <c r="AJ24" s="85" t="s">
        <v>526</v>
      </c>
      <c r="AK24" s="389" t="str">
        <f t="shared" ca="1" si="2"/>
        <v>=AVERAGE(C25,C37,C49,C13)</v>
      </c>
    </row>
    <row r="25" spans="1:37" x14ac:dyDescent="0.35">
      <c r="A25" s="344">
        <v>42339</v>
      </c>
      <c r="B25" s="345">
        <f>INDEX('Seasonality Analysis'!C$3:N$17,COLUMN(E12),ROW(A12))</f>
        <v>71</v>
      </c>
      <c r="C25" s="346">
        <f t="shared" si="1"/>
        <v>1.3168469860896446</v>
      </c>
      <c r="D25" s="347"/>
      <c r="E25" s="347"/>
      <c r="F25" s="347"/>
      <c r="G25" s="346"/>
      <c r="H25" s="348"/>
      <c r="I25" s="348"/>
      <c r="J25" s="348"/>
      <c r="K25" s="348"/>
      <c r="L25" s="348"/>
      <c r="M25" s="30" t="s">
        <v>51</v>
      </c>
      <c r="AI25" s="388" t="s">
        <v>367</v>
      </c>
      <c r="AJ25" s="85" t="s">
        <v>219</v>
      </c>
      <c r="AK25" s="389" t="str">
        <f t="shared" ca="1" si="2"/>
        <v>=AVERAGE(C17,C21,C22,C23,C24,C29,C33,C34,C36,C35,C41,C45,C46,C47,C48,C53,C57,C58,C59,C60,C14,C26,C50,C44,C56,C16,C28,C40,C52)</v>
      </c>
    </row>
    <row r="26" spans="1:37" x14ac:dyDescent="0.35">
      <c r="A26" s="338">
        <v>42370</v>
      </c>
      <c r="B26" s="339">
        <f>INDEX('Seasonality Analysis'!C$3:N$17,COLUMN(G1),ROW(A1))</f>
        <v>58</v>
      </c>
      <c r="C26" s="340">
        <f t="shared" ref="C26:C37" si="3">IF(B26=0,"",B26/AVERAGE(B$26:B$37))</f>
        <v>0.91820580474934044</v>
      </c>
      <c r="D26" s="341"/>
      <c r="E26" s="341"/>
      <c r="F26" s="341"/>
      <c r="G26" s="340"/>
      <c r="H26" s="343"/>
      <c r="I26" s="343"/>
      <c r="J26" s="343"/>
      <c r="K26" s="343"/>
      <c r="L26" s="343"/>
      <c r="M26" s="85" t="s">
        <v>534</v>
      </c>
      <c r="N26" s="69"/>
      <c r="AI26" s="388"/>
      <c r="AJ26" s="85"/>
      <c r="AK26" s="389"/>
    </row>
    <row r="27" spans="1:37" x14ac:dyDescent="0.35">
      <c r="A27" s="338">
        <v>42401</v>
      </c>
      <c r="B27" s="339">
        <f>INDEX('Seasonality Analysis'!C$3:N$17,COLUMN(G2),ROW(A2))</f>
        <v>68</v>
      </c>
      <c r="C27" s="340">
        <f t="shared" si="3"/>
        <v>1.0765171503957784</v>
      </c>
      <c r="D27" s="341"/>
      <c r="E27" s="341"/>
      <c r="F27" s="341"/>
      <c r="G27" s="340"/>
      <c r="H27" s="343"/>
      <c r="I27" s="343"/>
      <c r="J27" s="343"/>
      <c r="K27" s="343"/>
      <c r="L27" s="343"/>
      <c r="M27" s="85"/>
      <c r="AI27" s="388" t="s">
        <v>758</v>
      </c>
      <c r="AJ27" s="85" t="s">
        <v>759</v>
      </c>
      <c r="AK27" s="389" t="str">
        <f ca="1">_xlfn.FORMULATEXT(N12)</f>
        <v>=STDEV.S(G50:G61)</v>
      </c>
    </row>
    <row r="28" spans="1:37" x14ac:dyDescent="0.35">
      <c r="A28" s="338">
        <v>42430</v>
      </c>
      <c r="B28" s="339">
        <f>INDEX('Seasonality Analysis'!C$3:N$17,COLUMN(G3),ROW(A3))</f>
        <v>55</v>
      </c>
      <c r="C28" s="340">
        <f t="shared" si="3"/>
        <v>0.87071240105540904</v>
      </c>
      <c r="D28" s="341"/>
      <c r="E28" s="341"/>
      <c r="F28" s="341"/>
      <c r="G28" s="340"/>
      <c r="H28" s="343"/>
      <c r="I28" s="343"/>
      <c r="J28" s="343"/>
      <c r="K28" s="343"/>
      <c r="L28" s="343"/>
      <c r="M28" s="85"/>
      <c r="AI28" s="388" t="s">
        <v>760</v>
      </c>
      <c r="AJ28" s="85" t="s">
        <v>761</v>
      </c>
      <c r="AK28" s="389" t="s">
        <v>344</v>
      </c>
    </row>
    <row r="29" spans="1:37" x14ac:dyDescent="0.35">
      <c r="A29" s="338">
        <v>42461</v>
      </c>
      <c r="B29" s="339">
        <f>INDEX('Seasonality Analysis'!C$3:N$17,COLUMN(G4),ROW(A4))</f>
        <v>56</v>
      </c>
      <c r="C29" s="340">
        <f t="shared" si="3"/>
        <v>0.88654353562005284</v>
      </c>
      <c r="D29" s="341"/>
      <c r="E29" s="341"/>
      <c r="F29" s="341"/>
      <c r="G29" s="340"/>
      <c r="H29" s="343"/>
      <c r="I29" s="343"/>
      <c r="J29" s="343"/>
      <c r="K29" s="343"/>
      <c r="L29" s="343"/>
      <c r="M29" s="85"/>
      <c r="AI29" s="388" t="s">
        <v>762</v>
      </c>
      <c r="AJ29" s="85" t="s">
        <v>763</v>
      </c>
      <c r="AK29" s="389" t="s">
        <v>344</v>
      </c>
    </row>
    <row r="30" spans="1:37" x14ac:dyDescent="0.35">
      <c r="A30" s="338">
        <v>42491</v>
      </c>
      <c r="B30" s="339">
        <f>INDEX('Seasonality Analysis'!C$3:N$17,COLUMN(G5),ROW(A5))</f>
        <v>72</v>
      </c>
      <c r="C30" s="340">
        <f t="shared" si="3"/>
        <v>1.1398416886543536</v>
      </c>
      <c r="D30" s="341"/>
      <c r="E30" s="341"/>
      <c r="F30" s="341"/>
      <c r="G30" s="340"/>
      <c r="H30" s="343"/>
      <c r="I30" s="343"/>
      <c r="J30" s="343"/>
      <c r="K30" s="343"/>
      <c r="L30" s="343"/>
      <c r="M30" s="85"/>
      <c r="AI30" s="388"/>
      <c r="AJ30" s="85"/>
      <c r="AK30" s="389"/>
    </row>
    <row r="31" spans="1:37" x14ac:dyDescent="0.35">
      <c r="A31" s="338">
        <v>42522</v>
      </c>
      <c r="B31" s="339">
        <f>INDEX('Seasonality Analysis'!C$3:N$17,COLUMN(G6),ROW(A6))</f>
        <v>70</v>
      </c>
      <c r="C31" s="340">
        <f t="shared" si="3"/>
        <v>1.108179419525066</v>
      </c>
      <c r="D31" s="341"/>
      <c r="E31" s="341"/>
      <c r="F31" s="341"/>
      <c r="G31" s="340"/>
      <c r="H31" s="343"/>
      <c r="I31" s="343"/>
      <c r="J31" s="343"/>
      <c r="K31" s="343"/>
      <c r="L31" s="343"/>
      <c r="AI31" s="388" t="s">
        <v>756</v>
      </c>
      <c r="AJ31" s="85" t="s">
        <v>757</v>
      </c>
      <c r="AK31" s="389" t="s">
        <v>344</v>
      </c>
    </row>
    <row r="32" spans="1:37" x14ac:dyDescent="0.35">
      <c r="A32" s="338">
        <v>42552</v>
      </c>
      <c r="B32" s="339">
        <f>INDEX('Seasonality Analysis'!C$3:N$17,COLUMN(G7),ROW(A7))</f>
        <v>72</v>
      </c>
      <c r="C32" s="340">
        <f t="shared" si="3"/>
        <v>1.1398416886543536</v>
      </c>
      <c r="D32" s="341"/>
      <c r="E32" s="341"/>
      <c r="F32" s="341"/>
      <c r="G32" s="340"/>
      <c r="H32" s="343"/>
      <c r="I32" s="343"/>
      <c r="J32" s="343"/>
      <c r="K32" s="343"/>
      <c r="L32" s="343"/>
      <c r="M32" s="30"/>
      <c r="AI32" s="388"/>
      <c r="AJ32" s="85"/>
      <c r="AK32" s="389"/>
    </row>
    <row r="33" spans="1:37" x14ac:dyDescent="0.35">
      <c r="A33" s="338">
        <v>42583</v>
      </c>
      <c r="B33" s="339">
        <f>INDEX('Seasonality Analysis'!C$3:N$17,COLUMN(G8),ROW(A8))</f>
        <v>61</v>
      </c>
      <c r="C33" s="340">
        <f t="shared" si="3"/>
        <v>0.96569920844327184</v>
      </c>
      <c r="D33" s="341"/>
      <c r="E33" s="341"/>
      <c r="F33" s="341"/>
      <c r="G33" s="340"/>
      <c r="H33" s="343"/>
      <c r="I33" s="343"/>
      <c r="J33" s="343"/>
      <c r="K33" s="343"/>
      <c r="L33" s="343"/>
      <c r="M33" s="85"/>
      <c r="AI33" s="380"/>
      <c r="AJ33" s="320"/>
      <c r="AK33" s="321"/>
    </row>
    <row r="34" spans="1:37" x14ac:dyDescent="0.35">
      <c r="A34" s="338">
        <v>42614</v>
      </c>
      <c r="B34" s="339">
        <f>INDEX('Seasonality Analysis'!C$3:N$17,COLUMN(G9),ROW(A9))</f>
        <v>57</v>
      </c>
      <c r="C34" s="340">
        <f t="shared" si="3"/>
        <v>0.90237467018469664</v>
      </c>
      <c r="D34" s="341"/>
      <c r="E34" s="341"/>
      <c r="F34" s="341"/>
      <c r="G34" s="340"/>
      <c r="H34" s="343"/>
      <c r="I34" s="343"/>
      <c r="J34" s="343"/>
      <c r="K34" s="343"/>
      <c r="L34" s="343"/>
    </row>
    <row r="35" spans="1:37" x14ac:dyDescent="0.35">
      <c r="A35" s="338">
        <v>42644</v>
      </c>
      <c r="B35" s="339">
        <f>INDEX('Seasonality Analysis'!C$3:N$17,COLUMN(G10),ROW(A10))</f>
        <v>57</v>
      </c>
      <c r="C35" s="340">
        <f t="shared" si="3"/>
        <v>0.90237467018469664</v>
      </c>
      <c r="D35" s="341"/>
      <c r="E35" s="341"/>
      <c r="F35" s="341"/>
      <c r="G35" s="340"/>
      <c r="H35" s="343"/>
      <c r="I35" s="343"/>
      <c r="J35" s="343"/>
      <c r="K35" s="343"/>
      <c r="L35" s="343"/>
    </row>
    <row r="36" spans="1:37" x14ac:dyDescent="0.35">
      <c r="A36" s="338">
        <v>42675</v>
      </c>
      <c r="B36" s="339">
        <f>INDEX('Seasonality Analysis'!C$3:N$17,COLUMN(G11),ROW(A11))</f>
        <v>55</v>
      </c>
      <c r="C36" s="340">
        <f t="shared" si="3"/>
        <v>0.87071240105540904</v>
      </c>
      <c r="D36" s="341"/>
      <c r="E36" s="341"/>
      <c r="F36" s="341"/>
      <c r="G36" s="340"/>
      <c r="H36" s="343"/>
      <c r="I36" s="343"/>
      <c r="J36" s="343"/>
      <c r="K36" s="343"/>
      <c r="L36" s="343"/>
      <c r="M36" s="85"/>
    </row>
    <row r="37" spans="1:37" x14ac:dyDescent="0.35">
      <c r="A37" s="338">
        <v>42705</v>
      </c>
      <c r="B37" s="339">
        <f>INDEX('Seasonality Analysis'!C$3:N$17,COLUMN(G12),ROW(A12))</f>
        <v>77</v>
      </c>
      <c r="C37" s="340">
        <f t="shared" si="3"/>
        <v>1.2189973614775726</v>
      </c>
      <c r="D37" s="341"/>
      <c r="E37" s="341"/>
      <c r="F37" s="341"/>
      <c r="G37" s="340"/>
      <c r="H37" s="343"/>
      <c r="I37" s="343"/>
      <c r="J37" s="343"/>
      <c r="K37" s="343"/>
      <c r="L37" s="343"/>
    </row>
    <row r="38" spans="1:37" x14ac:dyDescent="0.35">
      <c r="A38" s="344">
        <v>42736</v>
      </c>
      <c r="B38" s="345">
        <f>INDEX('Seasonality Analysis'!C$3:N$17,COLUMN(J1),ROW(A1))</f>
        <v>67</v>
      </c>
      <c r="C38" s="346">
        <f t="shared" ref="C38:C49" si="4">IF(B38=0,"",B38/AVERAGE(B$38:B$49))</f>
        <v>1.0578947368421052</v>
      </c>
      <c r="D38" s="347"/>
      <c r="E38" s="347"/>
      <c r="F38" s="347"/>
      <c r="G38" s="346"/>
      <c r="H38" s="348"/>
      <c r="I38" s="348"/>
      <c r="J38" s="348"/>
      <c r="K38" s="348"/>
      <c r="L38" s="348"/>
    </row>
    <row r="39" spans="1:37" x14ac:dyDescent="0.35">
      <c r="A39" s="344">
        <v>42767</v>
      </c>
      <c r="B39" s="345">
        <f>INDEX('Seasonality Analysis'!C$3:N$17,COLUMN(J2),ROW(A2))</f>
        <v>70</v>
      </c>
      <c r="C39" s="346">
        <f t="shared" si="4"/>
        <v>1.1052631578947367</v>
      </c>
      <c r="D39" s="347"/>
      <c r="E39" s="347"/>
      <c r="F39" s="347"/>
      <c r="G39" s="346"/>
      <c r="H39" s="348"/>
      <c r="I39" s="348"/>
      <c r="J39" s="348"/>
      <c r="K39" s="348"/>
      <c r="L39" s="348"/>
    </row>
    <row r="40" spans="1:37" x14ac:dyDescent="0.35">
      <c r="A40" s="344">
        <v>42795</v>
      </c>
      <c r="B40" s="345">
        <f>INDEX('Seasonality Analysis'!C$3:N$17,COLUMN(J3),ROW(A3))</f>
        <v>60</v>
      </c>
      <c r="C40" s="346">
        <f t="shared" si="4"/>
        <v>0.94736842105263153</v>
      </c>
      <c r="D40" s="347"/>
      <c r="E40" s="347"/>
      <c r="F40" s="347"/>
      <c r="G40" s="346"/>
      <c r="H40" s="348"/>
      <c r="I40" s="348"/>
      <c r="J40" s="348"/>
      <c r="K40" s="348"/>
      <c r="L40" s="348"/>
    </row>
    <row r="41" spans="1:37" x14ac:dyDescent="0.35">
      <c r="A41" s="344">
        <v>42826</v>
      </c>
      <c r="B41" s="345">
        <f>INDEX('Seasonality Analysis'!C$3:N$17,COLUMN(J4),ROW(A4))</f>
        <v>59</v>
      </c>
      <c r="C41" s="346">
        <f t="shared" si="4"/>
        <v>0.93157894736842106</v>
      </c>
      <c r="D41" s="347"/>
      <c r="E41" s="347"/>
      <c r="F41" s="347"/>
      <c r="G41" s="346"/>
      <c r="H41" s="348"/>
      <c r="I41" s="348"/>
      <c r="J41" s="348"/>
      <c r="K41" s="348"/>
      <c r="L41" s="348"/>
    </row>
    <row r="42" spans="1:37" x14ac:dyDescent="0.35">
      <c r="A42" s="344">
        <v>42856</v>
      </c>
      <c r="B42" s="345">
        <f>INDEX('Seasonality Analysis'!C$3:N$17,COLUMN(J5),ROW(A5))</f>
        <v>66</v>
      </c>
      <c r="C42" s="346">
        <f t="shared" si="4"/>
        <v>1.0421052631578946</v>
      </c>
      <c r="D42" s="347"/>
      <c r="E42" s="347"/>
      <c r="F42" s="347"/>
      <c r="G42" s="346"/>
      <c r="H42" s="348"/>
      <c r="I42" s="348"/>
      <c r="J42" s="348"/>
      <c r="K42" s="348"/>
      <c r="L42" s="348"/>
    </row>
    <row r="43" spans="1:37" x14ac:dyDescent="0.35">
      <c r="A43" s="344">
        <v>42887</v>
      </c>
      <c r="B43" s="345">
        <f>INDEX('Seasonality Analysis'!C$3:N$17,COLUMN(J6),ROW(A6))</f>
        <v>69</v>
      </c>
      <c r="C43" s="346">
        <f t="shared" si="4"/>
        <v>1.0894736842105264</v>
      </c>
      <c r="D43" s="347"/>
      <c r="E43" s="347"/>
      <c r="F43" s="347"/>
      <c r="G43" s="346"/>
      <c r="H43" s="348"/>
      <c r="I43" s="348"/>
      <c r="J43" s="348"/>
      <c r="K43" s="348"/>
      <c r="L43" s="348"/>
    </row>
    <row r="44" spans="1:37" x14ac:dyDescent="0.35">
      <c r="A44" s="344">
        <v>42917</v>
      </c>
      <c r="B44" s="345">
        <f>INDEX('Seasonality Analysis'!C$3:N$17,COLUMN(J7),ROW(A7))</f>
        <v>64</v>
      </c>
      <c r="C44" s="346">
        <f t="shared" si="4"/>
        <v>1.0105263157894737</v>
      </c>
      <c r="D44" s="347"/>
      <c r="E44" s="347"/>
      <c r="F44" s="347"/>
      <c r="G44" s="346"/>
      <c r="H44" s="348"/>
      <c r="I44" s="348"/>
      <c r="J44" s="348"/>
      <c r="K44" s="348"/>
      <c r="L44" s="348"/>
    </row>
    <row r="45" spans="1:37" x14ac:dyDescent="0.35">
      <c r="A45" s="344">
        <v>42948</v>
      </c>
      <c r="B45" s="345">
        <f>INDEX('Seasonality Analysis'!C$3:N$17,COLUMN(J8),ROW(A8))</f>
        <v>57</v>
      </c>
      <c r="C45" s="346">
        <f t="shared" si="4"/>
        <v>0.89999999999999991</v>
      </c>
      <c r="D45" s="347"/>
      <c r="E45" s="347"/>
      <c r="F45" s="347"/>
      <c r="G45" s="346"/>
      <c r="H45" s="348"/>
      <c r="I45" s="348"/>
      <c r="J45" s="348"/>
      <c r="K45" s="348"/>
      <c r="L45" s="348"/>
    </row>
    <row r="46" spans="1:37" x14ac:dyDescent="0.35">
      <c r="A46" s="344">
        <v>42979</v>
      </c>
      <c r="B46" s="345">
        <f>INDEX('Seasonality Analysis'!C$3:N$17,COLUMN(J9),ROW(A9))</f>
        <v>58</v>
      </c>
      <c r="C46" s="346">
        <f t="shared" si="4"/>
        <v>0.91578947368421049</v>
      </c>
      <c r="D46" s="347"/>
      <c r="E46" s="347"/>
      <c r="F46" s="347"/>
      <c r="G46" s="346"/>
      <c r="H46" s="348"/>
      <c r="I46" s="348"/>
      <c r="J46" s="348"/>
      <c r="K46" s="348"/>
      <c r="L46" s="348"/>
    </row>
    <row r="47" spans="1:37" x14ac:dyDescent="0.35">
      <c r="A47" s="344">
        <v>43009</v>
      </c>
      <c r="B47" s="345">
        <f>INDEX('Seasonality Analysis'!C$3:N$17,COLUMN(J10),ROW(A10))</f>
        <v>59</v>
      </c>
      <c r="C47" s="346">
        <f t="shared" si="4"/>
        <v>0.93157894736842106</v>
      </c>
      <c r="D47" s="347"/>
      <c r="E47" s="347"/>
      <c r="F47" s="347"/>
      <c r="G47" s="346"/>
      <c r="H47" s="348"/>
      <c r="I47" s="348"/>
      <c r="J47" s="348"/>
      <c r="K47" s="348"/>
      <c r="L47" s="348"/>
    </row>
    <row r="48" spans="1:37" x14ac:dyDescent="0.35">
      <c r="A48" s="344">
        <v>43040</v>
      </c>
      <c r="B48" s="345">
        <f>INDEX('Seasonality Analysis'!C$3:N$17,COLUMN(J11),ROW(A11))</f>
        <v>58</v>
      </c>
      <c r="C48" s="346">
        <f t="shared" si="4"/>
        <v>0.91578947368421049</v>
      </c>
      <c r="D48" s="347"/>
      <c r="E48" s="347"/>
      <c r="F48" s="347"/>
      <c r="G48" s="346"/>
      <c r="H48" s="348"/>
      <c r="I48" s="348"/>
      <c r="J48" s="348"/>
      <c r="K48" s="348"/>
      <c r="L48" s="348"/>
    </row>
    <row r="49" spans="1:12" x14ac:dyDescent="0.35">
      <c r="A49" s="344">
        <v>43070</v>
      </c>
      <c r="B49" s="345">
        <f>INDEX('Seasonality Analysis'!C$3:N$17,COLUMN(J12),ROW(A12))</f>
        <v>73</v>
      </c>
      <c r="C49" s="346">
        <f t="shared" si="4"/>
        <v>1.1526315789473685</v>
      </c>
      <c r="D49" s="347"/>
      <c r="E49" s="347"/>
      <c r="F49" s="347"/>
      <c r="G49" s="346"/>
      <c r="H49" s="348"/>
      <c r="I49" s="348"/>
      <c r="J49" s="348"/>
      <c r="K49" s="348"/>
      <c r="L49" s="348"/>
    </row>
    <row r="50" spans="1:12" x14ac:dyDescent="0.35">
      <c r="A50" s="338">
        <v>43101</v>
      </c>
      <c r="B50" s="339">
        <f>INDEX('Seasonality Analysis'!C$3:N$17,COLUMN(M1),ROW(A1))</f>
        <v>62</v>
      </c>
      <c r="C50" s="340">
        <f t="shared" ref="C50:C61" si="5">IF(B50=0,"",B50/AVERAGE(B$50:B$61))</f>
        <v>0.97637795275590555</v>
      </c>
      <c r="D50" s="424">
        <f>N9</f>
        <v>0.9140781568900137</v>
      </c>
      <c r="E50" s="341"/>
      <c r="F50" s="341"/>
      <c r="G50" s="340">
        <f t="shared" ref="G50:G81" si="6">IF(OR(C50="",D50=""),"",C50-D50)</f>
        <v>6.2299795865891849E-2</v>
      </c>
      <c r="H50" s="343"/>
      <c r="I50" s="343"/>
      <c r="J50" s="343"/>
      <c r="K50" s="343"/>
      <c r="L50" s="343"/>
    </row>
    <row r="51" spans="1:12" x14ac:dyDescent="0.35">
      <c r="A51" s="338">
        <v>43132</v>
      </c>
      <c r="B51" s="339">
        <f>INDEX('Seasonality Analysis'!C$3:N$17,COLUMN(M2),ROW(A2))</f>
        <v>74</v>
      </c>
      <c r="C51" s="340">
        <f t="shared" si="5"/>
        <v>1.1653543307086613</v>
      </c>
      <c r="D51" s="424">
        <f>N3+N4-100%</f>
        <v>1.3551638530287984</v>
      </c>
      <c r="E51" s="341"/>
      <c r="F51" s="341"/>
      <c r="G51" s="340">
        <f t="shared" si="6"/>
        <v>-0.18980952232013704</v>
      </c>
      <c r="H51" s="343"/>
      <c r="I51" s="343"/>
      <c r="J51" s="343"/>
      <c r="K51" s="343"/>
      <c r="L51" s="343"/>
    </row>
    <row r="52" spans="1:12" x14ac:dyDescent="0.35">
      <c r="A52" s="338">
        <v>43160</v>
      </c>
      <c r="B52" s="339">
        <f>INDEX('Seasonality Analysis'!C$3:N$17,COLUMN(M3),ROW(A3))</f>
        <v>61</v>
      </c>
      <c r="C52" s="340">
        <f t="shared" si="5"/>
        <v>0.96062992125984248</v>
      </c>
      <c r="D52" s="424">
        <f>N9</f>
        <v>0.9140781568900137</v>
      </c>
      <c r="E52" s="341"/>
      <c r="F52" s="341"/>
      <c r="G52" s="340">
        <f t="shared" si="6"/>
        <v>4.6551764369828774E-2</v>
      </c>
      <c r="H52" s="343"/>
      <c r="I52" s="343"/>
      <c r="J52" s="343"/>
      <c r="K52" s="343"/>
      <c r="L52" s="343"/>
    </row>
    <row r="53" spans="1:12" x14ac:dyDescent="0.35">
      <c r="A53" s="338">
        <v>43191</v>
      </c>
      <c r="B53" s="339">
        <f>INDEX('Seasonality Analysis'!C$3:N$17,COLUMN(M4),ROW(A4))</f>
        <v>60</v>
      </c>
      <c r="C53" s="340">
        <f t="shared" si="5"/>
        <v>0.94488188976377951</v>
      </c>
      <c r="D53" s="424">
        <f>N9</f>
        <v>0.9140781568900137</v>
      </c>
      <c r="E53" s="341"/>
      <c r="F53" s="341"/>
      <c r="G53" s="340">
        <f t="shared" si="6"/>
        <v>3.080373287376581E-2</v>
      </c>
      <c r="H53" s="343"/>
      <c r="I53" s="343"/>
      <c r="J53" s="343"/>
      <c r="K53" s="343"/>
      <c r="L53" s="343"/>
    </row>
    <row r="54" spans="1:12" x14ac:dyDescent="0.35">
      <c r="A54" s="338">
        <v>43221</v>
      </c>
      <c r="B54" s="339">
        <f>INDEX('Seasonality Analysis'!C$3:N$17,COLUMN(M5),ROW(A5))</f>
        <v>66</v>
      </c>
      <c r="C54" s="340">
        <f t="shared" si="5"/>
        <v>1.0393700787401574</v>
      </c>
      <c r="D54" s="424">
        <f>N5</f>
        <v>1.1067127156148391</v>
      </c>
      <c r="E54" s="341"/>
      <c r="F54" s="341"/>
      <c r="G54" s="340">
        <f t="shared" si="6"/>
        <v>-6.7342636874681672E-2</v>
      </c>
      <c r="H54" s="343"/>
      <c r="I54" s="343"/>
      <c r="J54" s="343"/>
      <c r="K54" s="343"/>
      <c r="L54" s="343"/>
    </row>
    <row r="55" spans="1:12" x14ac:dyDescent="0.35">
      <c r="A55" s="338">
        <v>43252</v>
      </c>
      <c r="B55" s="339">
        <f>INDEX('Seasonality Analysis'!C$3:N$17,COLUMN(M6),ROW(A6))</f>
        <v>71</v>
      </c>
      <c r="C55" s="340">
        <f t="shared" si="5"/>
        <v>1.1181102362204725</v>
      </c>
      <c r="D55" s="424">
        <f>N6+N7-100%</f>
        <v>1.13988016117524</v>
      </c>
      <c r="E55" s="341"/>
      <c r="F55" s="341"/>
      <c r="G55" s="340">
        <f t="shared" si="6"/>
        <v>-2.1769924954767594E-2</v>
      </c>
      <c r="H55" s="343"/>
      <c r="I55" s="343"/>
      <c r="J55" s="343"/>
      <c r="K55" s="343"/>
      <c r="L55" s="343"/>
    </row>
    <row r="56" spans="1:12" x14ac:dyDescent="0.35">
      <c r="A56" s="338">
        <v>43282</v>
      </c>
      <c r="B56" s="339">
        <f>INDEX('Seasonality Analysis'!C$3:N$17,COLUMN(M7),ROW(A7))</f>
        <v>60</v>
      </c>
      <c r="C56" s="340">
        <f t="shared" si="5"/>
        <v>0.94488188976377951</v>
      </c>
      <c r="D56" s="424">
        <f>N9</f>
        <v>0.9140781568900137</v>
      </c>
      <c r="E56" s="341"/>
      <c r="F56" s="341"/>
      <c r="G56" s="340">
        <f t="shared" si="6"/>
        <v>3.080373287376581E-2</v>
      </c>
      <c r="H56" s="343"/>
      <c r="I56" s="343"/>
      <c r="J56" s="343"/>
      <c r="K56" s="343"/>
      <c r="L56" s="343"/>
    </row>
    <row r="57" spans="1:12" x14ac:dyDescent="0.35">
      <c r="A57" s="338">
        <v>43313</v>
      </c>
      <c r="B57" s="339">
        <f>INDEX('Seasonality Analysis'!C$3:N$17,COLUMN(M8),ROW(A8))</f>
        <v>54</v>
      </c>
      <c r="C57" s="340">
        <f t="shared" si="5"/>
        <v>0.85039370078740162</v>
      </c>
      <c r="D57" s="424">
        <f>N9</f>
        <v>0.9140781568900137</v>
      </c>
      <c r="E57" s="341"/>
      <c r="F57" s="341"/>
      <c r="G57" s="340">
        <f t="shared" si="6"/>
        <v>-6.3684456102612086E-2</v>
      </c>
      <c r="H57" s="343"/>
      <c r="I57" s="343"/>
      <c r="J57" s="343"/>
      <c r="K57" s="343"/>
      <c r="L57" s="343"/>
    </row>
    <row r="58" spans="1:12" x14ac:dyDescent="0.35">
      <c r="A58" s="338">
        <v>43344</v>
      </c>
      <c r="B58" s="339">
        <f>INDEX('Seasonality Analysis'!C$3:N$17,COLUMN(M9),ROW(A9))</f>
        <v>57</v>
      </c>
      <c r="C58" s="340">
        <f t="shared" si="5"/>
        <v>0.89763779527559051</v>
      </c>
      <c r="D58" s="424">
        <f>N9</f>
        <v>0.9140781568900137</v>
      </c>
      <c r="E58" s="341"/>
      <c r="F58" s="341"/>
      <c r="G58" s="340">
        <f t="shared" si="6"/>
        <v>-1.6440361614423193E-2</v>
      </c>
      <c r="H58" s="343"/>
      <c r="I58" s="343"/>
      <c r="J58" s="343"/>
      <c r="K58" s="343"/>
      <c r="L58" s="343"/>
    </row>
    <row r="59" spans="1:12" x14ac:dyDescent="0.35">
      <c r="A59" s="338">
        <v>43374</v>
      </c>
      <c r="B59" s="339">
        <f>INDEX('Seasonality Analysis'!C$3:N$17,COLUMN(M10),ROW(A10))</f>
        <v>61</v>
      </c>
      <c r="C59" s="340">
        <f t="shared" si="5"/>
        <v>0.96062992125984248</v>
      </c>
      <c r="D59" s="424">
        <f>N9</f>
        <v>0.9140781568900137</v>
      </c>
      <c r="E59" s="341"/>
      <c r="F59" s="341"/>
      <c r="G59" s="340">
        <f t="shared" si="6"/>
        <v>4.6551764369828774E-2</v>
      </c>
      <c r="H59" s="343"/>
      <c r="I59" s="343"/>
      <c r="J59" s="343"/>
      <c r="K59" s="343"/>
      <c r="L59" s="343"/>
    </row>
    <row r="60" spans="1:12" x14ac:dyDescent="0.35">
      <c r="A60" s="338">
        <v>43405</v>
      </c>
      <c r="B60" s="339">
        <f>INDEX('Seasonality Analysis'!C$3:N$17,COLUMN(M11),ROW(A11))</f>
        <v>53</v>
      </c>
      <c r="C60" s="340">
        <f t="shared" si="5"/>
        <v>0.83464566929133854</v>
      </c>
      <c r="D60" s="424">
        <f>N9</f>
        <v>0.9140781568900137</v>
      </c>
      <c r="E60" s="341"/>
      <c r="F60" s="341"/>
      <c r="G60" s="340">
        <f t="shared" si="6"/>
        <v>-7.9432487598675161E-2</v>
      </c>
      <c r="H60" s="343"/>
      <c r="I60" s="343"/>
      <c r="J60" s="343"/>
      <c r="K60" s="343"/>
      <c r="L60" s="343"/>
    </row>
    <row r="61" spans="1:12" x14ac:dyDescent="0.35">
      <c r="A61" s="338">
        <v>43435</v>
      </c>
      <c r="B61" s="339">
        <f>INDEX('Seasonality Analysis'!C$3:N$17,COLUMN(M12),ROW(A12))</f>
        <v>83</v>
      </c>
      <c r="C61" s="340">
        <f t="shared" si="5"/>
        <v>1.3070866141732282</v>
      </c>
      <c r="D61" s="424">
        <f>N8</f>
        <v>1.5306095476663821</v>
      </c>
      <c r="E61" s="341"/>
      <c r="F61" s="341"/>
      <c r="G61" s="340">
        <f t="shared" si="6"/>
        <v>-0.22352293349315389</v>
      </c>
      <c r="H61" s="343"/>
      <c r="I61" s="343"/>
      <c r="J61" s="343"/>
      <c r="K61" s="343"/>
      <c r="L61" s="343"/>
    </row>
    <row r="62" spans="1:12" x14ac:dyDescent="0.35">
      <c r="A62" s="349">
        <v>43466</v>
      </c>
      <c r="B62" s="348"/>
      <c r="C62" s="346" t="str">
        <f>IF(B62=0,"",B62/AVERAGE(B$62:B$73))</f>
        <v/>
      </c>
      <c r="D62" s="425">
        <f>N9</f>
        <v>0.9140781568900137</v>
      </c>
      <c r="E62" s="347">
        <f>'Growth Projection'!C$17/12</f>
        <v>101.55869954376249</v>
      </c>
      <c r="F62" s="347">
        <f>IFERROR(E62*D62,"")</f>
        <v>92.832588895109083</v>
      </c>
      <c r="G62" s="346" t="str">
        <f t="shared" si="6"/>
        <v/>
      </c>
      <c r="H62" s="347">
        <f t="shared" ref="H62:H93" si="7">IFERROR(F62+2*N$12*F62,"")</f>
        <v>110.10918604438818</v>
      </c>
      <c r="I62" s="347">
        <f t="shared" ref="I62:I93" si="8">IFERROR(IF(OR(ISBLANK(H62),ISBLANK(F62)),"",(H62*N$14)-(N$13*F62)),"")</f>
        <v>63.69289159683364</v>
      </c>
      <c r="J62" s="347">
        <f t="shared" ref="J62:J93" si="9">IFERROR(F62+I62,"")</f>
        <v>156.52548049194272</v>
      </c>
      <c r="K62" s="350">
        <v>200</v>
      </c>
      <c r="L62" s="347">
        <f>IF(OR(J62="",K62=""),"",IF(J62&gt;K62,J62-K62,0))</f>
        <v>0</v>
      </c>
    </row>
    <row r="63" spans="1:12" x14ac:dyDescent="0.35">
      <c r="A63" s="349">
        <v>43497</v>
      </c>
      <c r="B63" s="348"/>
      <c r="C63" s="346" t="str">
        <f t="shared" ref="C63:C73" si="10">IF(B63=0,"",B63/AVERAGE(B$62:B$73))</f>
        <v/>
      </c>
      <c r="D63" s="425">
        <f>N3+N4-100%</f>
        <v>1.3551638530287984</v>
      </c>
      <c r="E63" s="347">
        <f>'Growth Projection'!C$17/12</f>
        <v>101.55869954376249</v>
      </c>
      <c r="F63" s="347">
        <f t="shared" ref="F63:F126" si="11">IFERROR(E63*D63,"")</f>
        <v>137.62867858231925</v>
      </c>
      <c r="G63" s="346" t="str">
        <f t="shared" si="6"/>
        <v/>
      </c>
      <c r="H63" s="347">
        <f t="shared" si="7"/>
        <v>163.24204630538205</v>
      </c>
      <c r="I63" s="347">
        <f t="shared" si="8"/>
        <v>94.42770701422242</v>
      </c>
      <c r="J63" s="347">
        <f t="shared" si="9"/>
        <v>232.05638559654167</v>
      </c>
      <c r="K63" s="347">
        <f t="shared" ref="K63:K94" si="12">IFERROR(K62+L62-F62,"")</f>
        <v>107.16741110489092</v>
      </c>
      <c r="L63" s="347">
        <f t="shared" ref="L63:L126" si="13">IF(OR(J63="",K63=""),"",IF(J63&gt;K63,J63-K63,0))</f>
        <v>124.88897449165076</v>
      </c>
    </row>
    <row r="64" spans="1:12" x14ac:dyDescent="0.35">
      <c r="A64" s="349">
        <v>43525</v>
      </c>
      <c r="B64" s="348"/>
      <c r="C64" s="346" t="str">
        <f t="shared" si="10"/>
        <v/>
      </c>
      <c r="D64" s="425">
        <f>N9</f>
        <v>0.9140781568900137</v>
      </c>
      <c r="E64" s="347">
        <f>'Growth Projection'!C$17/12</f>
        <v>101.55869954376249</v>
      </c>
      <c r="F64" s="347">
        <f t="shared" si="11"/>
        <v>92.832588895109083</v>
      </c>
      <c r="G64" s="346" t="str">
        <f t="shared" si="6"/>
        <v/>
      </c>
      <c r="H64" s="347">
        <f t="shared" si="7"/>
        <v>110.10918604438818</v>
      </c>
      <c r="I64" s="347">
        <f t="shared" si="8"/>
        <v>63.69289159683364</v>
      </c>
      <c r="J64" s="347">
        <f t="shared" si="9"/>
        <v>156.52548049194272</v>
      </c>
      <c r="K64" s="347">
        <f t="shared" si="12"/>
        <v>94.42770701422242</v>
      </c>
      <c r="L64" s="347">
        <f t="shared" si="13"/>
        <v>62.097773477720295</v>
      </c>
    </row>
    <row r="65" spans="1:12" x14ac:dyDescent="0.35">
      <c r="A65" s="349">
        <v>43556</v>
      </c>
      <c r="B65" s="348"/>
      <c r="C65" s="346" t="str">
        <f t="shared" si="10"/>
        <v/>
      </c>
      <c r="D65" s="425">
        <f>N9</f>
        <v>0.9140781568900137</v>
      </c>
      <c r="E65" s="347">
        <f>'Growth Projection'!C$17/12</f>
        <v>101.55869954376249</v>
      </c>
      <c r="F65" s="347">
        <f t="shared" si="11"/>
        <v>92.832588895109083</v>
      </c>
      <c r="G65" s="346" t="str">
        <f t="shared" si="6"/>
        <v/>
      </c>
      <c r="H65" s="347">
        <f t="shared" si="7"/>
        <v>110.10918604438818</v>
      </c>
      <c r="I65" s="347">
        <f t="shared" si="8"/>
        <v>63.69289159683364</v>
      </c>
      <c r="J65" s="347">
        <f t="shared" si="9"/>
        <v>156.52548049194272</v>
      </c>
      <c r="K65" s="347">
        <f t="shared" si="12"/>
        <v>63.692891596833633</v>
      </c>
      <c r="L65" s="347">
        <f t="shared" si="13"/>
        <v>92.832588895109083</v>
      </c>
    </row>
    <row r="66" spans="1:12" x14ac:dyDescent="0.35">
      <c r="A66" s="349">
        <v>43586</v>
      </c>
      <c r="B66" s="348"/>
      <c r="C66" s="346" t="str">
        <f t="shared" si="10"/>
        <v/>
      </c>
      <c r="D66" s="425">
        <f>N5</f>
        <v>1.1067127156148391</v>
      </c>
      <c r="E66" s="347">
        <f>'Growth Projection'!C$17/12</f>
        <v>101.55869954376249</v>
      </c>
      <c r="F66" s="347">
        <f t="shared" si="11"/>
        <v>112.3963041663889</v>
      </c>
      <c r="G66" s="346" t="str">
        <f t="shared" si="6"/>
        <v/>
      </c>
      <c r="H66" s="347">
        <f t="shared" si="7"/>
        <v>133.3138040579905</v>
      </c>
      <c r="I66" s="347">
        <f t="shared" si="8"/>
        <v>77.115651974796037</v>
      </c>
      <c r="J66" s="347">
        <f t="shared" si="9"/>
        <v>189.51195614118495</v>
      </c>
      <c r="K66" s="347">
        <f t="shared" si="12"/>
        <v>63.692891596833633</v>
      </c>
      <c r="L66" s="347">
        <f t="shared" si="13"/>
        <v>125.81906454435132</v>
      </c>
    </row>
    <row r="67" spans="1:12" x14ac:dyDescent="0.35">
      <c r="A67" s="349">
        <v>43617</v>
      </c>
      <c r="B67" s="348"/>
      <c r="C67" s="346" t="str">
        <f t="shared" si="10"/>
        <v/>
      </c>
      <c r="D67" s="425">
        <f>N6+N7-100%</f>
        <v>1.13988016117524</v>
      </c>
      <c r="E67" s="347">
        <f>'Growth Projection'!C$17/12</f>
        <v>101.55869954376249</v>
      </c>
      <c r="F67" s="347">
        <f t="shared" si="11"/>
        <v>115.76474680469175</v>
      </c>
      <c r="G67" s="346" t="str">
        <f t="shared" si="6"/>
        <v/>
      </c>
      <c r="H67" s="347">
        <f t="shared" si="7"/>
        <v>137.30913028507453</v>
      </c>
      <c r="I67" s="347">
        <f t="shared" si="8"/>
        <v>79.426756882728654</v>
      </c>
      <c r="J67" s="347">
        <f t="shared" si="9"/>
        <v>195.19150368742041</v>
      </c>
      <c r="K67" s="347">
        <f t="shared" si="12"/>
        <v>77.115651974796052</v>
      </c>
      <c r="L67" s="347">
        <f t="shared" si="13"/>
        <v>118.07585171262436</v>
      </c>
    </row>
    <row r="68" spans="1:12" x14ac:dyDescent="0.35">
      <c r="A68" s="349">
        <v>43647</v>
      </c>
      <c r="B68" s="348"/>
      <c r="C68" s="346" t="str">
        <f t="shared" si="10"/>
        <v/>
      </c>
      <c r="D68" s="425">
        <f>N9</f>
        <v>0.9140781568900137</v>
      </c>
      <c r="E68" s="347">
        <f>'Growth Projection'!C$17/12</f>
        <v>101.55869954376249</v>
      </c>
      <c r="F68" s="347">
        <f t="shared" si="11"/>
        <v>92.832588895109083</v>
      </c>
      <c r="G68" s="346" t="str">
        <f t="shared" si="6"/>
        <v/>
      </c>
      <c r="H68" s="347">
        <f t="shared" si="7"/>
        <v>110.10918604438818</v>
      </c>
      <c r="I68" s="347">
        <f t="shared" si="8"/>
        <v>63.69289159683364</v>
      </c>
      <c r="J68" s="347">
        <f t="shared" si="9"/>
        <v>156.52548049194272</v>
      </c>
      <c r="K68" s="347">
        <f t="shared" si="12"/>
        <v>79.426756882728654</v>
      </c>
      <c r="L68" s="347">
        <f t="shared" si="13"/>
        <v>77.098723609214062</v>
      </c>
    </row>
    <row r="69" spans="1:12" x14ac:dyDescent="0.35">
      <c r="A69" s="349">
        <v>43678</v>
      </c>
      <c r="B69" s="348"/>
      <c r="C69" s="346" t="str">
        <f t="shared" si="10"/>
        <v/>
      </c>
      <c r="D69" s="425">
        <f>N9</f>
        <v>0.9140781568900137</v>
      </c>
      <c r="E69" s="347">
        <f>'Growth Projection'!C$17/12</f>
        <v>101.55869954376249</v>
      </c>
      <c r="F69" s="347">
        <f t="shared" si="11"/>
        <v>92.832588895109083</v>
      </c>
      <c r="G69" s="346" t="str">
        <f t="shared" si="6"/>
        <v/>
      </c>
      <c r="H69" s="347">
        <f t="shared" si="7"/>
        <v>110.10918604438818</v>
      </c>
      <c r="I69" s="347">
        <f t="shared" si="8"/>
        <v>63.69289159683364</v>
      </c>
      <c r="J69" s="347">
        <f t="shared" si="9"/>
        <v>156.52548049194272</v>
      </c>
      <c r="K69" s="347">
        <f t="shared" si="12"/>
        <v>63.692891596833633</v>
      </c>
      <c r="L69" s="347">
        <f t="shared" si="13"/>
        <v>92.832588895109083</v>
      </c>
    </row>
    <row r="70" spans="1:12" x14ac:dyDescent="0.35">
      <c r="A70" s="349">
        <v>43709</v>
      </c>
      <c r="B70" s="348"/>
      <c r="C70" s="346" t="str">
        <f t="shared" si="10"/>
        <v/>
      </c>
      <c r="D70" s="425">
        <f>N9</f>
        <v>0.9140781568900137</v>
      </c>
      <c r="E70" s="347">
        <f>'Growth Projection'!C$17/12</f>
        <v>101.55869954376249</v>
      </c>
      <c r="F70" s="347">
        <f t="shared" si="11"/>
        <v>92.832588895109083</v>
      </c>
      <c r="G70" s="346" t="str">
        <f t="shared" si="6"/>
        <v/>
      </c>
      <c r="H70" s="347">
        <f t="shared" si="7"/>
        <v>110.10918604438818</v>
      </c>
      <c r="I70" s="347">
        <f t="shared" si="8"/>
        <v>63.69289159683364</v>
      </c>
      <c r="J70" s="347">
        <f t="shared" si="9"/>
        <v>156.52548049194272</v>
      </c>
      <c r="K70" s="347">
        <f t="shared" si="12"/>
        <v>63.692891596833633</v>
      </c>
      <c r="L70" s="347">
        <f t="shared" si="13"/>
        <v>92.832588895109083</v>
      </c>
    </row>
    <row r="71" spans="1:12" x14ac:dyDescent="0.35">
      <c r="A71" s="349">
        <v>43739</v>
      </c>
      <c r="B71" s="348"/>
      <c r="C71" s="346" t="str">
        <f t="shared" si="10"/>
        <v/>
      </c>
      <c r="D71" s="425">
        <f>N9</f>
        <v>0.9140781568900137</v>
      </c>
      <c r="E71" s="347">
        <f>'Growth Projection'!C$17/12</f>
        <v>101.55869954376249</v>
      </c>
      <c r="F71" s="347">
        <f t="shared" si="11"/>
        <v>92.832588895109083</v>
      </c>
      <c r="G71" s="346" t="str">
        <f t="shared" si="6"/>
        <v/>
      </c>
      <c r="H71" s="347">
        <f t="shared" si="7"/>
        <v>110.10918604438818</v>
      </c>
      <c r="I71" s="347">
        <f t="shared" si="8"/>
        <v>63.69289159683364</v>
      </c>
      <c r="J71" s="347">
        <f t="shared" si="9"/>
        <v>156.52548049194272</v>
      </c>
      <c r="K71" s="347">
        <f t="shared" si="12"/>
        <v>63.692891596833633</v>
      </c>
      <c r="L71" s="347">
        <f t="shared" si="13"/>
        <v>92.832588895109083</v>
      </c>
    </row>
    <row r="72" spans="1:12" x14ac:dyDescent="0.35">
      <c r="A72" s="349">
        <v>43770</v>
      </c>
      <c r="B72" s="348"/>
      <c r="C72" s="346" t="str">
        <f t="shared" si="10"/>
        <v/>
      </c>
      <c r="D72" s="425">
        <f>N9</f>
        <v>0.9140781568900137</v>
      </c>
      <c r="E72" s="347">
        <f>'Growth Projection'!C$17/12</f>
        <v>101.55869954376249</v>
      </c>
      <c r="F72" s="347">
        <f t="shared" si="11"/>
        <v>92.832588895109083</v>
      </c>
      <c r="G72" s="346" t="str">
        <f t="shared" si="6"/>
        <v/>
      </c>
      <c r="H72" s="347">
        <f t="shared" si="7"/>
        <v>110.10918604438818</v>
      </c>
      <c r="I72" s="347">
        <f t="shared" si="8"/>
        <v>63.69289159683364</v>
      </c>
      <c r="J72" s="347">
        <f t="shared" si="9"/>
        <v>156.52548049194272</v>
      </c>
      <c r="K72" s="347">
        <f t="shared" si="12"/>
        <v>63.692891596833633</v>
      </c>
      <c r="L72" s="347">
        <f t="shared" si="13"/>
        <v>92.832588895109083</v>
      </c>
    </row>
    <row r="73" spans="1:12" x14ac:dyDescent="0.35">
      <c r="A73" s="349">
        <v>43800</v>
      </c>
      <c r="B73" s="348"/>
      <c r="C73" s="346" t="str">
        <f t="shared" si="10"/>
        <v/>
      </c>
      <c r="D73" s="425">
        <f>N8</f>
        <v>1.5306095476663821</v>
      </c>
      <c r="E73" s="347">
        <f>'Growth Projection'!C$17/12</f>
        <v>101.55869954376249</v>
      </c>
      <c r="F73" s="347">
        <f t="shared" si="11"/>
        <v>155.4467151702643</v>
      </c>
      <c r="G73" s="346" t="str">
        <f t="shared" si="6"/>
        <v/>
      </c>
      <c r="H73" s="347">
        <f t="shared" si="7"/>
        <v>184.37610632631424</v>
      </c>
      <c r="I73" s="347">
        <f t="shared" si="8"/>
        <v>106.65274874118209</v>
      </c>
      <c r="J73" s="347">
        <f t="shared" si="9"/>
        <v>262.09946391144638</v>
      </c>
      <c r="K73" s="347">
        <f t="shared" si="12"/>
        <v>63.692891596833633</v>
      </c>
      <c r="L73" s="347">
        <f t="shared" si="13"/>
        <v>198.40657231461273</v>
      </c>
    </row>
    <row r="74" spans="1:12" x14ac:dyDescent="0.35">
      <c r="A74" s="338">
        <v>43831</v>
      </c>
      <c r="B74" s="339"/>
      <c r="C74" s="340"/>
      <c r="D74" s="424">
        <f>N3</f>
        <v>1.123286991062562</v>
      </c>
      <c r="E74" s="341">
        <f>'Growth Projection'!D$17/12</f>
        <v>113.8148646888488</v>
      </c>
      <c r="F74" s="341">
        <f t="shared" si="11"/>
        <v>127.84675689452961</v>
      </c>
      <c r="G74" s="340" t="str">
        <f t="shared" si="6"/>
        <v/>
      </c>
      <c r="H74" s="341">
        <f t="shared" si="7"/>
        <v>151.63966132601396</v>
      </c>
      <c r="I74" s="341">
        <f t="shared" si="8"/>
        <v>87.716282878749155</v>
      </c>
      <c r="J74" s="341">
        <f t="shared" si="9"/>
        <v>215.56303977327877</v>
      </c>
      <c r="K74" s="341">
        <f t="shared" si="12"/>
        <v>106.65274874118208</v>
      </c>
      <c r="L74" s="341">
        <f t="shared" si="13"/>
        <v>108.91029103209669</v>
      </c>
    </row>
    <row r="75" spans="1:12" x14ac:dyDescent="0.35">
      <c r="A75" s="338">
        <v>43862</v>
      </c>
      <c r="B75" s="339"/>
      <c r="C75" s="340"/>
      <c r="D75" s="424">
        <f>N4</f>
        <v>1.2318768619662364</v>
      </c>
      <c r="E75" s="341">
        <f>'Growth Projection'!D$17/12</f>
        <v>113.8148646888488</v>
      </c>
      <c r="F75" s="341">
        <f t="shared" si="11"/>
        <v>140.20589835801087</v>
      </c>
      <c r="G75" s="340" t="str">
        <f t="shared" si="6"/>
        <v/>
      </c>
      <c r="H75" s="341">
        <f t="shared" si="7"/>
        <v>166.2988992396414</v>
      </c>
      <c r="I75" s="341">
        <f t="shared" si="8"/>
        <v>96.195950060635965</v>
      </c>
      <c r="J75" s="341">
        <f t="shared" si="9"/>
        <v>236.40184841864684</v>
      </c>
      <c r="K75" s="341">
        <f t="shared" si="12"/>
        <v>87.716282878749169</v>
      </c>
      <c r="L75" s="341">
        <f t="shared" si="13"/>
        <v>148.68556553989765</v>
      </c>
    </row>
    <row r="76" spans="1:12" x14ac:dyDescent="0.35">
      <c r="A76" s="338">
        <v>43891</v>
      </c>
      <c r="B76" s="339"/>
      <c r="C76" s="340"/>
      <c r="D76" s="424">
        <f>N9</f>
        <v>0.9140781568900137</v>
      </c>
      <c r="E76" s="341">
        <f>'Growth Projection'!D$17/12</f>
        <v>113.8148646888488</v>
      </c>
      <c r="F76" s="341">
        <f t="shared" si="11"/>
        <v>104.03568174146922</v>
      </c>
      <c r="G76" s="340" t="str">
        <f t="shared" si="6"/>
        <v/>
      </c>
      <c r="H76" s="341">
        <f t="shared" si="7"/>
        <v>123.39722906003882</v>
      </c>
      <c r="I76" s="341">
        <f t="shared" si="8"/>
        <v>71.379388189304223</v>
      </c>
      <c r="J76" s="341">
        <f t="shared" si="9"/>
        <v>175.41506993077343</v>
      </c>
      <c r="K76" s="341">
        <f t="shared" si="12"/>
        <v>96.195950060635937</v>
      </c>
      <c r="L76" s="341">
        <f t="shared" si="13"/>
        <v>79.21911987013749</v>
      </c>
    </row>
    <row r="77" spans="1:12" x14ac:dyDescent="0.35">
      <c r="A77" s="338">
        <v>43922</v>
      </c>
      <c r="B77" s="339"/>
      <c r="C77" s="340"/>
      <c r="D77" s="424">
        <f>N9</f>
        <v>0.9140781568900137</v>
      </c>
      <c r="E77" s="341">
        <f>'Growth Projection'!D$17/12</f>
        <v>113.8148646888488</v>
      </c>
      <c r="F77" s="341">
        <f t="shared" si="11"/>
        <v>104.03568174146922</v>
      </c>
      <c r="G77" s="340" t="str">
        <f t="shared" si="6"/>
        <v/>
      </c>
      <c r="H77" s="341">
        <f t="shared" si="7"/>
        <v>123.39722906003882</v>
      </c>
      <c r="I77" s="341">
        <f t="shared" si="8"/>
        <v>71.379388189304223</v>
      </c>
      <c r="J77" s="341">
        <f t="shared" si="9"/>
        <v>175.41506993077343</v>
      </c>
      <c r="K77" s="341">
        <f t="shared" si="12"/>
        <v>71.379388189304208</v>
      </c>
      <c r="L77" s="341">
        <f t="shared" si="13"/>
        <v>104.03568174146922</v>
      </c>
    </row>
    <row r="78" spans="1:12" x14ac:dyDescent="0.35">
      <c r="A78" s="338">
        <v>43952</v>
      </c>
      <c r="B78" s="339"/>
      <c r="C78" s="340"/>
      <c r="D78" s="424">
        <f>N5+N6-100%</f>
        <v>1.2473260091480931</v>
      </c>
      <c r="E78" s="341">
        <f>'Growth Projection'!D$17/12</f>
        <v>113.8148646888488</v>
      </c>
      <c r="F78" s="341">
        <f t="shared" si="11"/>
        <v>141.96424095407201</v>
      </c>
      <c r="G78" s="340" t="str">
        <f t="shared" si="6"/>
        <v/>
      </c>
      <c r="H78" s="341">
        <f t="shared" si="7"/>
        <v>168.38447796090517</v>
      </c>
      <c r="I78" s="341">
        <f t="shared" si="8"/>
        <v>97.402357483869167</v>
      </c>
      <c r="J78" s="341">
        <f t="shared" si="9"/>
        <v>239.36659843794118</v>
      </c>
      <c r="K78" s="341">
        <f t="shared" si="12"/>
        <v>71.379388189304208</v>
      </c>
      <c r="L78" s="341">
        <f t="shared" si="13"/>
        <v>167.98721024863698</v>
      </c>
    </row>
    <row r="79" spans="1:12" x14ac:dyDescent="0.35">
      <c r="A79" s="338">
        <v>43983</v>
      </c>
      <c r="B79" s="339"/>
      <c r="C79" s="340"/>
      <c r="D79" s="424">
        <f>N9</f>
        <v>0.9140781568900137</v>
      </c>
      <c r="E79" s="341">
        <f>'Growth Projection'!D$17/12</f>
        <v>113.8148646888488</v>
      </c>
      <c r="F79" s="341">
        <f t="shared" si="11"/>
        <v>104.03568174146922</v>
      </c>
      <c r="G79" s="340" t="str">
        <f t="shared" si="6"/>
        <v/>
      </c>
      <c r="H79" s="341">
        <f t="shared" si="7"/>
        <v>123.39722906003882</v>
      </c>
      <c r="I79" s="341">
        <f t="shared" si="8"/>
        <v>71.379388189304223</v>
      </c>
      <c r="J79" s="341">
        <f t="shared" si="9"/>
        <v>175.41506993077343</v>
      </c>
      <c r="K79" s="341">
        <f t="shared" si="12"/>
        <v>97.402357483869196</v>
      </c>
      <c r="L79" s="341">
        <f t="shared" si="13"/>
        <v>78.012712446904231</v>
      </c>
    </row>
    <row r="80" spans="1:12" x14ac:dyDescent="0.35">
      <c r="A80" s="338">
        <v>44013</v>
      </c>
      <c r="B80" s="339"/>
      <c r="C80" s="340"/>
      <c r="D80" s="424">
        <f>N9</f>
        <v>0.9140781568900137</v>
      </c>
      <c r="E80" s="341">
        <f>'Growth Projection'!D$17/12</f>
        <v>113.8148646888488</v>
      </c>
      <c r="F80" s="341">
        <f t="shared" si="11"/>
        <v>104.03568174146922</v>
      </c>
      <c r="G80" s="340" t="str">
        <f t="shared" si="6"/>
        <v/>
      </c>
      <c r="H80" s="341">
        <f t="shared" si="7"/>
        <v>123.39722906003882</v>
      </c>
      <c r="I80" s="341">
        <f t="shared" si="8"/>
        <v>71.379388189304223</v>
      </c>
      <c r="J80" s="341">
        <f t="shared" si="9"/>
        <v>175.41506993077343</v>
      </c>
      <c r="K80" s="341">
        <f t="shared" si="12"/>
        <v>71.379388189304208</v>
      </c>
      <c r="L80" s="341">
        <f t="shared" si="13"/>
        <v>104.03568174146922</v>
      </c>
    </row>
    <row r="81" spans="1:12" x14ac:dyDescent="0.35">
      <c r="A81" s="338">
        <v>44044</v>
      </c>
      <c r="B81" s="339"/>
      <c r="C81" s="340"/>
      <c r="D81" s="424">
        <f>N9</f>
        <v>0.9140781568900137</v>
      </c>
      <c r="E81" s="341">
        <f>'Growth Projection'!D$17/12</f>
        <v>113.8148646888488</v>
      </c>
      <c r="F81" s="341">
        <f t="shared" si="11"/>
        <v>104.03568174146922</v>
      </c>
      <c r="G81" s="340" t="str">
        <f t="shared" si="6"/>
        <v/>
      </c>
      <c r="H81" s="341">
        <f t="shared" si="7"/>
        <v>123.39722906003882</v>
      </c>
      <c r="I81" s="341">
        <f t="shared" si="8"/>
        <v>71.379388189304223</v>
      </c>
      <c r="J81" s="341">
        <f t="shared" si="9"/>
        <v>175.41506993077343</v>
      </c>
      <c r="K81" s="341">
        <f t="shared" si="12"/>
        <v>71.379388189304208</v>
      </c>
      <c r="L81" s="341">
        <f t="shared" si="13"/>
        <v>104.03568174146922</v>
      </c>
    </row>
    <row r="82" spans="1:12" x14ac:dyDescent="0.35">
      <c r="A82" s="338">
        <v>44075</v>
      </c>
      <c r="B82" s="339"/>
      <c r="C82" s="340"/>
      <c r="D82" s="424">
        <f>N9</f>
        <v>0.9140781568900137</v>
      </c>
      <c r="E82" s="341">
        <f>'Growth Projection'!D$17/12</f>
        <v>113.8148646888488</v>
      </c>
      <c r="F82" s="341">
        <f t="shared" si="11"/>
        <v>104.03568174146922</v>
      </c>
      <c r="G82" s="340" t="str">
        <f t="shared" ref="G82:G113" si="14">IF(OR(C82="",D82=""),"",C82-D82)</f>
        <v/>
      </c>
      <c r="H82" s="341">
        <f t="shared" si="7"/>
        <v>123.39722906003882</v>
      </c>
      <c r="I82" s="341">
        <f t="shared" si="8"/>
        <v>71.379388189304223</v>
      </c>
      <c r="J82" s="341">
        <f t="shared" si="9"/>
        <v>175.41506993077343</v>
      </c>
      <c r="K82" s="341">
        <f t="shared" si="12"/>
        <v>71.379388189304208</v>
      </c>
      <c r="L82" s="341">
        <f t="shared" si="13"/>
        <v>104.03568174146922</v>
      </c>
    </row>
    <row r="83" spans="1:12" x14ac:dyDescent="0.35">
      <c r="A83" s="338">
        <v>44105</v>
      </c>
      <c r="B83" s="339"/>
      <c r="C83" s="340"/>
      <c r="D83" s="424">
        <f>N9</f>
        <v>0.9140781568900137</v>
      </c>
      <c r="E83" s="341">
        <f>'Growth Projection'!D$17/12</f>
        <v>113.8148646888488</v>
      </c>
      <c r="F83" s="341">
        <f t="shared" si="11"/>
        <v>104.03568174146922</v>
      </c>
      <c r="G83" s="340" t="str">
        <f t="shared" si="14"/>
        <v/>
      </c>
      <c r="H83" s="341">
        <f t="shared" si="7"/>
        <v>123.39722906003882</v>
      </c>
      <c r="I83" s="341">
        <f t="shared" si="8"/>
        <v>71.379388189304223</v>
      </c>
      <c r="J83" s="341">
        <f t="shared" si="9"/>
        <v>175.41506993077343</v>
      </c>
      <c r="K83" s="341">
        <f t="shared" si="12"/>
        <v>71.379388189304208</v>
      </c>
      <c r="L83" s="341">
        <f t="shared" si="13"/>
        <v>104.03568174146922</v>
      </c>
    </row>
    <row r="84" spans="1:12" x14ac:dyDescent="0.35">
      <c r="A84" s="338">
        <v>44136</v>
      </c>
      <c r="B84" s="339"/>
      <c r="C84" s="340"/>
      <c r="D84" s="424">
        <f>N9</f>
        <v>0.9140781568900137</v>
      </c>
      <c r="E84" s="341">
        <f>'Growth Projection'!D$17/12</f>
        <v>113.8148646888488</v>
      </c>
      <c r="F84" s="341">
        <f t="shared" si="11"/>
        <v>104.03568174146922</v>
      </c>
      <c r="G84" s="340" t="str">
        <f t="shared" si="14"/>
        <v/>
      </c>
      <c r="H84" s="341">
        <f t="shared" si="7"/>
        <v>123.39722906003882</v>
      </c>
      <c r="I84" s="341">
        <f t="shared" si="8"/>
        <v>71.379388189304223</v>
      </c>
      <c r="J84" s="341">
        <f t="shared" si="9"/>
        <v>175.41506993077343</v>
      </c>
      <c r="K84" s="341">
        <f t="shared" si="12"/>
        <v>71.379388189304208</v>
      </c>
      <c r="L84" s="341">
        <f t="shared" si="13"/>
        <v>104.03568174146922</v>
      </c>
    </row>
    <row r="85" spans="1:12" x14ac:dyDescent="0.35">
      <c r="A85" s="338">
        <v>44166</v>
      </c>
      <c r="B85" s="339"/>
      <c r="C85" s="340"/>
      <c r="D85" s="424">
        <f>N8</f>
        <v>1.5306095476663821</v>
      </c>
      <c r="E85" s="341">
        <f>'Growth Projection'!D$17/12</f>
        <v>113.8148646888488</v>
      </c>
      <c r="F85" s="341">
        <f t="shared" si="11"/>
        <v>174.20611855910934</v>
      </c>
      <c r="G85" s="340" t="str">
        <f t="shared" si="14"/>
        <v/>
      </c>
      <c r="H85" s="341">
        <f t="shared" si="7"/>
        <v>206.62672609689881</v>
      </c>
      <c r="I85" s="341">
        <f t="shared" si="8"/>
        <v>119.52366681734414</v>
      </c>
      <c r="J85" s="341">
        <f t="shared" si="9"/>
        <v>293.72978537645349</v>
      </c>
      <c r="K85" s="341">
        <f t="shared" si="12"/>
        <v>71.379388189304208</v>
      </c>
      <c r="L85" s="341">
        <f t="shared" si="13"/>
        <v>222.35039718714927</v>
      </c>
    </row>
    <row r="86" spans="1:12" x14ac:dyDescent="0.35">
      <c r="A86" s="344">
        <v>44197</v>
      </c>
      <c r="B86" s="345"/>
      <c r="C86" s="346"/>
      <c r="D86" s="425">
        <f>N9</f>
        <v>0.9140781568900137</v>
      </c>
      <c r="E86" s="347">
        <f>'Growth Projection'!E$17/12</f>
        <v>126.07102983393997</v>
      </c>
      <c r="F86" s="347">
        <f t="shared" si="11"/>
        <v>115.23877458783379</v>
      </c>
      <c r="G86" s="346" t="str">
        <f t="shared" si="14"/>
        <v/>
      </c>
      <c r="H86" s="347">
        <f t="shared" si="7"/>
        <v>136.68527207569474</v>
      </c>
      <c r="I86" s="347">
        <f t="shared" si="8"/>
        <v>79.065884781777839</v>
      </c>
      <c r="J86" s="347">
        <f t="shared" si="9"/>
        <v>194.30465936961161</v>
      </c>
      <c r="K86" s="347">
        <f t="shared" si="12"/>
        <v>119.52366681734415</v>
      </c>
      <c r="L86" s="347">
        <f t="shared" si="13"/>
        <v>74.780992552267463</v>
      </c>
    </row>
    <row r="87" spans="1:12" x14ac:dyDescent="0.35">
      <c r="A87" s="344">
        <v>44228</v>
      </c>
      <c r="B87" s="345"/>
      <c r="C87" s="346"/>
      <c r="D87" s="425">
        <f>N3+N4-100%</f>
        <v>1.3551638530287984</v>
      </c>
      <c r="E87" s="347">
        <f>'Growth Projection'!E$17/12</f>
        <v>126.07102983393997</v>
      </c>
      <c r="F87" s="347">
        <f t="shared" si="11"/>
        <v>170.84690254507069</v>
      </c>
      <c r="G87" s="346" t="str">
        <f t="shared" si="14"/>
        <v/>
      </c>
      <c r="H87" s="347">
        <f t="shared" si="7"/>
        <v>202.64234361381418</v>
      </c>
      <c r="I87" s="347">
        <f t="shared" si="8"/>
        <v>117.21889234127883</v>
      </c>
      <c r="J87" s="347">
        <f t="shared" si="9"/>
        <v>288.06579488634952</v>
      </c>
      <c r="K87" s="347">
        <f t="shared" si="12"/>
        <v>79.065884781777825</v>
      </c>
      <c r="L87" s="347">
        <f t="shared" si="13"/>
        <v>208.99991010457171</v>
      </c>
    </row>
    <row r="88" spans="1:12" x14ac:dyDescent="0.35">
      <c r="A88" s="344">
        <v>44256</v>
      </c>
      <c r="B88" s="345"/>
      <c r="C88" s="346"/>
      <c r="D88" s="425">
        <f>N9</f>
        <v>0.9140781568900137</v>
      </c>
      <c r="E88" s="347">
        <f>'Growth Projection'!E$17/12</f>
        <v>126.07102983393997</v>
      </c>
      <c r="F88" s="347">
        <f t="shared" si="11"/>
        <v>115.23877458783379</v>
      </c>
      <c r="G88" s="346" t="str">
        <f t="shared" si="14"/>
        <v/>
      </c>
      <c r="H88" s="347">
        <f t="shared" si="7"/>
        <v>136.68527207569474</v>
      </c>
      <c r="I88" s="347">
        <f t="shared" si="8"/>
        <v>79.065884781777839</v>
      </c>
      <c r="J88" s="347">
        <f t="shared" si="9"/>
        <v>194.30465936961161</v>
      </c>
      <c r="K88" s="347">
        <f t="shared" si="12"/>
        <v>117.21889234127883</v>
      </c>
      <c r="L88" s="347">
        <f t="shared" si="13"/>
        <v>77.085767028332782</v>
      </c>
    </row>
    <row r="89" spans="1:12" x14ac:dyDescent="0.35">
      <c r="A89" s="344">
        <v>44287</v>
      </c>
      <c r="B89" s="345"/>
      <c r="C89" s="346"/>
      <c r="D89" s="425">
        <f>N9</f>
        <v>0.9140781568900137</v>
      </c>
      <c r="E89" s="347">
        <f>'Growth Projection'!E$17/12</f>
        <v>126.07102983393997</v>
      </c>
      <c r="F89" s="347">
        <f t="shared" si="11"/>
        <v>115.23877458783379</v>
      </c>
      <c r="G89" s="346" t="str">
        <f t="shared" si="14"/>
        <v/>
      </c>
      <c r="H89" s="347">
        <f t="shared" si="7"/>
        <v>136.68527207569474</v>
      </c>
      <c r="I89" s="347">
        <f t="shared" si="8"/>
        <v>79.065884781777839</v>
      </c>
      <c r="J89" s="347">
        <f t="shared" si="9"/>
        <v>194.30465936961161</v>
      </c>
      <c r="K89" s="347">
        <f t="shared" si="12"/>
        <v>79.065884781777825</v>
      </c>
      <c r="L89" s="347">
        <f t="shared" si="13"/>
        <v>115.23877458783379</v>
      </c>
    </row>
    <row r="90" spans="1:12" x14ac:dyDescent="0.35">
      <c r="A90" s="344">
        <v>44317</v>
      </c>
      <c r="B90" s="345"/>
      <c r="C90" s="346"/>
      <c r="D90" s="425">
        <f>N5+N6-100%</f>
        <v>1.2473260091480931</v>
      </c>
      <c r="E90" s="347">
        <f>'Growth Projection'!E$17/12</f>
        <v>126.07102983393997</v>
      </c>
      <c r="F90" s="347">
        <f t="shared" si="11"/>
        <v>157.25167451195853</v>
      </c>
      <c r="G90" s="346" t="str">
        <f t="shared" si="14"/>
        <v/>
      </c>
      <c r="H90" s="347">
        <f t="shared" si="7"/>
        <v>186.51697739672812</v>
      </c>
      <c r="I90" s="347">
        <f t="shared" si="8"/>
        <v>107.89114014074886</v>
      </c>
      <c r="J90" s="347">
        <f t="shared" si="9"/>
        <v>265.14281465270739</v>
      </c>
      <c r="K90" s="347">
        <f t="shared" si="12"/>
        <v>79.065884781777825</v>
      </c>
      <c r="L90" s="347">
        <f t="shared" si="13"/>
        <v>186.07692987092958</v>
      </c>
    </row>
    <row r="91" spans="1:12" x14ac:dyDescent="0.35">
      <c r="A91" s="344">
        <v>44348</v>
      </c>
      <c r="B91" s="345"/>
      <c r="C91" s="346"/>
      <c r="D91" s="425">
        <f>N7</f>
        <v>0.99926686764198613</v>
      </c>
      <c r="E91" s="347">
        <f>'Growth Projection'!E$17/12</f>
        <v>126.07102983393997</v>
      </c>
      <c r="F91" s="347">
        <f t="shared" si="11"/>
        <v>125.97860308256058</v>
      </c>
      <c r="G91" s="346" t="str">
        <f t="shared" si="14"/>
        <v/>
      </c>
      <c r="H91" s="347">
        <f t="shared" si="7"/>
        <v>149.42383498647226</v>
      </c>
      <c r="I91" s="347">
        <f t="shared" si="8"/>
        <v>86.43453344519196</v>
      </c>
      <c r="J91" s="347">
        <f t="shared" si="9"/>
        <v>212.41313652775256</v>
      </c>
      <c r="K91" s="347">
        <f t="shared" si="12"/>
        <v>107.89114014074886</v>
      </c>
      <c r="L91" s="347">
        <f t="shared" si="13"/>
        <v>104.5219963870037</v>
      </c>
    </row>
    <row r="92" spans="1:12" x14ac:dyDescent="0.35">
      <c r="A92" s="344">
        <v>44378</v>
      </c>
      <c r="B92" s="345"/>
      <c r="C92" s="346"/>
      <c r="D92" s="425">
        <f>N9</f>
        <v>0.9140781568900137</v>
      </c>
      <c r="E92" s="347">
        <f>'Growth Projection'!E$17/12</f>
        <v>126.07102983393997</v>
      </c>
      <c r="F92" s="347">
        <f t="shared" si="11"/>
        <v>115.23877458783379</v>
      </c>
      <c r="G92" s="346" t="str">
        <f t="shared" si="14"/>
        <v/>
      </c>
      <c r="H92" s="347">
        <f t="shared" si="7"/>
        <v>136.68527207569474</v>
      </c>
      <c r="I92" s="347">
        <f t="shared" si="8"/>
        <v>79.065884781777839</v>
      </c>
      <c r="J92" s="347">
        <f t="shared" si="9"/>
        <v>194.30465936961161</v>
      </c>
      <c r="K92" s="347">
        <f t="shared" si="12"/>
        <v>86.434533445191974</v>
      </c>
      <c r="L92" s="347">
        <f t="shared" si="13"/>
        <v>107.87012592441964</v>
      </c>
    </row>
    <row r="93" spans="1:12" x14ac:dyDescent="0.35">
      <c r="A93" s="344">
        <v>44409</v>
      </c>
      <c r="B93" s="345"/>
      <c r="C93" s="346"/>
      <c r="D93" s="425">
        <f>N9</f>
        <v>0.9140781568900137</v>
      </c>
      <c r="E93" s="347">
        <f>'Growth Projection'!E$17/12</f>
        <v>126.07102983393997</v>
      </c>
      <c r="F93" s="347">
        <f t="shared" si="11"/>
        <v>115.23877458783379</v>
      </c>
      <c r="G93" s="346" t="str">
        <f t="shared" si="14"/>
        <v/>
      </c>
      <c r="H93" s="347">
        <f t="shared" si="7"/>
        <v>136.68527207569474</v>
      </c>
      <c r="I93" s="347">
        <f t="shared" si="8"/>
        <v>79.065884781777839</v>
      </c>
      <c r="J93" s="347">
        <f t="shared" si="9"/>
        <v>194.30465936961161</v>
      </c>
      <c r="K93" s="347">
        <f t="shared" si="12"/>
        <v>79.065884781777825</v>
      </c>
      <c r="L93" s="347">
        <f t="shared" si="13"/>
        <v>115.23877458783379</v>
      </c>
    </row>
    <row r="94" spans="1:12" x14ac:dyDescent="0.35">
      <c r="A94" s="344">
        <v>44440</v>
      </c>
      <c r="B94" s="345"/>
      <c r="C94" s="346"/>
      <c r="D94" s="425">
        <f>N9</f>
        <v>0.9140781568900137</v>
      </c>
      <c r="E94" s="347">
        <f>'Growth Projection'!E$17/12</f>
        <v>126.07102983393997</v>
      </c>
      <c r="F94" s="347">
        <f t="shared" si="11"/>
        <v>115.23877458783379</v>
      </c>
      <c r="G94" s="346" t="str">
        <f t="shared" si="14"/>
        <v/>
      </c>
      <c r="H94" s="347">
        <f t="shared" ref="H94:H125" si="15">IFERROR(F94+2*N$12*F94,"")</f>
        <v>136.68527207569474</v>
      </c>
      <c r="I94" s="347">
        <f t="shared" ref="I94:I125" si="16">IFERROR(IF(OR(ISBLANK(H94),ISBLANK(F94)),"",(H94*N$14)-(N$13*F94)),"")</f>
        <v>79.065884781777839</v>
      </c>
      <c r="J94" s="347">
        <f t="shared" ref="J94:J125" si="17">IFERROR(F94+I94,"")</f>
        <v>194.30465936961161</v>
      </c>
      <c r="K94" s="347">
        <f t="shared" si="12"/>
        <v>79.065884781777825</v>
      </c>
      <c r="L94" s="347">
        <f t="shared" si="13"/>
        <v>115.23877458783379</v>
      </c>
    </row>
    <row r="95" spans="1:12" x14ac:dyDescent="0.35">
      <c r="A95" s="344">
        <v>44470</v>
      </c>
      <c r="B95" s="345"/>
      <c r="C95" s="346"/>
      <c r="D95" s="425">
        <f>N9</f>
        <v>0.9140781568900137</v>
      </c>
      <c r="E95" s="347">
        <f>'Growth Projection'!E$17/12</f>
        <v>126.07102983393997</v>
      </c>
      <c r="F95" s="347">
        <f t="shared" si="11"/>
        <v>115.23877458783379</v>
      </c>
      <c r="G95" s="346" t="str">
        <f t="shared" si="14"/>
        <v/>
      </c>
      <c r="H95" s="347">
        <f t="shared" si="15"/>
        <v>136.68527207569474</v>
      </c>
      <c r="I95" s="347">
        <f t="shared" si="16"/>
        <v>79.065884781777839</v>
      </c>
      <c r="J95" s="347">
        <f t="shared" si="17"/>
        <v>194.30465936961161</v>
      </c>
      <c r="K95" s="347">
        <f t="shared" ref="K95:K126" si="18">IFERROR(K94+L94-F94,"")</f>
        <v>79.065884781777825</v>
      </c>
      <c r="L95" s="347">
        <f t="shared" si="13"/>
        <v>115.23877458783379</v>
      </c>
    </row>
    <row r="96" spans="1:12" x14ac:dyDescent="0.35">
      <c r="A96" s="344">
        <v>44501</v>
      </c>
      <c r="B96" s="345"/>
      <c r="C96" s="346"/>
      <c r="D96" s="425">
        <f>N9</f>
        <v>0.9140781568900137</v>
      </c>
      <c r="E96" s="347">
        <f>'Growth Projection'!E$17/12</f>
        <v>126.07102983393997</v>
      </c>
      <c r="F96" s="347">
        <f t="shared" si="11"/>
        <v>115.23877458783379</v>
      </c>
      <c r="G96" s="346" t="str">
        <f t="shared" si="14"/>
        <v/>
      </c>
      <c r="H96" s="347">
        <f t="shared" si="15"/>
        <v>136.68527207569474</v>
      </c>
      <c r="I96" s="347">
        <f t="shared" si="16"/>
        <v>79.065884781777839</v>
      </c>
      <c r="J96" s="347">
        <f t="shared" si="17"/>
        <v>194.30465936961161</v>
      </c>
      <c r="K96" s="347">
        <f t="shared" si="18"/>
        <v>79.065884781777825</v>
      </c>
      <c r="L96" s="347">
        <f t="shared" si="13"/>
        <v>115.23877458783379</v>
      </c>
    </row>
    <row r="97" spans="1:12" x14ac:dyDescent="0.35">
      <c r="A97" s="344">
        <v>44531</v>
      </c>
      <c r="B97" s="345"/>
      <c r="C97" s="346"/>
      <c r="D97" s="425">
        <f>N8</f>
        <v>1.5306095476663821</v>
      </c>
      <c r="E97" s="347">
        <f>'Growth Projection'!E$17/12</f>
        <v>126.07102983393997</v>
      </c>
      <c r="F97" s="347">
        <f t="shared" si="11"/>
        <v>192.96552194796183</v>
      </c>
      <c r="G97" s="346" t="str">
        <f t="shared" si="14"/>
        <v/>
      </c>
      <c r="H97" s="347">
        <f t="shared" si="15"/>
        <v>228.87734586749224</v>
      </c>
      <c r="I97" s="347">
        <f t="shared" si="16"/>
        <v>132.39458489351131</v>
      </c>
      <c r="J97" s="347">
        <f t="shared" si="17"/>
        <v>325.36010684147311</v>
      </c>
      <c r="K97" s="347">
        <f t="shared" si="18"/>
        <v>79.065884781777825</v>
      </c>
      <c r="L97" s="347">
        <f t="shared" si="13"/>
        <v>246.2942220596953</v>
      </c>
    </row>
    <row r="98" spans="1:12" x14ac:dyDescent="0.35">
      <c r="A98" s="338">
        <v>44562</v>
      </c>
      <c r="B98" s="339"/>
      <c r="C98" s="340"/>
      <c r="D98" s="424">
        <f>N3</f>
        <v>1.123286991062562</v>
      </c>
      <c r="E98" s="341">
        <f>'Growth Projection'!F$17/12</f>
        <v>138.32719497903113</v>
      </c>
      <c r="F98" s="341">
        <f t="shared" si="11"/>
        <v>155.38113863012023</v>
      </c>
      <c r="G98" s="340" t="str">
        <f t="shared" si="14"/>
        <v/>
      </c>
      <c r="H98" s="341">
        <f t="shared" si="15"/>
        <v>184.2983256725071</v>
      </c>
      <c r="I98" s="341">
        <f t="shared" si="16"/>
        <v>106.60775635744699</v>
      </c>
      <c r="J98" s="341">
        <f t="shared" si="17"/>
        <v>261.98889498756722</v>
      </c>
      <c r="K98" s="341">
        <f t="shared" si="18"/>
        <v>132.39458489351128</v>
      </c>
      <c r="L98" s="341">
        <f t="shared" si="13"/>
        <v>129.59431009405594</v>
      </c>
    </row>
    <row r="99" spans="1:12" x14ac:dyDescent="0.35">
      <c r="A99" s="338">
        <v>44593</v>
      </c>
      <c r="B99" s="339"/>
      <c r="C99" s="340"/>
      <c r="D99" s="424">
        <f>N4</f>
        <v>1.2318768619662364</v>
      </c>
      <c r="E99" s="341">
        <f>'Growth Projection'!F$17/12</f>
        <v>138.32719497903113</v>
      </c>
      <c r="F99" s="341">
        <f t="shared" si="11"/>
        <v>170.40207087536061</v>
      </c>
      <c r="G99" s="340" t="str">
        <f t="shared" si="14"/>
        <v/>
      </c>
      <c r="H99" s="341">
        <f t="shared" si="15"/>
        <v>202.11472660278923</v>
      </c>
      <c r="I99" s="341">
        <f t="shared" si="16"/>
        <v>116.91369116510893</v>
      </c>
      <c r="J99" s="341">
        <f t="shared" si="17"/>
        <v>287.31576204046951</v>
      </c>
      <c r="K99" s="341">
        <f t="shared" si="18"/>
        <v>106.60775635744699</v>
      </c>
      <c r="L99" s="341">
        <f t="shared" si="13"/>
        <v>180.70800568302252</v>
      </c>
    </row>
    <row r="100" spans="1:12" x14ac:dyDescent="0.35">
      <c r="A100" s="338">
        <v>44621</v>
      </c>
      <c r="B100" s="339"/>
      <c r="C100" s="340"/>
      <c r="D100" s="424">
        <f>N9</f>
        <v>0.9140781568900137</v>
      </c>
      <c r="E100" s="341">
        <f>'Growth Projection'!F$17/12</f>
        <v>138.32719497903113</v>
      </c>
      <c r="F100" s="341">
        <f t="shared" si="11"/>
        <v>126.44186743419834</v>
      </c>
      <c r="G100" s="340" t="str">
        <f t="shared" si="14"/>
        <v/>
      </c>
      <c r="H100" s="341">
        <f t="shared" si="15"/>
        <v>149.97331509135063</v>
      </c>
      <c r="I100" s="341">
        <f t="shared" si="16"/>
        <v>86.752381374251456</v>
      </c>
      <c r="J100" s="341">
        <f t="shared" si="17"/>
        <v>213.1942488084498</v>
      </c>
      <c r="K100" s="341">
        <f t="shared" si="18"/>
        <v>116.9136911651089</v>
      </c>
      <c r="L100" s="341">
        <f t="shared" si="13"/>
        <v>96.280557643340899</v>
      </c>
    </row>
    <row r="101" spans="1:12" x14ac:dyDescent="0.35">
      <c r="A101" s="338">
        <v>44652</v>
      </c>
      <c r="B101" s="339"/>
      <c r="C101" s="340"/>
      <c r="D101" s="424">
        <f>N9</f>
        <v>0.9140781568900137</v>
      </c>
      <c r="E101" s="341">
        <f>'Growth Projection'!F$17/12</f>
        <v>138.32719497903113</v>
      </c>
      <c r="F101" s="341">
        <f t="shared" si="11"/>
        <v>126.44186743419834</v>
      </c>
      <c r="G101" s="340" t="str">
        <f t="shared" si="14"/>
        <v/>
      </c>
      <c r="H101" s="341">
        <f t="shared" si="15"/>
        <v>149.97331509135063</v>
      </c>
      <c r="I101" s="341">
        <f t="shared" si="16"/>
        <v>86.752381374251456</v>
      </c>
      <c r="J101" s="341">
        <f t="shared" si="17"/>
        <v>213.1942488084498</v>
      </c>
      <c r="K101" s="341">
        <f t="shared" si="18"/>
        <v>86.752381374251456</v>
      </c>
      <c r="L101" s="341">
        <f t="shared" si="13"/>
        <v>126.44186743419834</v>
      </c>
    </row>
    <row r="102" spans="1:12" x14ac:dyDescent="0.35">
      <c r="A102" s="338">
        <v>44682</v>
      </c>
      <c r="B102" s="339"/>
      <c r="C102" s="340"/>
      <c r="D102" s="424">
        <f>N5+N6-100%</f>
        <v>1.2473260091480931</v>
      </c>
      <c r="E102" s="341">
        <f>'Growth Projection'!F$17/12</f>
        <v>138.32719497903113</v>
      </c>
      <c r="F102" s="341">
        <f t="shared" si="11"/>
        <v>172.53910806984504</v>
      </c>
      <c r="G102" s="340" t="str">
        <f t="shared" si="14"/>
        <v/>
      </c>
      <c r="H102" s="341">
        <f t="shared" si="15"/>
        <v>204.6494768325511</v>
      </c>
      <c r="I102" s="341">
        <f t="shared" si="16"/>
        <v>118.37992279762858</v>
      </c>
      <c r="J102" s="341">
        <f t="shared" si="17"/>
        <v>290.91903086747362</v>
      </c>
      <c r="K102" s="341">
        <f t="shared" si="18"/>
        <v>86.752381374251456</v>
      </c>
      <c r="L102" s="341">
        <f t="shared" si="13"/>
        <v>204.16664949322217</v>
      </c>
    </row>
    <row r="103" spans="1:12" x14ac:dyDescent="0.35">
      <c r="A103" s="338">
        <v>44713</v>
      </c>
      <c r="B103" s="339"/>
      <c r="C103" s="340"/>
      <c r="D103" s="424">
        <f>N7</f>
        <v>0.99926686764198613</v>
      </c>
      <c r="E103" s="341">
        <f>'Growth Projection'!F$17/12</f>
        <v>138.32719497903113</v>
      </c>
      <c r="F103" s="341">
        <f t="shared" si="11"/>
        <v>138.22578283639871</v>
      </c>
      <c r="G103" s="340" t="str">
        <f t="shared" si="14"/>
        <v/>
      </c>
      <c r="H103" s="341">
        <f t="shared" si="15"/>
        <v>163.95027457072342</v>
      </c>
      <c r="I103" s="341">
        <f t="shared" si="16"/>
        <v>94.837383152524069</v>
      </c>
      <c r="J103" s="341">
        <f t="shared" si="17"/>
        <v>233.06316598892278</v>
      </c>
      <c r="K103" s="341">
        <f t="shared" si="18"/>
        <v>118.37992279762858</v>
      </c>
      <c r="L103" s="341">
        <f t="shared" si="13"/>
        <v>114.6832431912942</v>
      </c>
    </row>
    <row r="104" spans="1:12" x14ac:dyDescent="0.35">
      <c r="A104" s="338">
        <v>44743</v>
      </c>
      <c r="B104" s="339"/>
      <c r="C104" s="340"/>
      <c r="D104" s="424">
        <f>N9</f>
        <v>0.9140781568900137</v>
      </c>
      <c r="E104" s="341">
        <f>'Growth Projection'!F$17/12</f>
        <v>138.32719497903113</v>
      </c>
      <c r="F104" s="341">
        <f t="shared" si="11"/>
        <v>126.44186743419834</v>
      </c>
      <c r="G104" s="340" t="str">
        <f t="shared" si="14"/>
        <v/>
      </c>
      <c r="H104" s="341">
        <f t="shared" si="15"/>
        <v>149.97331509135063</v>
      </c>
      <c r="I104" s="341">
        <f t="shared" si="16"/>
        <v>86.752381374251456</v>
      </c>
      <c r="J104" s="341">
        <f t="shared" si="17"/>
        <v>213.1942488084498</v>
      </c>
      <c r="K104" s="341">
        <f t="shared" si="18"/>
        <v>94.837383152524069</v>
      </c>
      <c r="L104" s="341">
        <f t="shared" si="13"/>
        <v>118.35686565592573</v>
      </c>
    </row>
    <row r="105" spans="1:12" x14ac:dyDescent="0.35">
      <c r="A105" s="338">
        <v>44774</v>
      </c>
      <c r="B105" s="339"/>
      <c r="C105" s="340"/>
      <c r="D105" s="424">
        <f>N9</f>
        <v>0.9140781568900137</v>
      </c>
      <c r="E105" s="341">
        <f>'Growth Projection'!F$17/12</f>
        <v>138.32719497903113</v>
      </c>
      <c r="F105" s="341">
        <f t="shared" si="11"/>
        <v>126.44186743419834</v>
      </c>
      <c r="G105" s="340" t="str">
        <f t="shared" si="14"/>
        <v/>
      </c>
      <c r="H105" s="341">
        <f t="shared" si="15"/>
        <v>149.97331509135063</v>
      </c>
      <c r="I105" s="341">
        <f t="shared" si="16"/>
        <v>86.752381374251456</v>
      </c>
      <c r="J105" s="341">
        <f t="shared" si="17"/>
        <v>213.1942488084498</v>
      </c>
      <c r="K105" s="341">
        <f t="shared" si="18"/>
        <v>86.752381374251456</v>
      </c>
      <c r="L105" s="341">
        <f t="shared" si="13"/>
        <v>126.44186743419834</v>
      </c>
    </row>
    <row r="106" spans="1:12" x14ac:dyDescent="0.35">
      <c r="A106" s="338">
        <v>44805</v>
      </c>
      <c r="B106" s="339"/>
      <c r="C106" s="340"/>
      <c r="D106" s="424">
        <f>N9</f>
        <v>0.9140781568900137</v>
      </c>
      <c r="E106" s="341">
        <f>'Growth Projection'!F$17/12</f>
        <v>138.32719497903113</v>
      </c>
      <c r="F106" s="341">
        <f t="shared" si="11"/>
        <v>126.44186743419834</v>
      </c>
      <c r="G106" s="340" t="str">
        <f t="shared" si="14"/>
        <v/>
      </c>
      <c r="H106" s="341">
        <f t="shared" si="15"/>
        <v>149.97331509135063</v>
      </c>
      <c r="I106" s="341">
        <f t="shared" si="16"/>
        <v>86.752381374251456</v>
      </c>
      <c r="J106" s="341">
        <f t="shared" si="17"/>
        <v>213.1942488084498</v>
      </c>
      <c r="K106" s="341">
        <f t="shared" si="18"/>
        <v>86.752381374251456</v>
      </c>
      <c r="L106" s="341">
        <f t="shared" si="13"/>
        <v>126.44186743419834</v>
      </c>
    </row>
    <row r="107" spans="1:12" x14ac:dyDescent="0.35">
      <c r="A107" s="338">
        <v>44835</v>
      </c>
      <c r="B107" s="339"/>
      <c r="C107" s="340"/>
      <c r="D107" s="424">
        <f>N9</f>
        <v>0.9140781568900137</v>
      </c>
      <c r="E107" s="341">
        <f>'Growth Projection'!F$17/12</f>
        <v>138.32719497903113</v>
      </c>
      <c r="F107" s="341">
        <f t="shared" si="11"/>
        <v>126.44186743419834</v>
      </c>
      <c r="G107" s="340" t="str">
        <f t="shared" si="14"/>
        <v/>
      </c>
      <c r="H107" s="341">
        <f t="shared" si="15"/>
        <v>149.97331509135063</v>
      </c>
      <c r="I107" s="341">
        <f t="shared" si="16"/>
        <v>86.752381374251456</v>
      </c>
      <c r="J107" s="341">
        <f t="shared" si="17"/>
        <v>213.1942488084498</v>
      </c>
      <c r="K107" s="341">
        <f t="shared" si="18"/>
        <v>86.752381374251456</v>
      </c>
      <c r="L107" s="341">
        <f t="shared" si="13"/>
        <v>126.44186743419834</v>
      </c>
    </row>
    <row r="108" spans="1:12" x14ac:dyDescent="0.35">
      <c r="A108" s="338">
        <v>44866</v>
      </c>
      <c r="B108" s="339"/>
      <c r="C108" s="340"/>
      <c r="D108" s="424">
        <f>N9</f>
        <v>0.9140781568900137</v>
      </c>
      <c r="E108" s="341">
        <f>'Growth Projection'!F$17/12</f>
        <v>138.32719497903113</v>
      </c>
      <c r="F108" s="341">
        <f t="shared" si="11"/>
        <v>126.44186743419834</v>
      </c>
      <c r="G108" s="340" t="str">
        <f t="shared" si="14"/>
        <v/>
      </c>
      <c r="H108" s="341">
        <f t="shared" si="15"/>
        <v>149.97331509135063</v>
      </c>
      <c r="I108" s="341">
        <f t="shared" si="16"/>
        <v>86.752381374251456</v>
      </c>
      <c r="J108" s="341">
        <f t="shared" si="17"/>
        <v>213.1942488084498</v>
      </c>
      <c r="K108" s="341">
        <f t="shared" si="18"/>
        <v>86.752381374251456</v>
      </c>
      <c r="L108" s="341">
        <f t="shared" si="13"/>
        <v>126.44186743419834</v>
      </c>
    </row>
    <row r="109" spans="1:12" x14ac:dyDescent="0.35">
      <c r="A109" s="338">
        <v>44896</v>
      </c>
      <c r="B109" s="339"/>
      <c r="C109" s="340"/>
      <c r="D109" s="424">
        <f>N8</f>
        <v>1.5306095476663821</v>
      </c>
      <c r="E109" s="341">
        <f>'Growth Projection'!F$17/12</f>
        <v>138.32719497903113</v>
      </c>
      <c r="F109" s="341">
        <f t="shared" si="11"/>
        <v>211.72492533681429</v>
      </c>
      <c r="G109" s="340" t="str">
        <f t="shared" si="14"/>
        <v/>
      </c>
      <c r="H109" s="341">
        <f t="shared" si="15"/>
        <v>251.12796563808561</v>
      </c>
      <c r="I109" s="341">
        <f t="shared" si="16"/>
        <v>145.26550296967847</v>
      </c>
      <c r="J109" s="341">
        <f t="shared" si="17"/>
        <v>356.99042830649273</v>
      </c>
      <c r="K109" s="341">
        <f t="shared" si="18"/>
        <v>86.752381374251456</v>
      </c>
      <c r="L109" s="341">
        <f t="shared" si="13"/>
        <v>270.23804693224128</v>
      </c>
    </row>
    <row r="110" spans="1:12" x14ac:dyDescent="0.35">
      <c r="A110" s="344">
        <v>44927</v>
      </c>
      <c r="B110" s="345"/>
      <c r="C110" s="346"/>
      <c r="D110" s="425">
        <f>N3</f>
        <v>1.123286991062562</v>
      </c>
      <c r="E110" s="347">
        <f>'Growth Projection'!G$17/12</f>
        <v>150.58336012412232</v>
      </c>
      <c r="F110" s="347">
        <f t="shared" si="11"/>
        <v>169.14832949791554</v>
      </c>
      <c r="G110" s="346" t="str">
        <f t="shared" si="14"/>
        <v/>
      </c>
      <c r="H110" s="347">
        <f t="shared" si="15"/>
        <v>200.62765784575365</v>
      </c>
      <c r="I110" s="347">
        <f t="shared" si="16"/>
        <v>116.05349309679588</v>
      </c>
      <c r="J110" s="347">
        <f t="shared" si="17"/>
        <v>285.20182259471142</v>
      </c>
      <c r="K110" s="347">
        <f t="shared" si="18"/>
        <v>145.26550296967844</v>
      </c>
      <c r="L110" s="347">
        <f t="shared" si="13"/>
        <v>139.93631962503298</v>
      </c>
    </row>
    <row r="111" spans="1:12" x14ac:dyDescent="0.35">
      <c r="A111" s="344">
        <v>44958</v>
      </c>
      <c r="B111" s="345"/>
      <c r="C111" s="346"/>
      <c r="D111" s="425">
        <f>N4</f>
        <v>1.2318768619662364</v>
      </c>
      <c r="E111" s="347">
        <f>'Growth Projection'!G$17/12</f>
        <v>150.58336012412232</v>
      </c>
      <c r="F111" s="347">
        <f t="shared" si="11"/>
        <v>185.5001571340355</v>
      </c>
      <c r="G111" s="346" t="str">
        <f t="shared" si="14"/>
        <v/>
      </c>
      <c r="H111" s="347">
        <f t="shared" si="15"/>
        <v>220.02264028436321</v>
      </c>
      <c r="I111" s="347">
        <f t="shared" si="16"/>
        <v>127.27256171734545</v>
      </c>
      <c r="J111" s="347">
        <f t="shared" si="17"/>
        <v>312.77271885138094</v>
      </c>
      <c r="K111" s="347">
        <f t="shared" si="18"/>
        <v>116.05349309679588</v>
      </c>
      <c r="L111" s="347">
        <f t="shared" si="13"/>
        <v>196.71922575458507</v>
      </c>
    </row>
    <row r="112" spans="1:12" x14ac:dyDescent="0.35">
      <c r="A112" s="344">
        <v>44986</v>
      </c>
      <c r="B112" s="345"/>
      <c r="C112" s="346"/>
      <c r="D112" s="425">
        <f>N9</f>
        <v>0.9140781568900137</v>
      </c>
      <c r="E112" s="347">
        <f>'Growth Projection'!G$17/12</f>
        <v>150.58336012412232</v>
      </c>
      <c r="F112" s="347">
        <f t="shared" si="11"/>
        <v>137.64496028056291</v>
      </c>
      <c r="G112" s="346" t="str">
        <f t="shared" si="14"/>
        <v/>
      </c>
      <c r="H112" s="347">
        <f t="shared" si="15"/>
        <v>163.26135810700654</v>
      </c>
      <c r="I112" s="347">
        <f t="shared" si="16"/>
        <v>94.438877966725087</v>
      </c>
      <c r="J112" s="347">
        <f t="shared" si="17"/>
        <v>232.08383824728799</v>
      </c>
      <c r="K112" s="347">
        <f t="shared" si="18"/>
        <v>127.27256171734544</v>
      </c>
      <c r="L112" s="347">
        <f t="shared" si="13"/>
        <v>104.81127652994255</v>
      </c>
    </row>
    <row r="113" spans="1:12" x14ac:dyDescent="0.35">
      <c r="A113" s="344">
        <v>45017</v>
      </c>
      <c r="B113" s="345"/>
      <c r="C113" s="346"/>
      <c r="D113" s="425">
        <f>N6</f>
        <v>1.140613293533254</v>
      </c>
      <c r="E113" s="347">
        <f>'Growth Projection'!G$17/12</f>
        <v>150.58336012412232</v>
      </c>
      <c r="F113" s="347">
        <f t="shared" si="11"/>
        <v>171.75738234247925</v>
      </c>
      <c r="G113" s="346" t="str">
        <f t="shared" si="14"/>
        <v/>
      </c>
      <c r="H113" s="347">
        <f t="shared" si="15"/>
        <v>203.72226813811878</v>
      </c>
      <c r="I113" s="347">
        <f t="shared" si="16"/>
        <v>117.84357696687916</v>
      </c>
      <c r="J113" s="347">
        <f t="shared" si="17"/>
        <v>289.60095930935842</v>
      </c>
      <c r="K113" s="347">
        <f t="shared" si="18"/>
        <v>94.438877966725073</v>
      </c>
      <c r="L113" s="347">
        <f t="shared" si="13"/>
        <v>195.16208134263334</v>
      </c>
    </row>
    <row r="114" spans="1:12" x14ac:dyDescent="0.35">
      <c r="A114" s="344">
        <v>45047</v>
      </c>
      <c r="B114" s="345"/>
      <c r="C114" s="346"/>
      <c r="D114" s="425">
        <f>N5</f>
        <v>1.1067127156148391</v>
      </c>
      <c r="E114" s="347">
        <f>'Growth Projection'!G$17/12</f>
        <v>150.58336012412232</v>
      </c>
      <c r="F114" s="347">
        <f t="shared" si="11"/>
        <v>166.65251940937469</v>
      </c>
      <c r="G114" s="346" t="str">
        <f t="shared" ref="G114:G145" si="19">IF(OR(C114="",D114=""),"",C114-D114)</f>
        <v/>
      </c>
      <c r="H114" s="347">
        <f t="shared" si="15"/>
        <v>197.66736533811806</v>
      </c>
      <c r="I114" s="347">
        <f t="shared" si="16"/>
        <v>114.34110563343071</v>
      </c>
      <c r="J114" s="347">
        <f t="shared" si="17"/>
        <v>280.99362504280543</v>
      </c>
      <c r="K114" s="347">
        <f t="shared" si="18"/>
        <v>117.84357696687917</v>
      </c>
      <c r="L114" s="347">
        <f t="shared" si="13"/>
        <v>163.15004807592626</v>
      </c>
    </row>
    <row r="115" spans="1:12" x14ac:dyDescent="0.35">
      <c r="A115" s="344">
        <v>45078</v>
      </c>
      <c r="B115" s="345"/>
      <c r="C115" s="346"/>
      <c r="D115" s="425">
        <f>N7</f>
        <v>0.99926686764198613</v>
      </c>
      <c r="E115" s="347">
        <f>'Growth Projection'!G$17/12</f>
        <v>150.58336012412232</v>
      </c>
      <c r="F115" s="347">
        <f t="shared" si="11"/>
        <v>150.47296259023688</v>
      </c>
      <c r="G115" s="346" t="str">
        <f t="shared" si="19"/>
        <v/>
      </c>
      <c r="H115" s="347">
        <f t="shared" si="15"/>
        <v>178.47671415497462</v>
      </c>
      <c r="I115" s="347">
        <f t="shared" si="16"/>
        <v>103.24023285985618</v>
      </c>
      <c r="J115" s="347">
        <f t="shared" si="17"/>
        <v>253.71319545009305</v>
      </c>
      <c r="K115" s="347">
        <f t="shared" si="18"/>
        <v>114.34110563343074</v>
      </c>
      <c r="L115" s="347">
        <f t="shared" si="13"/>
        <v>139.37208981666231</v>
      </c>
    </row>
    <row r="116" spans="1:12" x14ac:dyDescent="0.35">
      <c r="A116" s="344">
        <v>45108</v>
      </c>
      <c r="B116" s="345"/>
      <c r="C116" s="346"/>
      <c r="D116" s="425">
        <f>N9</f>
        <v>0.9140781568900137</v>
      </c>
      <c r="E116" s="347">
        <f>'Growth Projection'!G$17/12</f>
        <v>150.58336012412232</v>
      </c>
      <c r="F116" s="347">
        <f t="shared" si="11"/>
        <v>137.64496028056291</v>
      </c>
      <c r="G116" s="346" t="str">
        <f t="shared" si="19"/>
        <v/>
      </c>
      <c r="H116" s="347">
        <f t="shared" si="15"/>
        <v>163.26135810700654</v>
      </c>
      <c r="I116" s="347">
        <f t="shared" si="16"/>
        <v>94.438877966725087</v>
      </c>
      <c r="J116" s="347">
        <f t="shared" si="17"/>
        <v>232.08383824728799</v>
      </c>
      <c r="K116" s="347">
        <f t="shared" si="18"/>
        <v>103.24023285985618</v>
      </c>
      <c r="L116" s="347">
        <f t="shared" si="13"/>
        <v>128.84360538743181</v>
      </c>
    </row>
    <row r="117" spans="1:12" x14ac:dyDescent="0.35">
      <c r="A117" s="344">
        <v>45139</v>
      </c>
      <c r="B117" s="345"/>
      <c r="C117" s="346"/>
      <c r="D117" s="425">
        <f>N9</f>
        <v>0.9140781568900137</v>
      </c>
      <c r="E117" s="347">
        <f>'Growth Projection'!G$17/12</f>
        <v>150.58336012412232</v>
      </c>
      <c r="F117" s="347">
        <f t="shared" si="11"/>
        <v>137.64496028056291</v>
      </c>
      <c r="G117" s="346" t="str">
        <f t="shared" si="19"/>
        <v/>
      </c>
      <c r="H117" s="347">
        <f t="shared" si="15"/>
        <v>163.26135810700654</v>
      </c>
      <c r="I117" s="347">
        <f t="shared" si="16"/>
        <v>94.438877966725087</v>
      </c>
      <c r="J117" s="347">
        <f t="shared" si="17"/>
        <v>232.08383824728799</v>
      </c>
      <c r="K117" s="347">
        <f t="shared" si="18"/>
        <v>94.438877966725073</v>
      </c>
      <c r="L117" s="347">
        <f t="shared" si="13"/>
        <v>137.64496028056291</v>
      </c>
    </row>
    <row r="118" spans="1:12" x14ac:dyDescent="0.35">
      <c r="A118" s="344">
        <v>45170</v>
      </c>
      <c r="B118" s="345"/>
      <c r="C118" s="346"/>
      <c r="D118" s="425">
        <f>N9</f>
        <v>0.9140781568900137</v>
      </c>
      <c r="E118" s="347">
        <f>'Growth Projection'!G$17/12</f>
        <v>150.58336012412232</v>
      </c>
      <c r="F118" s="347">
        <f t="shared" si="11"/>
        <v>137.64496028056291</v>
      </c>
      <c r="G118" s="346" t="str">
        <f t="shared" si="19"/>
        <v/>
      </c>
      <c r="H118" s="347">
        <f t="shared" si="15"/>
        <v>163.26135810700654</v>
      </c>
      <c r="I118" s="347">
        <f t="shared" si="16"/>
        <v>94.438877966725087</v>
      </c>
      <c r="J118" s="347">
        <f t="shared" si="17"/>
        <v>232.08383824728799</v>
      </c>
      <c r="K118" s="347">
        <f t="shared" si="18"/>
        <v>94.438877966725073</v>
      </c>
      <c r="L118" s="347">
        <f t="shared" si="13"/>
        <v>137.64496028056291</v>
      </c>
    </row>
    <row r="119" spans="1:12" x14ac:dyDescent="0.35">
      <c r="A119" s="344">
        <v>45200</v>
      </c>
      <c r="B119" s="345"/>
      <c r="C119" s="346"/>
      <c r="D119" s="425">
        <f>N9</f>
        <v>0.9140781568900137</v>
      </c>
      <c r="E119" s="347">
        <f>'Growth Projection'!G$17/12</f>
        <v>150.58336012412232</v>
      </c>
      <c r="F119" s="347">
        <f t="shared" si="11"/>
        <v>137.64496028056291</v>
      </c>
      <c r="G119" s="346" t="str">
        <f t="shared" si="19"/>
        <v/>
      </c>
      <c r="H119" s="347">
        <f t="shared" si="15"/>
        <v>163.26135810700654</v>
      </c>
      <c r="I119" s="347">
        <f t="shared" si="16"/>
        <v>94.438877966725087</v>
      </c>
      <c r="J119" s="347">
        <f t="shared" si="17"/>
        <v>232.08383824728799</v>
      </c>
      <c r="K119" s="347">
        <f t="shared" si="18"/>
        <v>94.438877966725073</v>
      </c>
      <c r="L119" s="347">
        <f t="shared" si="13"/>
        <v>137.64496028056291</v>
      </c>
    </row>
    <row r="120" spans="1:12" x14ac:dyDescent="0.35">
      <c r="A120" s="344">
        <v>45231</v>
      </c>
      <c r="B120" s="345"/>
      <c r="C120" s="346"/>
      <c r="D120" s="425">
        <f>N9</f>
        <v>0.9140781568900137</v>
      </c>
      <c r="E120" s="347">
        <f>'Growth Projection'!G$17/12</f>
        <v>150.58336012412232</v>
      </c>
      <c r="F120" s="347">
        <f t="shared" si="11"/>
        <v>137.64496028056291</v>
      </c>
      <c r="G120" s="346" t="str">
        <f t="shared" si="19"/>
        <v/>
      </c>
      <c r="H120" s="347">
        <f t="shared" si="15"/>
        <v>163.26135810700654</v>
      </c>
      <c r="I120" s="347">
        <f t="shared" si="16"/>
        <v>94.438877966725087</v>
      </c>
      <c r="J120" s="347">
        <f t="shared" si="17"/>
        <v>232.08383824728799</v>
      </c>
      <c r="K120" s="347">
        <f t="shared" si="18"/>
        <v>94.438877966725073</v>
      </c>
      <c r="L120" s="347">
        <f t="shared" si="13"/>
        <v>137.64496028056291</v>
      </c>
    </row>
    <row r="121" spans="1:12" x14ac:dyDescent="0.35">
      <c r="A121" s="344">
        <v>45261</v>
      </c>
      <c r="B121" s="345"/>
      <c r="C121" s="346"/>
      <c r="D121" s="425">
        <f>N8</f>
        <v>1.5306095476663821</v>
      </c>
      <c r="E121" s="347">
        <f>'Growth Projection'!G$17/12</f>
        <v>150.58336012412232</v>
      </c>
      <c r="F121" s="347">
        <f t="shared" si="11"/>
        <v>230.48432872566678</v>
      </c>
      <c r="G121" s="346" t="str">
        <f t="shared" si="19"/>
        <v/>
      </c>
      <c r="H121" s="347">
        <f t="shared" si="15"/>
        <v>273.37858540867904</v>
      </c>
      <c r="I121" s="347">
        <f t="shared" si="16"/>
        <v>158.13642104584565</v>
      </c>
      <c r="J121" s="347">
        <f t="shared" si="17"/>
        <v>388.62074977151246</v>
      </c>
      <c r="K121" s="347">
        <f t="shared" si="18"/>
        <v>94.438877966725073</v>
      </c>
      <c r="L121" s="347">
        <f t="shared" si="13"/>
        <v>294.18187180478742</v>
      </c>
    </row>
    <row r="122" spans="1:12" x14ac:dyDescent="0.35">
      <c r="A122" s="338">
        <v>45292</v>
      </c>
      <c r="B122" s="339"/>
      <c r="C122" s="340"/>
      <c r="D122" s="424">
        <f>N9</f>
        <v>0.9140781568900137</v>
      </c>
      <c r="E122" s="341">
        <f>'Growth Projection'!H$17/12</f>
        <v>162.83952526920862</v>
      </c>
      <c r="F122" s="341">
        <f t="shared" si="11"/>
        <v>148.84805312692302</v>
      </c>
      <c r="G122" s="340" t="str">
        <f t="shared" si="19"/>
        <v/>
      </c>
      <c r="H122" s="341">
        <f t="shared" si="15"/>
        <v>176.54940112265717</v>
      </c>
      <c r="I122" s="341">
        <f t="shared" si="16"/>
        <v>102.12537455919566</v>
      </c>
      <c r="J122" s="341">
        <f t="shared" si="17"/>
        <v>250.97342768611867</v>
      </c>
      <c r="K122" s="341">
        <f t="shared" si="18"/>
        <v>158.13642104584568</v>
      </c>
      <c r="L122" s="341">
        <f t="shared" si="13"/>
        <v>92.837006640272989</v>
      </c>
    </row>
    <row r="123" spans="1:12" x14ac:dyDescent="0.35">
      <c r="A123" s="338">
        <v>45323</v>
      </c>
      <c r="B123" s="339"/>
      <c r="C123" s="340"/>
      <c r="D123" s="424">
        <f>N3+N4-100%</f>
        <v>1.3551638530287984</v>
      </c>
      <c r="E123" s="341">
        <f>'Growth Projection'!H$17/12</f>
        <v>162.83952526920862</v>
      </c>
      <c r="F123" s="341">
        <f t="shared" si="11"/>
        <v>220.67423848920114</v>
      </c>
      <c r="G123" s="340" t="str">
        <f t="shared" si="19"/>
        <v/>
      </c>
      <c r="H123" s="341">
        <f t="shared" si="15"/>
        <v>261.74278957646624</v>
      </c>
      <c r="I123" s="341">
        <f t="shared" si="16"/>
        <v>151.40567033186568</v>
      </c>
      <c r="J123" s="341">
        <f t="shared" si="17"/>
        <v>372.07990882106685</v>
      </c>
      <c r="K123" s="341">
        <f t="shared" si="18"/>
        <v>102.12537455919565</v>
      </c>
      <c r="L123" s="341">
        <f t="shared" si="13"/>
        <v>269.95453426187123</v>
      </c>
    </row>
    <row r="124" spans="1:12" x14ac:dyDescent="0.35">
      <c r="A124" s="338">
        <v>45352</v>
      </c>
      <c r="B124" s="339"/>
      <c r="C124" s="340"/>
      <c r="D124" s="424">
        <f>N9</f>
        <v>0.9140781568900137</v>
      </c>
      <c r="E124" s="341">
        <f>'Growth Projection'!H$17/12</f>
        <v>162.83952526920862</v>
      </c>
      <c r="F124" s="341">
        <f t="shared" si="11"/>
        <v>148.84805312692302</v>
      </c>
      <c r="G124" s="340" t="str">
        <f t="shared" si="19"/>
        <v/>
      </c>
      <c r="H124" s="341">
        <f t="shared" si="15"/>
        <v>176.54940112265717</v>
      </c>
      <c r="I124" s="341">
        <f t="shared" si="16"/>
        <v>102.12537455919566</v>
      </c>
      <c r="J124" s="341">
        <f t="shared" si="17"/>
        <v>250.97342768611867</v>
      </c>
      <c r="K124" s="341">
        <f t="shared" si="18"/>
        <v>151.40567033186571</v>
      </c>
      <c r="L124" s="341">
        <f t="shared" si="13"/>
        <v>99.567757354252961</v>
      </c>
    </row>
    <row r="125" spans="1:12" x14ac:dyDescent="0.35">
      <c r="A125" s="338">
        <v>45383</v>
      </c>
      <c r="B125" s="339"/>
      <c r="C125" s="340"/>
      <c r="D125" s="424">
        <f>N9</f>
        <v>0.9140781568900137</v>
      </c>
      <c r="E125" s="341">
        <f>'Growth Projection'!H$17/12</f>
        <v>162.83952526920862</v>
      </c>
      <c r="F125" s="341">
        <f t="shared" si="11"/>
        <v>148.84805312692302</v>
      </c>
      <c r="G125" s="340" t="str">
        <f t="shared" si="19"/>
        <v/>
      </c>
      <c r="H125" s="341">
        <f t="shared" si="15"/>
        <v>176.54940112265717</v>
      </c>
      <c r="I125" s="341">
        <f t="shared" si="16"/>
        <v>102.12537455919566</v>
      </c>
      <c r="J125" s="341">
        <f t="shared" si="17"/>
        <v>250.97342768611867</v>
      </c>
      <c r="K125" s="341">
        <f t="shared" si="18"/>
        <v>102.12537455919565</v>
      </c>
      <c r="L125" s="341">
        <f t="shared" si="13"/>
        <v>148.84805312692302</v>
      </c>
    </row>
    <row r="126" spans="1:12" x14ac:dyDescent="0.35">
      <c r="A126" s="338">
        <v>45413</v>
      </c>
      <c r="B126" s="339"/>
      <c r="C126" s="340"/>
      <c r="D126" s="424">
        <f>N5</f>
        <v>1.1067127156148391</v>
      </c>
      <c r="E126" s="341">
        <f>'Growth Projection'!H$17/12</f>
        <v>162.83952526920862</v>
      </c>
      <c r="F126" s="341">
        <f t="shared" si="11"/>
        <v>180.21657322011708</v>
      </c>
      <c r="G126" s="340" t="str">
        <f t="shared" si="19"/>
        <v/>
      </c>
      <c r="H126" s="341">
        <f t="shared" ref="H126:H157" si="20">IFERROR(F126+2*N$12*F126,"")</f>
        <v>213.75575565814515</v>
      </c>
      <c r="I126" s="341">
        <f t="shared" ref="I126:I157" si="21">IFERROR(IF(OR(ISBLANK(H126),ISBLANK(F126)),"",(H126*N$14)-(N$13*F126)),"")</f>
        <v>123.64746904808661</v>
      </c>
      <c r="J126" s="341">
        <f t="shared" ref="J126:J157" si="22">IFERROR(F126+I126,"")</f>
        <v>303.86404226820366</v>
      </c>
      <c r="K126" s="341">
        <f t="shared" si="18"/>
        <v>102.12537455919565</v>
      </c>
      <c r="L126" s="341">
        <f t="shared" si="13"/>
        <v>201.73866770900801</v>
      </c>
    </row>
    <row r="127" spans="1:12" x14ac:dyDescent="0.35">
      <c r="A127" s="338">
        <v>45444</v>
      </c>
      <c r="B127" s="339"/>
      <c r="C127" s="340"/>
      <c r="D127" s="424">
        <f>N7</f>
        <v>0.99926686764198613</v>
      </c>
      <c r="E127" s="341">
        <f>'Growth Projection'!H$17/12</f>
        <v>162.83952526920862</v>
      </c>
      <c r="F127" s="341">
        <f t="shared" ref="F127:F181" si="23">IFERROR(E127*D127,"")</f>
        <v>162.72014234407015</v>
      </c>
      <c r="G127" s="340" t="str">
        <f t="shared" si="19"/>
        <v/>
      </c>
      <c r="H127" s="341">
        <f t="shared" si="20"/>
        <v>193.00315373922001</v>
      </c>
      <c r="I127" s="341">
        <f t="shared" si="21"/>
        <v>111.64308256718493</v>
      </c>
      <c r="J127" s="341">
        <f t="shared" si="22"/>
        <v>274.36322491125509</v>
      </c>
      <c r="K127" s="341">
        <f t="shared" ref="K127:K158" si="24">IFERROR(K126+L126-F126,"")</f>
        <v>123.64746904808658</v>
      </c>
      <c r="L127" s="341">
        <f t="shared" ref="L127:L190" si="25">IF(OR(J127="",K127=""),"",IF(J127&gt;K127,J127-K127,0))</f>
        <v>150.71575586316851</v>
      </c>
    </row>
    <row r="128" spans="1:12" x14ac:dyDescent="0.35">
      <c r="A128" s="338">
        <v>45474</v>
      </c>
      <c r="B128" s="339"/>
      <c r="C128" s="340"/>
      <c r="D128" s="424">
        <f>N9</f>
        <v>0.9140781568900137</v>
      </c>
      <c r="E128" s="341">
        <f>'Growth Projection'!H$17/12</f>
        <v>162.83952526920862</v>
      </c>
      <c r="F128" s="341">
        <f t="shared" si="23"/>
        <v>148.84805312692302</v>
      </c>
      <c r="G128" s="340" t="str">
        <f t="shared" si="19"/>
        <v/>
      </c>
      <c r="H128" s="341">
        <f t="shared" si="20"/>
        <v>176.54940112265717</v>
      </c>
      <c r="I128" s="341">
        <f t="shared" si="21"/>
        <v>102.12537455919566</v>
      </c>
      <c r="J128" s="341">
        <f t="shared" si="22"/>
        <v>250.97342768611867</v>
      </c>
      <c r="K128" s="341">
        <f t="shared" si="24"/>
        <v>111.64308256718493</v>
      </c>
      <c r="L128" s="341">
        <f t="shared" si="25"/>
        <v>139.33034511893374</v>
      </c>
    </row>
    <row r="129" spans="1:12" x14ac:dyDescent="0.35">
      <c r="A129" s="338">
        <v>45505</v>
      </c>
      <c r="B129" s="339"/>
      <c r="C129" s="340"/>
      <c r="D129" s="424">
        <f>N9</f>
        <v>0.9140781568900137</v>
      </c>
      <c r="E129" s="341">
        <f>'Growth Projection'!H$17/12</f>
        <v>162.83952526920862</v>
      </c>
      <c r="F129" s="341">
        <f t="shared" si="23"/>
        <v>148.84805312692302</v>
      </c>
      <c r="G129" s="340" t="str">
        <f t="shared" si="19"/>
        <v/>
      </c>
      <c r="H129" s="341">
        <f t="shared" si="20"/>
        <v>176.54940112265717</v>
      </c>
      <c r="I129" s="341">
        <f t="shared" si="21"/>
        <v>102.12537455919566</v>
      </c>
      <c r="J129" s="341">
        <f t="shared" si="22"/>
        <v>250.97342768611867</v>
      </c>
      <c r="K129" s="341">
        <f t="shared" si="24"/>
        <v>102.12537455919565</v>
      </c>
      <c r="L129" s="341">
        <f t="shared" si="25"/>
        <v>148.84805312692302</v>
      </c>
    </row>
    <row r="130" spans="1:12" x14ac:dyDescent="0.35">
      <c r="A130" s="338">
        <v>45536</v>
      </c>
      <c r="B130" s="339"/>
      <c r="C130" s="340"/>
      <c r="D130" s="424">
        <f>N9</f>
        <v>0.9140781568900137</v>
      </c>
      <c r="E130" s="341">
        <f>'Growth Projection'!H$17/12</f>
        <v>162.83952526920862</v>
      </c>
      <c r="F130" s="341">
        <f t="shared" si="23"/>
        <v>148.84805312692302</v>
      </c>
      <c r="G130" s="340" t="str">
        <f t="shared" si="19"/>
        <v/>
      </c>
      <c r="H130" s="341">
        <f t="shared" si="20"/>
        <v>176.54940112265717</v>
      </c>
      <c r="I130" s="341">
        <f t="shared" si="21"/>
        <v>102.12537455919566</v>
      </c>
      <c r="J130" s="341">
        <f t="shared" si="22"/>
        <v>250.97342768611867</v>
      </c>
      <c r="K130" s="341">
        <f t="shared" si="24"/>
        <v>102.12537455919565</v>
      </c>
      <c r="L130" s="341">
        <f t="shared" si="25"/>
        <v>148.84805312692302</v>
      </c>
    </row>
    <row r="131" spans="1:12" x14ac:dyDescent="0.35">
      <c r="A131" s="338">
        <v>45566</v>
      </c>
      <c r="B131" s="339"/>
      <c r="C131" s="340"/>
      <c r="D131" s="424">
        <f>N9</f>
        <v>0.9140781568900137</v>
      </c>
      <c r="E131" s="341">
        <f>'Growth Projection'!H$17/12</f>
        <v>162.83952526920862</v>
      </c>
      <c r="F131" s="341">
        <f t="shared" si="23"/>
        <v>148.84805312692302</v>
      </c>
      <c r="G131" s="340" t="str">
        <f t="shared" si="19"/>
        <v/>
      </c>
      <c r="H131" s="341">
        <f t="shared" si="20"/>
        <v>176.54940112265717</v>
      </c>
      <c r="I131" s="341">
        <f t="shared" si="21"/>
        <v>102.12537455919566</v>
      </c>
      <c r="J131" s="341">
        <f t="shared" si="22"/>
        <v>250.97342768611867</v>
      </c>
      <c r="K131" s="341">
        <f t="shared" si="24"/>
        <v>102.12537455919565</v>
      </c>
      <c r="L131" s="341">
        <f t="shared" si="25"/>
        <v>148.84805312692302</v>
      </c>
    </row>
    <row r="132" spans="1:12" x14ac:dyDescent="0.35">
      <c r="A132" s="338">
        <v>45597</v>
      </c>
      <c r="B132" s="339"/>
      <c r="C132" s="340"/>
      <c r="D132" s="424">
        <f>N9</f>
        <v>0.9140781568900137</v>
      </c>
      <c r="E132" s="341">
        <f>'Growth Projection'!H$17/12</f>
        <v>162.83952526920862</v>
      </c>
      <c r="F132" s="341">
        <f t="shared" si="23"/>
        <v>148.84805312692302</v>
      </c>
      <c r="G132" s="340" t="str">
        <f t="shared" si="19"/>
        <v/>
      </c>
      <c r="H132" s="341">
        <f t="shared" si="20"/>
        <v>176.54940112265717</v>
      </c>
      <c r="I132" s="341">
        <f t="shared" si="21"/>
        <v>102.12537455919566</v>
      </c>
      <c r="J132" s="341">
        <f t="shared" si="22"/>
        <v>250.97342768611867</v>
      </c>
      <c r="K132" s="341">
        <f t="shared" si="24"/>
        <v>102.12537455919565</v>
      </c>
      <c r="L132" s="341">
        <f t="shared" si="25"/>
        <v>148.84805312692302</v>
      </c>
    </row>
    <row r="133" spans="1:12" x14ac:dyDescent="0.35">
      <c r="A133" s="338">
        <v>45627</v>
      </c>
      <c r="B133" s="339"/>
      <c r="C133" s="340"/>
      <c r="D133" s="424">
        <f>N8</f>
        <v>1.5306095476663821</v>
      </c>
      <c r="E133" s="341">
        <f>'Growth Projection'!H$17/12</f>
        <v>162.83952526920862</v>
      </c>
      <c r="F133" s="341">
        <f t="shared" si="23"/>
        <v>249.2437321145118</v>
      </c>
      <c r="G133" s="340" t="str">
        <f t="shared" si="19"/>
        <v/>
      </c>
      <c r="H133" s="341">
        <f t="shared" si="20"/>
        <v>295.62920517926358</v>
      </c>
      <c r="I133" s="341">
        <f t="shared" si="21"/>
        <v>171.00733912200769</v>
      </c>
      <c r="J133" s="341">
        <f t="shared" si="22"/>
        <v>420.25107123651946</v>
      </c>
      <c r="K133" s="341">
        <f t="shared" si="24"/>
        <v>102.12537455919565</v>
      </c>
      <c r="L133" s="341">
        <f t="shared" si="25"/>
        <v>318.12569667732384</v>
      </c>
    </row>
    <row r="134" spans="1:12" x14ac:dyDescent="0.35">
      <c r="A134" s="344">
        <v>45658</v>
      </c>
      <c r="B134" s="345"/>
      <c r="C134" s="346"/>
      <c r="D134" s="425">
        <f>N3</f>
        <v>1.123286991062562</v>
      </c>
      <c r="E134" s="347">
        <f>'Growth Projection'!I$17/12</f>
        <v>175.09569041429981</v>
      </c>
      <c r="F134" s="347">
        <f t="shared" si="23"/>
        <v>196.68271123350073</v>
      </c>
      <c r="G134" s="346" t="str">
        <f t="shared" si="19"/>
        <v/>
      </c>
      <c r="H134" s="347">
        <f t="shared" si="20"/>
        <v>233.28632219224033</v>
      </c>
      <c r="I134" s="347">
        <f t="shared" si="21"/>
        <v>134.94496657548996</v>
      </c>
      <c r="J134" s="347">
        <f t="shared" si="22"/>
        <v>331.62767780899071</v>
      </c>
      <c r="K134" s="347">
        <f t="shared" si="24"/>
        <v>171.00733912200766</v>
      </c>
      <c r="L134" s="347">
        <f t="shared" si="25"/>
        <v>160.62033868698305</v>
      </c>
    </row>
    <row r="135" spans="1:12" x14ac:dyDescent="0.35">
      <c r="A135" s="344">
        <v>45689</v>
      </c>
      <c r="B135" s="345"/>
      <c r="C135" s="346"/>
      <c r="D135" s="425">
        <f>N4</f>
        <v>1.2318768619662364</v>
      </c>
      <c r="E135" s="347">
        <f>'Growth Projection'!I$17/12</f>
        <v>175.09569041429981</v>
      </c>
      <c r="F135" s="347">
        <f t="shared" si="23"/>
        <v>215.69632965137927</v>
      </c>
      <c r="G135" s="346" t="str">
        <f t="shared" si="19"/>
        <v/>
      </c>
      <c r="H135" s="347">
        <f t="shared" si="20"/>
        <v>255.83846764750399</v>
      </c>
      <c r="I135" s="347">
        <f t="shared" si="21"/>
        <v>147.99030282181434</v>
      </c>
      <c r="J135" s="347">
        <f t="shared" si="22"/>
        <v>363.68663247319364</v>
      </c>
      <c r="K135" s="347">
        <f t="shared" si="24"/>
        <v>134.94496657548999</v>
      </c>
      <c r="L135" s="347">
        <f t="shared" si="25"/>
        <v>228.74166589770365</v>
      </c>
    </row>
    <row r="136" spans="1:12" x14ac:dyDescent="0.35">
      <c r="A136" s="344">
        <v>45717</v>
      </c>
      <c r="B136" s="345"/>
      <c r="C136" s="346"/>
      <c r="D136" s="425">
        <f>N6</f>
        <v>1.140613293533254</v>
      </c>
      <c r="E136" s="347">
        <f>'Growth Projection'!I$17/12</f>
        <v>175.09569041429981</v>
      </c>
      <c r="F136" s="347">
        <f t="shared" si="23"/>
        <v>199.71647212693352</v>
      </c>
      <c r="G136" s="346" t="str">
        <f t="shared" si="19"/>
        <v/>
      </c>
      <c r="H136" s="347">
        <f t="shared" si="20"/>
        <v>236.88468077089223</v>
      </c>
      <c r="I136" s="347">
        <f t="shared" si="21"/>
        <v>137.02644470742547</v>
      </c>
      <c r="J136" s="347">
        <f t="shared" si="22"/>
        <v>336.74291683435899</v>
      </c>
      <c r="K136" s="347">
        <f t="shared" si="24"/>
        <v>147.99030282181437</v>
      </c>
      <c r="L136" s="347">
        <f t="shared" si="25"/>
        <v>188.75261401254463</v>
      </c>
    </row>
    <row r="137" spans="1:12" x14ac:dyDescent="0.35">
      <c r="A137" s="344">
        <v>45748</v>
      </c>
      <c r="B137" s="345"/>
      <c r="C137" s="346"/>
      <c r="D137" s="425">
        <f>N9</f>
        <v>0.9140781568900137</v>
      </c>
      <c r="E137" s="347">
        <f>'Growth Projection'!I$17/12</f>
        <v>175.09569041429981</v>
      </c>
      <c r="F137" s="347">
        <f t="shared" si="23"/>
        <v>160.05114597328762</v>
      </c>
      <c r="G137" s="346" t="str">
        <f t="shared" si="19"/>
        <v/>
      </c>
      <c r="H137" s="347">
        <f t="shared" si="20"/>
        <v>189.83744413831312</v>
      </c>
      <c r="I137" s="347">
        <f t="shared" si="21"/>
        <v>109.81187115166931</v>
      </c>
      <c r="J137" s="347">
        <f t="shared" si="22"/>
        <v>269.86301712495691</v>
      </c>
      <c r="K137" s="347">
        <f t="shared" si="24"/>
        <v>137.02644470742547</v>
      </c>
      <c r="L137" s="347">
        <f t="shared" si="25"/>
        <v>132.83657241753144</v>
      </c>
    </row>
    <row r="138" spans="1:12" x14ac:dyDescent="0.35">
      <c r="A138" s="344">
        <v>45778</v>
      </c>
      <c r="B138" s="345"/>
      <c r="C138" s="346"/>
      <c r="D138" s="425">
        <f>N5</f>
        <v>1.1067127156148391</v>
      </c>
      <c r="E138" s="347">
        <f>'Growth Projection'!I$17/12</f>
        <v>175.09569041429981</v>
      </c>
      <c r="F138" s="347">
        <f t="shared" si="23"/>
        <v>193.78062703086488</v>
      </c>
      <c r="G138" s="346" t="str">
        <f t="shared" si="19"/>
        <v/>
      </c>
      <c r="H138" s="347">
        <f t="shared" si="20"/>
        <v>229.84414597817863</v>
      </c>
      <c r="I138" s="347">
        <f t="shared" si="21"/>
        <v>132.95383246274619</v>
      </c>
      <c r="J138" s="347">
        <f t="shared" si="22"/>
        <v>326.7344594936111</v>
      </c>
      <c r="K138" s="347">
        <f t="shared" si="24"/>
        <v>109.81187115166929</v>
      </c>
      <c r="L138" s="347">
        <f t="shared" si="25"/>
        <v>216.9225883419418</v>
      </c>
    </row>
    <row r="139" spans="1:12" x14ac:dyDescent="0.35">
      <c r="A139" s="344">
        <v>45809</v>
      </c>
      <c r="B139" s="345"/>
      <c r="C139" s="346"/>
      <c r="D139" s="425">
        <f>N7</f>
        <v>0.99926686764198613</v>
      </c>
      <c r="E139" s="347">
        <f>'Growth Projection'!I$17/12</f>
        <v>175.09569041429981</v>
      </c>
      <c r="F139" s="347">
        <f t="shared" si="23"/>
        <v>174.96732209790829</v>
      </c>
      <c r="G139" s="346" t="str">
        <f t="shared" si="19"/>
        <v/>
      </c>
      <c r="H139" s="347">
        <f t="shared" si="20"/>
        <v>207.52959332347118</v>
      </c>
      <c r="I139" s="347">
        <f t="shared" si="21"/>
        <v>120.04593227451703</v>
      </c>
      <c r="J139" s="347">
        <f t="shared" si="22"/>
        <v>295.01325437242531</v>
      </c>
      <c r="K139" s="347">
        <f t="shared" si="24"/>
        <v>132.95383246274622</v>
      </c>
      <c r="L139" s="347">
        <f t="shared" si="25"/>
        <v>162.05942190967909</v>
      </c>
    </row>
    <row r="140" spans="1:12" x14ac:dyDescent="0.35">
      <c r="A140" s="344">
        <v>45839</v>
      </c>
      <c r="B140" s="345"/>
      <c r="C140" s="346"/>
      <c r="D140" s="425">
        <f>N9</f>
        <v>0.9140781568900137</v>
      </c>
      <c r="E140" s="347">
        <f>'Growth Projection'!I$17/12</f>
        <v>175.09569041429981</v>
      </c>
      <c r="F140" s="347">
        <f t="shared" si="23"/>
        <v>160.05114597328762</v>
      </c>
      <c r="G140" s="346" t="str">
        <f t="shared" si="19"/>
        <v/>
      </c>
      <c r="H140" s="347">
        <f t="shared" si="20"/>
        <v>189.83744413831312</v>
      </c>
      <c r="I140" s="347">
        <f t="shared" si="21"/>
        <v>109.81187115166931</v>
      </c>
      <c r="J140" s="347">
        <f t="shared" si="22"/>
        <v>269.86301712495691</v>
      </c>
      <c r="K140" s="347">
        <f t="shared" si="24"/>
        <v>120.04593227451701</v>
      </c>
      <c r="L140" s="347">
        <f t="shared" si="25"/>
        <v>149.8170848504399</v>
      </c>
    </row>
    <row r="141" spans="1:12" x14ac:dyDescent="0.35">
      <c r="A141" s="344">
        <v>45870</v>
      </c>
      <c r="B141" s="345"/>
      <c r="C141" s="346"/>
      <c r="D141" s="425">
        <f>N9</f>
        <v>0.9140781568900137</v>
      </c>
      <c r="E141" s="347">
        <f>'Growth Projection'!I$17/12</f>
        <v>175.09569041429981</v>
      </c>
      <c r="F141" s="347">
        <f t="shared" si="23"/>
        <v>160.05114597328762</v>
      </c>
      <c r="G141" s="346" t="str">
        <f t="shared" si="19"/>
        <v/>
      </c>
      <c r="H141" s="347">
        <f t="shared" si="20"/>
        <v>189.83744413831312</v>
      </c>
      <c r="I141" s="347">
        <f t="shared" si="21"/>
        <v>109.81187115166931</v>
      </c>
      <c r="J141" s="347">
        <f t="shared" si="22"/>
        <v>269.86301712495691</v>
      </c>
      <c r="K141" s="347">
        <f t="shared" si="24"/>
        <v>109.81187115166929</v>
      </c>
      <c r="L141" s="347">
        <f t="shared" si="25"/>
        <v>160.05114597328762</v>
      </c>
    </row>
    <row r="142" spans="1:12" x14ac:dyDescent="0.35">
      <c r="A142" s="344">
        <v>45901</v>
      </c>
      <c r="B142" s="345"/>
      <c r="C142" s="346"/>
      <c r="D142" s="425">
        <f>N9</f>
        <v>0.9140781568900137</v>
      </c>
      <c r="E142" s="347">
        <f>'Growth Projection'!I$17/12</f>
        <v>175.09569041429981</v>
      </c>
      <c r="F142" s="347">
        <f t="shared" si="23"/>
        <v>160.05114597328762</v>
      </c>
      <c r="G142" s="346" t="str">
        <f t="shared" si="19"/>
        <v/>
      </c>
      <c r="H142" s="347">
        <f t="shared" si="20"/>
        <v>189.83744413831312</v>
      </c>
      <c r="I142" s="347">
        <f t="shared" si="21"/>
        <v>109.81187115166931</v>
      </c>
      <c r="J142" s="347">
        <f t="shared" si="22"/>
        <v>269.86301712495691</v>
      </c>
      <c r="K142" s="347">
        <f t="shared" si="24"/>
        <v>109.81187115166929</v>
      </c>
      <c r="L142" s="347">
        <f t="shared" si="25"/>
        <v>160.05114597328762</v>
      </c>
    </row>
    <row r="143" spans="1:12" x14ac:dyDescent="0.35">
      <c r="A143" s="344">
        <v>45931</v>
      </c>
      <c r="B143" s="345"/>
      <c r="C143" s="346"/>
      <c r="D143" s="425">
        <f>N9</f>
        <v>0.9140781568900137</v>
      </c>
      <c r="E143" s="347">
        <f>'Growth Projection'!I$17/12</f>
        <v>175.09569041429981</v>
      </c>
      <c r="F143" s="347">
        <f t="shared" si="23"/>
        <v>160.05114597328762</v>
      </c>
      <c r="G143" s="346" t="str">
        <f t="shared" si="19"/>
        <v/>
      </c>
      <c r="H143" s="347">
        <f t="shared" si="20"/>
        <v>189.83744413831312</v>
      </c>
      <c r="I143" s="347">
        <f t="shared" si="21"/>
        <v>109.81187115166931</v>
      </c>
      <c r="J143" s="347">
        <f t="shared" si="22"/>
        <v>269.86301712495691</v>
      </c>
      <c r="K143" s="347">
        <f t="shared" si="24"/>
        <v>109.81187115166929</v>
      </c>
      <c r="L143" s="347">
        <f t="shared" si="25"/>
        <v>160.05114597328762</v>
      </c>
    </row>
    <row r="144" spans="1:12" x14ac:dyDescent="0.35">
      <c r="A144" s="344">
        <v>45962</v>
      </c>
      <c r="B144" s="345"/>
      <c r="C144" s="346"/>
      <c r="D144" s="425">
        <f>N9</f>
        <v>0.9140781568900137</v>
      </c>
      <c r="E144" s="347">
        <f>'Growth Projection'!I$17/12</f>
        <v>175.09569041429981</v>
      </c>
      <c r="F144" s="347">
        <f t="shared" si="23"/>
        <v>160.05114597328762</v>
      </c>
      <c r="G144" s="346" t="str">
        <f t="shared" si="19"/>
        <v/>
      </c>
      <c r="H144" s="347">
        <f t="shared" si="20"/>
        <v>189.83744413831312</v>
      </c>
      <c r="I144" s="347">
        <f t="shared" si="21"/>
        <v>109.81187115166931</v>
      </c>
      <c r="J144" s="347">
        <f t="shared" si="22"/>
        <v>269.86301712495691</v>
      </c>
      <c r="K144" s="347">
        <f t="shared" si="24"/>
        <v>109.81187115166929</v>
      </c>
      <c r="L144" s="347">
        <f t="shared" si="25"/>
        <v>160.05114597328762</v>
      </c>
    </row>
    <row r="145" spans="1:12" x14ac:dyDescent="0.35">
      <c r="A145" s="344">
        <v>45992</v>
      </c>
      <c r="B145" s="345"/>
      <c r="C145" s="346"/>
      <c r="D145" s="425">
        <f>N8</f>
        <v>1.5306095476663821</v>
      </c>
      <c r="E145" s="347">
        <f>'Growth Projection'!I$17/12</f>
        <v>175.09569041429981</v>
      </c>
      <c r="F145" s="347">
        <f t="shared" si="23"/>
        <v>268.00313550336432</v>
      </c>
      <c r="G145" s="346" t="str">
        <f t="shared" si="19"/>
        <v/>
      </c>
      <c r="H145" s="347">
        <f t="shared" si="20"/>
        <v>317.87982494985704</v>
      </c>
      <c r="I145" s="347">
        <f t="shared" si="21"/>
        <v>183.87825719817488</v>
      </c>
      <c r="J145" s="347">
        <f t="shared" si="22"/>
        <v>451.8813927015392</v>
      </c>
      <c r="K145" s="347">
        <f t="shared" si="24"/>
        <v>109.81187115166929</v>
      </c>
      <c r="L145" s="347">
        <f t="shared" si="25"/>
        <v>342.06952154986993</v>
      </c>
    </row>
    <row r="146" spans="1:12" x14ac:dyDescent="0.35">
      <c r="A146" s="338">
        <v>46023</v>
      </c>
      <c r="B146" s="339"/>
      <c r="C146" s="340"/>
      <c r="D146" s="424">
        <f>N9</f>
        <v>0.9140781568900137</v>
      </c>
      <c r="E146" s="341">
        <f>'Growth Projection'!J$17/12</f>
        <v>187.35185555939097</v>
      </c>
      <c r="F146" s="341">
        <f t="shared" si="23"/>
        <v>171.25423881965216</v>
      </c>
      <c r="G146" s="340" t="str">
        <f t="shared" ref="G146:G181" si="26">IF(OR(C146="",D146=""),"",C146-D146)</f>
        <v/>
      </c>
      <c r="H146" s="341">
        <f t="shared" si="20"/>
        <v>203.12548715396898</v>
      </c>
      <c r="I146" s="341">
        <f t="shared" si="21"/>
        <v>117.4983677441429</v>
      </c>
      <c r="J146" s="341">
        <f t="shared" si="22"/>
        <v>288.75260656379504</v>
      </c>
      <c r="K146" s="341">
        <f t="shared" si="24"/>
        <v>183.87825719817488</v>
      </c>
      <c r="L146" s="341">
        <f t="shared" si="25"/>
        <v>104.87434936562016</v>
      </c>
    </row>
    <row r="147" spans="1:12" x14ac:dyDescent="0.35">
      <c r="A147" s="338">
        <v>46054</v>
      </c>
      <c r="B147" s="339"/>
      <c r="C147" s="340"/>
      <c r="D147" s="424">
        <f>N3+N4-100%</f>
        <v>1.3551638530287984</v>
      </c>
      <c r="E147" s="341">
        <f>'Growth Projection'!J$17/12</f>
        <v>187.35185555939097</v>
      </c>
      <c r="F147" s="341">
        <f t="shared" si="23"/>
        <v>253.89246245195918</v>
      </c>
      <c r="G147" s="340" t="str">
        <f t="shared" si="26"/>
        <v/>
      </c>
      <c r="H147" s="341">
        <f t="shared" si="20"/>
        <v>301.14308688490621</v>
      </c>
      <c r="I147" s="341">
        <f t="shared" si="21"/>
        <v>174.19685565892661</v>
      </c>
      <c r="J147" s="341">
        <f t="shared" si="22"/>
        <v>428.08931811088576</v>
      </c>
      <c r="K147" s="341">
        <f t="shared" si="24"/>
        <v>117.49836774414288</v>
      </c>
      <c r="L147" s="341">
        <f t="shared" si="25"/>
        <v>310.59095036674285</v>
      </c>
    </row>
    <row r="148" spans="1:12" x14ac:dyDescent="0.35">
      <c r="A148" s="338">
        <v>46082</v>
      </c>
      <c r="B148" s="339"/>
      <c r="C148" s="340"/>
      <c r="D148" s="424">
        <f>N6</f>
        <v>1.140613293533254</v>
      </c>
      <c r="E148" s="341">
        <f>'Growth Projection'!J$17/12</f>
        <v>187.35185555939097</v>
      </c>
      <c r="F148" s="341">
        <f t="shared" si="23"/>
        <v>213.69601701916343</v>
      </c>
      <c r="G148" s="340" t="str">
        <f t="shared" si="26"/>
        <v/>
      </c>
      <c r="H148" s="341">
        <f t="shared" si="20"/>
        <v>253.46588708728223</v>
      </c>
      <c r="I148" s="341">
        <f t="shared" si="21"/>
        <v>146.61787857770051</v>
      </c>
      <c r="J148" s="341">
        <f t="shared" si="22"/>
        <v>360.31389559686397</v>
      </c>
      <c r="K148" s="341">
        <f t="shared" si="24"/>
        <v>174.19685565892658</v>
      </c>
      <c r="L148" s="341">
        <f t="shared" si="25"/>
        <v>186.11703993793739</v>
      </c>
    </row>
    <row r="149" spans="1:12" x14ac:dyDescent="0.35">
      <c r="A149" s="338">
        <v>46113</v>
      </c>
      <c r="B149" s="339"/>
      <c r="C149" s="340"/>
      <c r="D149" s="424">
        <f>N9</f>
        <v>0.9140781568900137</v>
      </c>
      <c r="E149" s="341">
        <f>'Growth Projection'!J$17/12</f>
        <v>187.35185555939097</v>
      </c>
      <c r="F149" s="341">
        <f t="shared" si="23"/>
        <v>171.25423881965216</v>
      </c>
      <c r="G149" s="340" t="str">
        <f t="shared" si="26"/>
        <v/>
      </c>
      <c r="H149" s="341">
        <f t="shared" si="20"/>
        <v>203.12548715396898</v>
      </c>
      <c r="I149" s="341">
        <f t="shared" si="21"/>
        <v>117.4983677441429</v>
      </c>
      <c r="J149" s="341">
        <f t="shared" si="22"/>
        <v>288.75260656379504</v>
      </c>
      <c r="K149" s="341">
        <f t="shared" si="24"/>
        <v>146.61787857770054</v>
      </c>
      <c r="L149" s="341">
        <f t="shared" si="25"/>
        <v>142.1347279860945</v>
      </c>
    </row>
    <row r="150" spans="1:12" x14ac:dyDescent="0.35">
      <c r="A150" s="338">
        <v>46143</v>
      </c>
      <c r="B150" s="339"/>
      <c r="C150" s="340"/>
      <c r="D150" s="424">
        <f>N5</f>
        <v>1.1067127156148391</v>
      </c>
      <c r="E150" s="341">
        <f>'Growth Projection'!J$17/12</f>
        <v>187.35185555939097</v>
      </c>
      <c r="F150" s="341">
        <f t="shared" si="23"/>
        <v>207.34468084161267</v>
      </c>
      <c r="G150" s="340" t="str">
        <f t="shared" si="26"/>
        <v/>
      </c>
      <c r="H150" s="341">
        <f t="shared" si="20"/>
        <v>245.93253629821214</v>
      </c>
      <c r="I150" s="341">
        <f t="shared" si="21"/>
        <v>142.26019587740581</v>
      </c>
      <c r="J150" s="341">
        <f t="shared" si="22"/>
        <v>349.60487671901848</v>
      </c>
      <c r="K150" s="341">
        <f t="shared" si="24"/>
        <v>117.49836774414288</v>
      </c>
      <c r="L150" s="341">
        <f t="shared" si="25"/>
        <v>232.1065089748756</v>
      </c>
    </row>
    <row r="151" spans="1:12" x14ac:dyDescent="0.35">
      <c r="A151" s="338">
        <v>46174</v>
      </c>
      <c r="B151" s="339"/>
      <c r="C151" s="340"/>
      <c r="D151" s="424">
        <f>N7</f>
        <v>0.99926686764198613</v>
      </c>
      <c r="E151" s="341">
        <f>'Growth Projection'!J$17/12</f>
        <v>187.35185555939097</v>
      </c>
      <c r="F151" s="341">
        <f t="shared" si="23"/>
        <v>187.21450185174643</v>
      </c>
      <c r="G151" s="340" t="str">
        <f t="shared" si="26"/>
        <v/>
      </c>
      <c r="H151" s="341">
        <f t="shared" si="20"/>
        <v>222.05603290772234</v>
      </c>
      <c r="I151" s="341">
        <f t="shared" si="21"/>
        <v>128.44878198184912</v>
      </c>
      <c r="J151" s="341">
        <f t="shared" si="22"/>
        <v>315.66328383359553</v>
      </c>
      <c r="K151" s="341">
        <f t="shared" si="24"/>
        <v>142.26019587740581</v>
      </c>
      <c r="L151" s="341">
        <f t="shared" si="25"/>
        <v>173.40308795618972</v>
      </c>
    </row>
    <row r="152" spans="1:12" x14ac:dyDescent="0.35">
      <c r="A152" s="338">
        <v>46204</v>
      </c>
      <c r="B152" s="339"/>
      <c r="C152" s="340"/>
      <c r="D152" s="424">
        <f>N9</f>
        <v>0.9140781568900137</v>
      </c>
      <c r="E152" s="341">
        <f>'Growth Projection'!J$17/12</f>
        <v>187.35185555939097</v>
      </c>
      <c r="F152" s="341">
        <f t="shared" si="23"/>
        <v>171.25423881965216</v>
      </c>
      <c r="G152" s="340" t="str">
        <f t="shared" si="26"/>
        <v/>
      </c>
      <c r="H152" s="341">
        <f t="shared" si="20"/>
        <v>203.12548715396898</v>
      </c>
      <c r="I152" s="341">
        <f t="shared" si="21"/>
        <v>117.4983677441429</v>
      </c>
      <c r="J152" s="341">
        <f t="shared" si="22"/>
        <v>288.75260656379504</v>
      </c>
      <c r="K152" s="341">
        <f t="shared" si="24"/>
        <v>128.44878198184909</v>
      </c>
      <c r="L152" s="341">
        <f t="shared" si="25"/>
        <v>160.30382458194595</v>
      </c>
    </row>
    <row r="153" spans="1:12" x14ac:dyDescent="0.35">
      <c r="A153" s="338">
        <v>46235</v>
      </c>
      <c r="B153" s="339"/>
      <c r="C153" s="340"/>
      <c r="D153" s="424">
        <f>N9</f>
        <v>0.9140781568900137</v>
      </c>
      <c r="E153" s="341">
        <f>'Growth Projection'!J$17/12</f>
        <v>187.35185555939097</v>
      </c>
      <c r="F153" s="341">
        <f t="shared" si="23"/>
        <v>171.25423881965216</v>
      </c>
      <c r="G153" s="340" t="str">
        <f t="shared" si="26"/>
        <v/>
      </c>
      <c r="H153" s="341">
        <f t="shared" si="20"/>
        <v>203.12548715396898</v>
      </c>
      <c r="I153" s="341">
        <f t="shared" si="21"/>
        <v>117.4983677441429</v>
      </c>
      <c r="J153" s="341">
        <f t="shared" si="22"/>
        <v>288.75260656379504</v>
      </c>
      <c r="K153" s="341">
        <f t="shared" si="24"/>
        <v>117.49836774414288</v>
      </c>
      <c r="L153" s="341">
        <f t="shared" si="25"/>
        <v>171.25423881965216</v>
      </c>
    </row>
    <row r="154" spans="1:12" x14ac:dyDescent="0.35">
      <c r="A154" s="338">
        <v>46266</v>
      </c>
      <c r="B154" s="339"/>
      <c r="C154" s="340"/>
      <c r="D154" s="424">
        <f>N9</f>
        <v>0.9140781568900137</v>
      </c>
      <c r="E154" s="341">
        <f>'Growth Projection'!J$17/12</f>
        <v>187.35185555939097</v>
      </c>
      <c r="F154" s="341">
        <f t="shared" si="23"/>
        <v>171.25423881965216</v>
      </c>
      <c r="G154" s="340" t="str">
        <f t="shared" si="26"/>
        <v/>
      </c>
      <c r="H154" s="341">
        <f t="shared" si="20"/>
        <v>203.12548715396898</v>
      </c>
      <c r="I154" s="341">
        <f t="shared" si="21"/>
        <v>117.4983677441429</v>
      </c>
      <c r="J154" s="341">
        <f t="shared" si="22"/>
        <v>288.75260656379504</v>
      </c>
      <c r="K154" s="341">
        <f t="shared" si="24"/>
        <v>117.49836774414288</v>
      </c>
      <c r="L154" s="341">
        <f t="shared" si="25"/>
        <v>171.25423881965216</v>
      </c>
    </row>
    <row r="155" spans="1:12" x14ac:dyDescent="0.35">
      <c r="A155" s="338">
        <v>46296</v>
      </c>
      <c r="B155" s="339"/>
      <c r="C155" s="340"/>
      <c r="D155" s="424">
        <f>N9</f>
        <v>0.9140781568900137</v>
      </c>
      <c r="E155" s="341">
        <f>'Growth Projection'!J$17/12</f>
        <v>187.35185555939097</v>
      </c>
      <c r="F155" s="341">
        <f t="shared" si="23"/>
        <v>171.25423881965216</v>
      </c>
      <c r="G155" s="340" t="str">
        <f t="shared" si="26"/>
        <v/>
      </c>
      <c r="H155" s="341">
        <f t="shared" si="20"/>
        <v>203.12548715396898</v>
      </c>
      <c r="I155" s="341">
        <f t="shared" si="21"/>
        <v>117.4983677441429</v>
      </c>
      <c r="J155" s="341">
        <f t="shared" si="22"/>
        <v>288.75260656379504</v>
      </c>
      <c r="K155" s="341">
        <f t="shared" si="24"/>
        <v>117.49836774414288</v>
      </c>
      <c r="L155" s="341">
        <f t="shared" si="25"/>
        <v>171.25423881965216</v>
      </c>
    </row>
    <row r="156" spans="1:12" x14ac:dyDescent="0.35">
      <c r="A156" s="338">
        <v>46327</v>
      </c>
      <c r="B156" s="339"/>
      <c r="C156" s="340"/>
      <c r="D156" s="424">
        <f>N9</f>
        <v>0.9140781568900137</v>
      </c>
      <c r="E156" s="341">
        <f>'Growth Projection'!J$17/12</f>
        <v>187.35185555939097</v>
      </c>
      <c r="F156" s="341">
        <f t="shared" si="23"/>
        <v>171.25423881965216</v>
      </c>
      <c r="G156" s="340" t="str">
        <f t="shared" si="26"/>
        <v/>
      </c>
      <c r="H156" s="341">
        <f t="shared" si="20"/>
        <v>203.12548715396898</v>
      </c>
      <c r="I156" s="341">
        <f t="shared" si="21"/>
        <v>117.4983677441429</v>
      </c>
      <c r="J156" s="341">
        <f t="shared" si="22"/>
        <v>288.75260656379504</v>
      </c>
      <c r="K156" s="341">
        <f t="shared" si="24"/>
        <v>117.49836774414288</v>
      </c>
      <c r="L156" s="341">
        <f t="shared" si="25"/>
        <v>171.25423881965216</v>
      </c>
    </row>
    <row r="157" spans="1:12" x14ac:dyDescent="0.35">
      <c r="A157" s="338">
        <v>46357</v>
      </c>
      <c r="B157" s="339"/>
      <c r="C157" s="340"/>
      <c r="D157" s="424">
        <f>N8</f>
        <v>1.5306095476663821</v>
      </c>
      <c r="E157" s="341">
        <f>'Growth Projection'!J$17/12</f>
        <v>187.35185555939097</v>
      </c>
      <c r="F157" s="341">
        <f t="shared" si="23"/>
        <v>286.76253889221675</v>
      </c>
      <c r="G157" s="340" t="str">
        <f t="shared" si="26"/>
        <v/>
      </c>
      <c r="H157" s="341">
        <f t="shared" si="20"/>
        <v>340.13044472045038</v>
      </c>
      <c r="I157" s="341">
        <f t="shared" si="21"/>
        <v>196.74917527434201</v>
      </c>
      <c r="J157" s="341">
        <f t="shared" si="22"/>
        <v>483.51171416655876</v>
      </c>
      <c r="K157" s="341">
        <f t="shared" si="24"/>
        <v>117.49836774414288</v>
      </c>
      <c r="L157" s="341">
        <f t="shared" si="25"/>
        <v>366.01334642241591</v>
      </c>
    </row>
    <row r="158" spans="1:12" x14ac:dyDescent="0.35">
      <c r="A158" s="344">
        <v>46388</v>
      </c>
      <c r="B158" s="345"/>
      <c r="C158" s="346"/>
      <c r="D158" s="425">
        <f>N9</f>
        <v>0.9140781568900137</v>
      </c>
      <c r="E158" s="347">
        <f>'Growth Projection'!K$17/12</f>
        <v>199.6080207044773</v>
      </c>
      <c r="F158" s="347">
        <f t="shared" si="23"/>
        <v>182.45733166601229</v>
      </c>
      <c r="G158" s="346" t="str">
        <f t="shared" si="26"/>
        <v/>
      </c>
      <c r="H158" s="347">
        <f t="shared" ref="H158:H189" si="27">IFERROR(F158+2*N$12*F158,"")</f>
        <v>216.41353016961963</v>
      </c>
      <c r="I158" s="347">
        <f t="shared" ref="I158:I189" si="28">IFERROR(IF(OR(ISBLANK(H158),ISBLANK(F158)),"",(H158*N$14)-(N$13*F158)),"")</f>
        <v>125.18486433661349</v>
      </c>
      <c r="J158" s="347">
        <f t="shared" ref="J158:J189" si="29">IFERROR(F158+I158,"")</f>
        <v>307.64219600262578</v>
      </c>
      <c r="K158" s="347">
        <f t="shared" si="24"/>
        <v>196.74917527434206</v>
      </c>
      <c r="L158" s="347">
        <f t="shared" si="25"/>
        <v>110.89302072828372</v>
      </c>
    </row>
    <row r="159" spans="1:12" x14ac:dyDescent="0.35">
      <c r="A159" s="344">
        <v>46419</v>
      </c>
      <c r="B159" s="345"/>
      <c r="C159" s="346"/>
      <c r="D159" s="425">
        <f>N3+N4-100%</f>
        <v>1.3551638530287984</v>
      </c>
      <c r="E159" s="347">
        <f>'Growth Projection'!K$17/12</f>
        <v>199.6080207044773</v>
      </c>
      <c r="F159" s="347">
        <f t="shared" si="23"/>
        <v>270.5015744333316</v>
      </c>
      <c r="G159" s="346" t="str">
        <f t="shared" si="26"/>
        <v/>
      </c>
      <c r="H159" s="347">
        <f t="shared" si="27"/>
        <v>320.84323553911833</v>
      </c>
      <c r="I159" s="347">
        <f t="shared" si="28"/>
        <v>185.59244832245253</v>
      </c>
      <c r="J159" s="347">
        <f t="shared" si="29"/>
        <v>456.09402275578412</v>
      </c>
      <c r="K159" s="347">
        <f t="shared" ref="K159:K181" si="30">IFERROR(K158+L158-F158,"")</f>
        <v>125.18486433661349</v>
      </c>
      <c r="L159" s="347">
        <f t="shared" si="25"/>
        <v>330.90915841917064</v>
      </c>
    </row>
    <row r="160" spans="1:12" x14ac:dyDescent="0.35">
      <c r="A160" s="344">
        <v>46447</v>
      </c>
      <c r="B160" s="345"/>
      <c r="C160" s="346"/>
      <c r="D160" s="425">
        <f>N6</f>
        <v>1.140613293533254</v>
      </c>
      <c r="E160" s="347">
        <f>'Growth Projection'!K$17/12</f>
        <v>199.6080207044773</v>
      </c>
      <c r="F160" s="347">
        <f t="shared" si="23"/>
        <v>227.6755619113878</v>
      </c>
      <c r="G160" s="346" t="str">
        <f t="shared" si="26"/>
        <v/>
      </c>
      <c r="H160" s="347">
        <f t="shared" si="27"/>
        <v>270.04709340366566</v>
      </c>
      <c r="I160" s="347">
        <f t="shared" si="28"/>
        <v>156.20931244797174</v>
      </c>
      <c r="J160" s="347">
        <f t="shared" si="29"/>
        <v>383.88487435935951</v>
      </c>
      <c r="K160" s="347">
        <f t="shared" si="30"/>
        <v>185.59244832245253</v>
      </c>
      <c r="L160" s="347">
        <f t="shared" si="25"/>
        <v>198.29242603690699</v>
      </c>
    </row>
    <row r="161" spans="1:12" x14ac:dyDescent="0.35">
      <c r="A161" s="344">
        <v>46478</v>
      </c>
      <c r="B161" s="345"/>
      <c r="C161" s="346"/>
      <c r="D161" s="425">
        <f>N9</f>
        <v>0.9140781568900137</v>
      </c>
      <c r="E161" s="347">
        <f>'Growth Projection'!K$17/12</f>
        <v>199.6080207044773</v>
      </c>
      <c r="F161" s="347">
        <f t="shared" si="23"/>
        <v>182.45733166601229</v>
      </c>
      <c r="G161" s="346" t="str">
        <f t="shared" si="26"/>
        <v/>
      </c>
      <c r="H161" s="347">
        <f t="shared" si="27"/>
        <v>216.41353016961963</v>
      </c>
      <c r="I161" s="347">
        <f t="shared" si="28"/>
        <v>125.18486433661349</v>
      </c>
      <c r="J161" s="347">
        <f t="shared" si="29"/>
        <v>307.64219600262578</v>
      </c>
      <c r="K161" s="347">
        <f t="shared" si="30"/>
        <v>156.20931244797171</v>
      </c>
      <c r="L161" s="347">
        <f t="shared" si="25"/>
        <v>151.43288355465407</v>
      </c>
    </row>
    <row r="162" spans="1:12" x14ac:dyDescent="0.35">
      <c r="A162" s="344">
        <v>46508</v>
      </c>
      <c r="B162" s="345"/>
      <c r="C162" s="346"/>
      <c r="D162" s="425">
        <f>N5</f>
        <v>1.1067127156148391</v>
      </c>
      <c r="E162" s="347">
        <f>'Growth Projection'!K$17/12</f>
        <v>199.6080207044773</v>
      </c>
      <c r="F162" s="347">
        <f t="shared" si="23"/>
        <v>220.90873465235509</v>
      </c>
      <c r="G162" s="346" t="str">
        <f t="shared" si="26"/>
        <v/>
      </c>
      <c r="H162" s="347">
        <f t="shared" si="27"/>
        <v>262.02092661823923</v>
      </c>
      <c r="I162" s="347">
        <f t="shared" si="28"/>
        <v>151.5665592920617</v>
      </c>
      <c r="J162" s="347">
        <f t="shared" si="29"/>
        <v>372.47529394441676</v>
      </c>
      <c r="K162" s="347">
        <f t="shared" si="30"/>
        <v>125.18486433661349</v>
      </c>
      <c r="L162" s="347">
        <f t="shared" si="25"/>
        <v>247.29042960780328</v>
      </c>
    </row>
    <row r="163" spans="1:12" x14ac:dyDescent="0.35">
      <c r="A163" s="344">
        <v>46539</v>
      </c>
      <c r="B163" s="345"/>
      <c r="C163" s="346"/>
      <c r="D163" s="425">
        <f>N7</f>
        <v>0.99926686764198613</v>
      </c>
      <c r="E163" s="347">
        <f>'Growth Projection'!K$17/12</f>
        <v>199.6080207044773</v>
      </c>
      <c r="F163" s="347">
        <f t="shared" si="23"/>
        <v>199.46168160557974</v>
      </c>
      <c r="G163" s="346" t="str">
        <f t="shared" si="26"/>
        <v/>
      </c>
      <c r="H163" s="347">
        <f t="shared" si="27"/>
        <v>236.58247249196779</v>
      </c>
      <c r="I163" s="347">
        <f t="shared" si="28"/>
        <v>136.85163168917791</v>
      </c>
      <c r="J163" s="347">
        <f t="shared" si="29"/>
        <v>336.31331329475768</v>
      </c>
      <c r="K163" s="347">
        <f t="shared" si="30"/>
        <v>151.56655929206167</v>
      </c>
      <c r="L163" s="347">
        <f t="shared" si="25"/>
        <v>184.74675400269601</v>
      </c>
    </row>
    <row r="164" spans="1:12" x14ac:dyDescent="0.35">
      <c r="A164" s="344">
        <v>46569</v>
      </c>
      <c r="B164" s="345"/>
      <c r="C164" s="346"/>
      <c r="D164" s="425">
        <f>N9</f>
        <v>0.9140781568900137</v>
      </c>
      <c r="E164" s="347">
        <f>'Growth Projection'!K$17/12</f>
        <v>199.6080207044773</v>
      </c>
      <c r="F164" s="347">
        <f t="shared" si="23"/>
        <v>182.45733166601229</v>
      </c>
      <c r="G164" s="346" t="str">
        <f t="shared" si="26"/>
        <v/>
      </c>
      <c r="H164" s="347">
        <f t="shared" si="27"/>
        <v>216.41353016961963</v>
      </c>
      <c r="I164" s="347">
        <f t="shared" si="28"/>
        <v>125.18486433661349</v>
      </c>
      <c r="J164" s="347">
        <f t="shared" si="29"/>
        <v>307.64219600262578</v>
      </c>
      <c r="K164" s="347">
        <f t="shared" si="30"/>
        <v>136.85163168917794</v>
      </c>
      <c r="L164" s="347">
        <f t="shared" si="25"/>
        <v>170.79056431344785</v>
      </c>
    </row>
    <row r="165" spans="1:12" x14ac:dyDescent="0.35">
      <c r="A165" s="344">
        <v>46600</v>
      </c>
      <c r="B165" s="345"/>
      <c r="C165" s="346"/>
      <c r="D165" s="425">
        <f>N9</f>
        <v>0.9140781568900137</v>
      </c>
      <c r="E165" s="347">
        <f>'Growth Projection'!K$17/12</f>
        <v>199.6080207044773</v>
      </c>
      <c r="F165" s="347">
        <f t="shared" si="23"/>
        <v>182.45733166601229</v>
      </c>
      <c r="G165" s="346" t="str">
        <f t="shared" si="26"/>
        <v/>
      </c>
      <c r="H165" s="347">
        <f t="shared" si="27"/>
        <v>216.41353016961963</v>
      </c>
      <c r="I165" s="347">
        <f t="shared" si="28"/>
        <v>125.18486433661349</v>
      </c>
      <c r="J165" s="347">
        <f t="shared" si="29"/>
        <v>307.64219600262578</v>
      </c>
      <c r="K165" s="347">
        <f t="shared" si="30"/>
        <v>125.18486433661349</v>
      </c>
      <c r="L165" s="347">
        <f t="shared" si="25"/>
        <v>182.45733166601229</v>
      </c>
    </row>
    <row r="166" spans="1:12" x14ac:dyDescent="0.35">
      <c r="A166" s="344">
        <v>46631</v>
      </c>
      <c r="B166" s="345"/>
      <c r="C166" s="346"/>
      <c r="D166" s="425">
        <f>N9</f>
        <v>0.9140781568900137</v>
      </c>
      <c r="E166" s="347">
        <f>'Growth Projection'!K$17/12</f>
        <v>199.6080207044773</v>
      </c>
      <c r="F166" s="347">
        <f t="shared" si="23"/>
        <v>182.45733166601229</v>
      </c>
      <c r="G166" s="346" t="str">
        <f t="shared" si="26"/>
        <v/>
      </c>
      <c r="H166" s="347">
        <f t="shared" si="27"/>
        <v>216.41353016961963</v>
      </c>
      <c r="I166" s="347">
        <f t="shared" si="28"/>
        <v>125.18486433661349</v>
      </c>
      <c r="J166" s="347">
        <f t="shared" si="29"/>
        <v>307.64219600262578</v>
      </c>
      <c r="K166" s="347">
        <f t="shared" si="30"/>
        <v>125.18486433661349</v>
      </c>
      <c r="L166" s="347">
        <f t="shared" si="25"/>
        <v>182.45733166601229</v>
      </c>
    </row>
    <row r="167" spans="1:12" x14ac:dyDescent="0.35">
      <c r="A167" s="344">
        <v>46661</v>
      </c>
      <c r="B167" s="345"/>
      <c r="C167" s="346"/>
      <c r="D167" s="425">
        <f>N9</f>
        <v>0.9140781568900137</v>
      </c>
      <c r="E167" s="347">
        <f>'Growth Projection'!K$17/12</f>
        <v>199.6080207044773</v>
      </c>
      <c r="F167" s="347">
        <f t="shared" si="23"/>
        <v>182.45733166601229</v>
      </c>
      <c r="G167" s="346" t="str">
        <f t="shared" si="26"/>
        <v/>
      </c>
      <c r="H167" s="347">
        <f t="shared" si="27"/>
        <v>216.41353016961963</v>
      </c>
      <c r="I167" s="347">
        <f t="shared" si="28"/>
        <v>125.18486433661349</v>
      </c>
      <c r="J167" s="347">
        <f t="shared" si="29"/>
        <v>307.64219600262578</v>
      </c>
      <c r="K167" s="347">
        <f t="shared" si="30"/>
        <v>125.18486433661349</v>
      </c>
      <c r="L167" s="347">
        <f t="shared" si="25"/>
        <v>182.45733166601229</v>
      </c>
    </row>
    <row r="168" spans="1:12" x14ac:dyDescent="0.35">
      <c r="A168" s="344">
        <v>46692</v>
      </c>
      <c r="B168" s="345"/>
      <c r="C168" s="346"/>
      <c r="D168" s="425">
        <f>N9</f>
        <v>0.9140781568900137</v>
      </c>
      <c r="E168" s="347">
        <f>'Growth Projection'!K$17/12</f>
        <v>199.6080207044773</v>
      </c>
      <c r="F168" s="347">
        <f t="shared" si="23"/>
        <v>182.45733166601229</v>
      </c>
      <c r="G168" s="346" t="str">
        <f t="shared" si="26"/>
        <v/>
      </c>
      <c r="H168" s="347">
        <f t="shared" si="27"/>
        <v>216.41353016961963</v>
      </c>
      <c r="I168" s="347">
        <f t="shared" si="28"/>
        <v>125.18486433661349</v>
      </c>
      <c r="J168" s="347">
        <f t="shared" si="29"/>
        <v>307.64219600262578</v>
      </c>
      <c r="K168" s="347">
        <f t="shared" si="30"/>
        <v>125.18486433661349</v>
      </c>
      <c r="L168" s="347">
        <f t="shared" si="25"/>
        <v>182.45733166601229</v>
      </c>
    </row>
    <row r="169" spans="1:12" x14ac:dyDescent="0.35">
      <c r="A169" s="344">
        <v>46722</v>
      </c>
      <c r="B169" s="345"/>
      <c r="C169" s="346"/>
      <c r="D169" s="425">
        <f>N8</f>
        <v>1.5306095476663821</v>
      </c>
      <c r="E169" s="347">
        <f>'Growth Projection'!K$17/12</f>
        <v>199.6080207044773</v>
      </c>
      <c r="F169" s="347">
        <f t="shared" si="23"/>
        <v>305.52194228106185</v>
      </c>
      <c r="G169" s="346" t="str">
        <f t="shared" si="26"/>
        <v/>
      </c>
      <c r="H169" s="347">
        <f t="shared" si="27"/>
        <v>362.38106449103503</v>
      </c>
      <c r="I169" s="347">
        <f t="shared" si="28"/>
        <v>209.62009335050411</v>
      </c>
      <c r="J169" s="347">
        <f t="shared" si="29"/>
        <v>515.14203563156593</v>
      </c>
      <c r="K169" s="347">
        <f t="shared" si="30"/>
        <v>125.18486433661349</v>
      </c>
      <c r="L169" s="347">
        <f t="shared" si="25"/>
        <v>389.95717129495245</v>
      </c>
    </row>
    <row r="170" spans="1:12" x14ac:dyDescent="0.35">
      <c r="A170" s="338">
        <v>46753</v>
      </c>
      <c r="B170" s="339"/>
      <c r="C170" s="340"/>
      <c r="D170" s="424">
        <f>N3</f>
        <v>1.123286991062562</v>
      </c>
      <c r="E170" s="341">
        <f>'Growth Projection'!L$17/12</f>
        <v>211.86418584956846</v>
      </c>
      <c r="F170" s="341">
        <f t="shared" si="23"/>
        <v>237.98428383688119</v>
      </c>
      <c r="G170" s="340" t="str">
        <f t="shared" si="26"/>
        <v/>
      </c>
      <c r="H170" s="341">
        <f t="shared" si="27"/>
        <v>282.27431871197348</v>
      </c>
      <c r="I170" s="341">
        <f t="shared" si="28"/>
        <v>163.28217679353287</v>
      </c>
      <c r="J170" s="341">
        <f t="shared" si="29"/>
        <v>401.26646063041403</v>
      </c>
      <c r="K170" s="341">
        <f t="shared" si="30"/>
        <v>209.62009335050408</v>
      </c>
      <c r="L170" s="341">
        <f t="shared" si="25"/>
        <v>191.64636727990995</v>
      </c>
    </row>
    <row r="171" spans="1:12" x14ac:dyDescent="0.35">
      <c r="A171" s="338">
        <v>46784</v>
      </c>
      <c r="B171" s="339"/>
      <c r="C171" s="340"/>
      <c r="D171" s="424">
        <f>N4+N6-100%</f>
        <v>1.3724901554994906</v>
      </c>
      <c r="E171" s="341">
        <f>'Growth Projection'!L$17/12</f>
        <v>211.86418584956846</v>
      </c>
      <c r="F171" s="341">
        <f t="shared" si="23"/>
        <v>290.78150938144717</v>
      </c>
      <c r="G171" s="340" t="str">
        <f t="shared" si="26"/>
        <v/>
      </c>
      <c r="H171" s="341">
        <f t="shared" si="27"/>
        <v>344.89736520142054</v>
      </c>
      <c r="I171" s="341">
        <f t="shared" si="28"/>
        <v>199.50661051069696</v>
      </c>
      <c r="J171" s="341">
        <f t="shared" si="29"/>
        <v>490.2881198921441</v>
      </c>
      <c r="K171" s="341">
        <f t="shared" si="30"/>
        <v>163.28217679353284</v>
      </c>
      <c r="L171" s="341">
        <f t="shared" si="25"/>
        <v>327.00594309861128</v>
      </c>
    </row>
    <row r="172" spans="1:12" x14ac:dyDescent="0.35">
      <c r="A172" s="338">
        <v>46813</v>
      </c>
      <c r="B172" s="339"/>
      <c r="C172" s="340"/>
      <c r="D172" s="424">
        <f>N9</f>
        <v>0.9140781568900137</v>
      </c>
      <c r="E172" s="341">
        <f>'Growth Projection'!L$17/12</f>
        <v>211.86418584956846</v>
      </c>
      <c r="F172" s="341">
        <f t="shared" si="23"/>
        <v>193.66042451237686</v>
      </c>
      <c r="G172" s="340" t="str">
        <f t="shared" si="26"/>
        <v/>
      </c>
      <c r="H172" s="341">
        <f t="shared" si="27"/>
        <v>229.70157318527555</v>
      </c>
      <c r="I172" s="341">
        <f t="shared" si="28"/>
        <v>132.87136092908713</v>
      </c>
      <c r="J172" s="341">
        <f t="shared" si="29"/>
        <v>326.53178544146397</v>
      </c>
      <c r="K172" s="341">
        <f t="shared" si="30"/>
        <v>199.50661051069693</v>
      </c>
      <c r="L172" s="341">
        <f t="shared" si="25"/>
        <v>127.02517493076704</v>
      </c>
    </row>
    <row r="173" spans="1:12" x14ac:dyDescent="0.35">
      <c r="A173" s="338">
        <v>46844</v>
      </c>
      <c r="B173" s="339"/>
      <c r="C173" s="340"/>
      <c r="D173" s="424">
        <f>N9</f>
        <v>0.9140781568900137</v>
      </c>
      <c r="E173" s="341">
        <f>'Growth Projection'!L$17/12</f>
        <v>211.86418584956846</v>
      </c>
      <c r="F173" s="341">
        <f t="shared" si="23"/>
        <v>193.66042451237686</v>
      </c>
      <c r="G173" s="340" t="str">
        <f t="shared" si="26"/>
        <v/>
      </c>
      <c r="H173" s="341">
        <f t="shared" si="27"/>
        <v>229.70157318527555</v>
      </c>
      <c r="I173" s="341">
        <f t="shared" si="28"/>
        <v>132.87136092908713</v>
      </c>
      <c r="J173" s="341">
        <f t="shared" si="29"/>
        <v>326.53178544146397</v>
      </c>
      <c r="K173" s="341">
        <f t="shared" si="30"/>
        <v>132.8713609290871</v>
      </c>
      <c r="L173" s="341">
        <f t="shared" si="25"/>
        <v>193.66042451237686</v>
      </c>
    </row>
    <row r="174" spans="1:12" x14ac:dyDescent="0.35">
      <c r="A174" s="338">
        <v>46874</v>
      </c>
      <c r="B174" s="339"/>
      <c r="C174" s="340"/>
      <c r="D174" s="424">
        <f>N5</f>
        <v>1.1067127156148391</v>
      </c>
      <c r="E174" s="341">
        <f>'Growth Projection'!L$17/12</f>
        <v>211.86418584956846</v>
      </c>
      <c r="F174" s="341">
        <f t="shared" si="23"/>
        <v>234.47278846310286</v>
      </c>
      <c r="G174" s="340" t="str">
        <f t="shared" si="26"/>
        <v/>
      </c>
      <c r="H174" s="341">
        <f t="shared" si="27"/>
        <v>278.10931693827268</v>
      </c>
      <c r="I174" s="341">
        <f t="shared" si="28"/>
        <v>160.87292270672125</v>
      </c>
      <c r="J174" s="341">
        <f t="shared" si="29"/>
        <v>395.34571116982409</v>
      </c>
      <c r="K174" s="341">
        <f t="shared" si="30"/>
        <v>132.8713609290871</v>
      </c>
      <c r="L174" s="341">
        <f t="shared" si="25"/>
        <v>262.47435024073695</v>
      </c>
    </row>
    <row r="175" spans="1:12" x14ac:dyDescent="0.35">
      <c r="A175" s="338">
        <v>46905</v>
      </c>
      <c r="B175" s="339"/>
      <c r="C175" s="340"/>
      <c r="D175" s="424">
        <f>N7</f>
        <v>0.99926686764198613</v>
      </c>
      <c r="E175" s="341">
        <f>'Growth Projection'!L$17/12</f>
        <v>211.86418584956846</v>
      </c>
      <c r="F175" s="341">
        <f t="shared" si="23"/>
        <v>211.70886135941788</v>
      </c>
      <c r="G175" s="340" t="str">
        <f t="shared" si="26"/>
        <v/>
      </c>
      <c r="H175" s="341">
        <f t="shared" si="27"/>
        <v>251.10891207621896</v>
      </c>
      <c r="I175" s="341">
        <f t="shared" si="28"/>
        <v>145.25448139651002</v>
      </c>
      <c r="J175" s="341">
        <f t="shared" si="29"/>
        <v>356.9633427559279</v>
      </c>
      <c r="K175" s="341">
        <f t="shared" si="30"/>
        <v>160.87292270672123</v>
      </c>
      <c r="L175" s="341">
        <f t="shared" si="25"/>
        <v>196.09042004920667</v>
      </c>
    </row>
    <row r="176" spans="1:12" x14ac:dyDescent="0.35">
      <c r="A176" s="338">
        <v>46935</v>
      </c>
      <c r="B176" s="339"/>
      <c r="C176" s="340"/>
      <c r="D176" s="424">
        <f>N9</f>
        <v>0.9140781568900137</v>
      </c>
      <c r="E176" s="341">
        <f>'Growth Projection'!L$17/12</f>
        <v>211.86418584956846</v>
      </c>
      <c r="F176" s="341">
        <f t="shared" si="23"/>
        <v>193.66042451237686</v>
      </c>
      <c r="G176" s="340" t="str">
        <f t="shared" si="26"/>
        <v/>
      </c>
      <c r="H176" s="341">
        <f t="shared" si="27"/>
        <v>229.70157318527555</v>
      </c>
      <c r="I176" s="341">
        <f t="shared" si="28"/>
        <v>132.87136092908713</v>
      </c>
      <c r="J176" s="341">
        <f t="shared" si="29"/>
        <v>326.53178544146397</v>
      </c>
      <c r="K176" s="341">
        <f t="shared" si="30"/>
        <v>145.25448139651002</v>
      </c>
      <c r="L176" s="341">
        <f t="shared" si="25"/>
        <v>181.27730404495395</v>
      </c>
    </row>
    <row r="177" spans="1:12" x14ac:dyDescent="0.35">
      <c r="A177" s="338">
        <v>46966</v>
      </c>
      <c r="B177" s="339"/>
      <c r="C177" s="340"/>
      <c r="D177" s="424">
        <f>N9</f>
        <v>0.9140781568900137</v>
      </c>
      <c r="E177" s="341">
        <f>'Growth Projection'!L$17/12</f>
        <v>211.86418584956846</v>
      </c>
      <c r="F177" s="341">
        <f t="shared" si="23"/>
        <v>193.66042451237686</v>
      </c>
      <c r="G177" s="340" t="str">
        <f t="shared" si="26"/>
        <v/>
      </c>
      <c r="H177" s="341">
        <f t="shared" si="27"/>
        <v>229.70157318527555</v>
      </c>
      <c r="I177" s="341">
        <f t="shared" si="28"/>
        <v>132.87136092908713</v>
      </c>
      <c r="J177" s="341">
        <f t="shared" si="29"/>
        <v>326.53178544146397</v>
      </c>
      <c r="K177" s="341">
        <f t="shared" si="30"/>
        <v>132.8713609290871</v>
      </c>
      <c r="L177" s="341">
        <f t="shared" si="25"/>
        <v>193.66042451237686</v>
      </c>
    </row>
    <row r="178" spans="1:12" x14ac:dyDescent="0.35">
      <c r="A178" s="338">
        <v>46997</v>
      </c>
      <c r="B178" s="339"/>
      <c r="C178" s="340"/>
      <c r="D178" s="424">
        <f>N9</f>
        <v>0.9140781568900137</v>
      </c>
      <c r="E178" s="341">
        <f>'Growth Projection'!L$17/12</f>
        <v>211.86418584956846</v>
      </c>
      <c r="F178" s="341">
        <f t="shared" si="23"/>
        <v>193.66042451237686</v>
      </c>
      <c r="G178" s="340" t="str">
        <f t="shared" si="26"/>
        <v/>
      </c>
      <c r="H178" s="341">
        <f t="shared" si="27"/>
        <v>229.70157318527555</v>
      </c>
      <c r="I178" s="341">
        <f t="shared" si="28"/>
        <v>132.87136092908713</v>
      </c>
      <c r="J178" s="341">
        <f t="shared" si="29"/>
        <v>326.53178544146397</v>
      </c>
      <c r="K178" s="341">
        <f t="shared" si="30"/>
        <v>132.8713609290871</v>
      </c>
      <c r="L178" s="341">
        <f t="shared" si="25"/>
        <v>193.66042451237686</v>
      </c>
    </row>
    <row r="179" spans="1:12" x14ac:dyDescent="0.35">
      <c r="A179" s="338">
        <v>47027</v>
      </c>
      <c r="B179" s="339"/>
      <c r="C179" s="340"/>
      <c r="D179" s="424">
        <f>N9</f>
        <v>0.9140781568900137</v>
      </c>
      <c r="E179" s="341">
        <f>'Growth Projection'!L$17/12</f>
        <v>211.86418584956846</v>
      </c>
      <c r="F179" s="341">
        <f t="shared" si="23"/>
        <v>193.66042451237686</v>
      </c>
      <c r="G179" s="340" t="str">
        <f t="shared" si="26"/>
        <v/>
      </c>
      <c r="H179" s="341">
        <f t="shared" si="27"/>
        <v>229.70157318527555</v>
      </c>
      <c r="I179" s="341">
        <f t="shared" si="28"/>
        <v>132.87136092908713</v>
      </c>
      <c r="J179" s="341">
        <f t="shared" si="29"/>
        <v>326.53178544146397</v>
      </c>
      <c r="K179" s="341">
        <f t="shared" si="30"/>
        <v>132.8713609290871</v>
      </c>
      <c r="L179" s="341">
        <f t="shared" si="25"/>
        <v>193.66042451237686</v>
      </c>
    </row>
    <row r="180" spans="1:12" x14ac:dyDescent="0.35">
      <c r="A180" s="338">
        <v>47058</v>
      </c>
      <c r="B180" s="339"/>
      <c r="C180" s="340"/>
      <c r="D180" s="424">
        <f>N9</f>
        <v>0.9140781568900137</v>
      </c>
      <c r="E180" s="341">
        <f>'Growth Projection'!L$17/12</f>
        <v>211.86418584956846</v>
      </c>
      <c r="F180" s="341">
        <f t="shared" si="23"/>
        <v>193.66042451237686</v>
      </c>
      <c r="G180" s="340" t="str">
        <f t="shared" si="26"/>
        <v/>
      </c>
      <c r="H180" s="341">
        <f t="shared" si="27"/>
        <v>229.70157318527555</v>
      </c>
      <c r="I180" s="341">
        <f t="shared" si="28"/>
        <v>132.87136092908713</v>
      </c>
      <c r="J180" s="341">
        <f t="shared" si="29"/>
        <v>326.53178544146397</v>
      </c>
      <c r="K180" s="341">
        <f t="shared" si="30"/>
        <v>132.8713609290871</v>
      </c>
      <c r="L180" s="341">
        <f t="shared" si="25"/>
        <v>193.66042451237686</v>
      </c>
    </row>
    <row r="181" spans="1:12" x14ac:dyDescent="0.35">
      <c r="A181" s="338">
        <v>47088</v>
      </c>
      <c r="B181" s="339"/>
      <c r="C181" s="340"/>
      <c r="D181" s="424">
        <f>N8</f>
        <v>1.5306095476663821</v>
      </c>
      <c r="E181" s="341">
        <f>'Growth Projection'!L$17/12</f>
        <v>211.86418584956846</v>
      </c>
      <c r="F181" s="341">
        <f t="shared" si="23"/>
        <v>324.28134566991429</v>
      </c>
      <c r="G181" s="340" t="str">
        <f t="shared" si="26"/>
        <v/>
      </c>
      <c r="H181" s="341">
        <f t="shared" si="27"/>
        <v>384.63168426162838</v>
      </c>
      <c r="I181" s="341">
        <f t="shared" si="28"/>
        <v>222.49101142667124</v>
      </c>
      <c r="J181" s="341">
        <f t="shared" si="29"/>
        <v>546.77235709658555</v>
      </c>
      <c r="K181" s="341">
        <f t="shared" si="30"/>
        <v>132.8713609290871</v>
      </c>
      <c r="L181" s="341">
        <f t="shared" si="25"/>
        <v>413.90099616749842</v>
      </c>
    </row>
    <row r="182" spans="1:12" x14ac:dyDescent="0.35">
      <c r="A182" s="171">
        <v>47119</v>
      </c>
      <c r="E182" s="109" t="str">
        <f>IFERROR(ROUND(TREND(D$14:D$181,A$14:A$181,A182),0),"")</f>
        <v/>
      </c>
      <c r="F182" s="109" t="str">
        <f>IFERROR(E182*N3,"")</f>
        <v/>
      </c>
      <c r="G182" s="108" t="str">
        <f>IF(C182="","",C182-N9)</f>
        <v/>
      </c>
      <c r="H182" s="109" t="str">
        <f t="shared" si="27"/>
        <v/>
      </c>
      <c r="I182" s="109" t="str">
        <f t="shared" si="28"/>
        <v/>
      </c>
      <c r="J182" s="109" t="str">
        <f t="shared" si="29"/>
        <v/>
      </c>
      <c r="K182" s="109"/>
      <c r="L182" s="109" t="str">
        <f t="shared" si="25"/>
        <v/>
      </c>
    </row>
    <row r="183" spans="1:12" x14ac:dyDescent="0.35">
      <c r="A183" s="171">
        <v>47150</v>
      </c>
      <c r="E183" s="109" t="str">
        <f t="shared" ref="E183:E193" si="31">IFERROR(ROUND(TREND(D$14:D$181,A$14:A$181,A183),0),"")</f>
        <v/>
      </c>
      <c r="F183" s="109" t="str">
        <f>IFERROR(E183*(N4+N3+N6-200%),"")</f>
        <v/>
      </c>
      <c r="G183" s="108" t="str">
        <f>IF(C183="","",C183-((N3+N4+N6-200%)))</f>
        <v/>
      </c>
      <c r="H183" s="109" t="str">
        <f t="shared" si="27"/>
        <v/>
      </c>
      <c r="I183" s="109" t="str">
        <f t="shared" si="28"/>
        <v/>
      </c>
      <c r="J183" s="109" t="str">
        <f t="shared" si="29"/>
        <v/>
      </c>
      <c r="K183" s="109" t="str">
        <f t="shared" ref="K183:K205" si="32">IFERROR(K182+L182-F182,"")</f>
        <v/>
      </c>
      <c r="L183" s="109" t="str">
        <f t="shared" si="25"/>
        <v/>
      </c>
    </row>
    <row r="184" spans="1:12" x14ac:dyDescent="0.35">
      <c r="A184" s="171">
        <v>47178</v>
      </c>
      <c r="E184" s="109" t="str">
        <f t="shared" si="31"/>
        <v/>
      </c>
      <c r="F184" s="109" t="str">
        <f>IFERROR(E184*N9,"")</f>
        <v/>
      </c>
      <c r="G184" s="108" t="str">
        <f>IF(C184="","",C184-N9)</f>
        <v/>
      </c>
      <c r="H184" s="109" t="str">
        <f t="shared" si="27"/>
        <v/>
      </c>
      <c r="I184" s="109" t="str">
        <f t="shared" si="28"/>
        <v/>
      </c>
      <c r="J184" s="109" t="str">
        <f t="shared" si="29"/>
        <v/>
      </c>
      <c r="K184" s="109" t="str">
        <f t="shared" si="32"/>
        <v/>
      </c>
      <c r="L184" s="109" t="str">
        <f t="shared" si="25"/>
        <v/>
      </c>
    </row>
    <row r="185" spans="1:12" x14ac:dyDescent="0.35">
      <c r="A185" s="171">
        <v>47209</v>
      </c>
      <c r="E185" s="109" t="str">
        <f t="shared" si="31"/>
        <v/>
      </c>
      <c r="F185" s="109" t="str">
        <f>IFERROR(E185*N12,"")</f>
        <v/>
      </c>
      <c r="G185" s="108" t="str">
        <f>IF(C185="","",C185-N9)</f>
        <v/>
      </c>
      <c r="H185" s="109" t="str">
        <f t="shared" si="27"/>
        <v/>
      </c>
      <c r="I185" s="109" t="str">
        <f t="shared" si="28"/>
        <v/>
      </c>
      <c r="J185" s="109" t="str">
        <f t="shared" si="29"/>
        <v/>
      </c>
      <c r="K185" s="109" t="str">
        <f t="shared" si="32"/>
        <v/>
      </c>
      <c r="L185" s="109" t="str">
        <f t="shared" si="25"/>
        <v/>
      </c>
    </row>
    <row r="186" spans="1:12" x14ac:dyDescent="0.35">
      <c r="A186" s="171">
        <v>47239</v>
      </c>
      <c r="E186" s="109" t="str">
        <f t="shared" si="31"/>
        <v/>
      </c>
      <c r="F186" s="109" t="str">
        <f>IFERROR(E186*N5,"")</f>
        <v/>
      </c>
      <c r="G186" s="108" t="str">
        <f>IF(C186="","",C186-N5)</f>
        <v/>
      </c>
      <c r="H186" s="109" t="str">
        <f t="shared" si="27"/>
        <v/>
      </c>
      <c r="I186" s="109" t="str">
        <f t="shared" si="28"/>
        <v/>
      </c>
      <c r="J186" s="109" t="str">
        <f t="shared" si="29"/>
        <v/>
      </c>
      <c r="K186" s="109" t="str">
        <f t="shared" si="32"/>
        <v/>
      </c>
      <c r="L186" s="109" t="str">
        <f t="shared" si="25"/>
        <v/>
      </c>
    </row>
    <row r="187" spans="1:12" x14ac:dyDescent="0.35">
      <c r="A187" s="171">
        <v>47270</v>
      </c>
      <c r="E187" s="109" t="str">
        <f t="shared" si="31"/>
        <v/>
      </c>
      <c r="F187" s="109" t="str">
        <f>IFERROR(E187*N9,"")</f>
        <v/>
      </c>
      <c r="G187" s="108" t="str">
        <f>IF(C187="","",C187-N7)</f>
        <v/>
      </c>
      <c r="H187" s="109" t="str">
        <f t="shared" si="27"/>
        <v/>
      </c>
      <c r="I187" s="109" t="str">
        <f t="shared" si="28"/>
        <v/>
      </c>
      <c r="J187" s="109" t="str">
        <f t="shared" si="29"/>
        <v/>
      </c>
      <c r="K187" s="109" t="str">
        <f t="shared" si="32"/>
        <v/>
      </c>
      <c r="L187" s="109" t="str">
        <f t="shared" si="25"/>
        <v/>
      </c>
    </row>
    <row r="188" spans="1:12" x14ac:dyDescent="0.35">
      <c r="A188" s="171">
        <v>47300</v>
      </c>
      <c r="E188" s="109" t="str">
        <f t="shared" si="31"/>
        <v/>
      </c>
      <c r="F188" s="109" t="str">
        <f>IFERROR(E188*N9,"")</f>
        <v/>
      </c>
      <c r="G188" s="108" t="str">
        <f>IF(C188="","",C188-N9)</f>
        <v/>
      </c>
      <c r="H188" s="109" t="str">
        <f t="shared" si="27"/>
        <v/>
      </c>
      <c r="I188" s="109" t="str">
        <f t="shared" si="28"/>
        <v/>
      </c>
      <c r="J188" s="109" t="str">
        <f t="shared" si="29"/>
        <v/>
      </c>
      <c r="K188" s="109" t="str">
        <f t="shared" si="32"/>
        <v/>
      </c>
      <c r="L188" s="109" t="str">
        <f t="shared" si="25"/>
        <v/>
      </c>
    </row>
    <row r="189" spans="1:12" x14ac:dyDescent="0.35">
      <c r="A189" s="171">
        <v>47331</v>
      </c>
      <c r="E189" s="109" t="str">
        <f t="shared" si="31"/>
        <v/>
      </c>
      <c r="F189" s="109" t="str">
        <f>IFERROR(E189*N9,"")</f>
        <v/>
      </c>
      <c r="G189" s="108" t="str">
        <f>IF(C189="","",C189-N9)</f>
        <v/>
      </c>
      <c r="H189" s="109" t="str">
        <f t="shared" si="27"/>
        <v/>
      </c>
      <c r="I189" s="109" t="str">
        <f t="shared" si="28"/>
        <v/>
      </c>
      <c r="J189" s="109" t="str">
        <f t="shared" si="29"/>
        <v/>
      </c>
      <c r="K189" s="109" t="str">
        <f t="shared" si="32"/>
        <v/>
      </c>
      <c r="L189" s="109" t="str">
        <f t="shared" si="25"/>
        <v/>
      </c>
    </row>
    <row r="190" spans="1:12" x14ac:dyDescent="0.35">
      <c r="A190" s="171">
        <v>47362</v>
      </c>
      <c r="E190" s="109" t="str">
        <f t="shared" si="31"/>
        <v/>
      </c>
      <c r="F190" s="109" t="str">
        <f>IFERROR(E190*N9,"")</f>
        <v/>
      </c>
      <c r="G190" s="108" t="str">
        <f>IF(C190="","",C190-N9)</f>
        <v/>
      </c>
      <c r="H190" s="109" t="str">
        <f t="shared" ref="H190:H205" si="33">IFERROR(F190+2*N$12*F190,"")</f>
        <v/>
      </c>
      <c r="I190" s="109" t="str">
        <f t="shared" ref="I190:I205" si="34">IFERROR(IF(OR(ISBLANK(H190),ISBLANK(F190)),"",(H190*N$14)-(N$13*F190)),"")</f>
        <v/>
      </c>
      <c r="J190" s="109" t="str">
        <f t="shared" ref="J190:J205" si="35">IFERROR(F190+I190,"")</f>
        <v/>
      </c>
      <c r="K190" s="109" t="str">
        <f t="shared" si="32"/>
        <v/>
      </c>
      <c r="L190" s="109" t="str">
        <f t="shared" si="25"/>
        <v/>
      </c>
    </row>
    <row r="191" spans="1:12" x14ac:dyDescent="0.35">
      <c r="A191" s="171">
        <v>47392</v>
      </c>
      <c r="E191" s="109" t="str">
        <f t="shared" si="31"/>
        <v/>
      </c>
      <c r="F191" s="109" t="str">
        <f>IFERROR(E191*N9,"")</f>
        <v/>
      </c>
      <c r="G191" s="108" t="str">
        <f>IF(C191="","",C191-N9)</f>
        <v/>
      </c>
      <c r="H191" s="109" t="str">
        <f t="shared" si="33"/>
        <v/>
      </c>
      <c r="I191" s="109" t="str">
        <f t="shared" si="34"/>
        <v/>
      </c>
      <c r="J191" s="109" t="str">
        <f t="shared" si="35"/>
        <v/>
      </c>
      <c r="K191" s="109" t="str">
        <f t="shared" si="32"/>
        <v/>
      </c>
      <c r="L191" s="109" t="str">
        <f t="shared" ref="L191:L205" si="36">IF(OR(J191="",K191=""),"",IF(J191&gt;K191,J191-K191,0))</f>
        <v/>
      </c>
    </row>
    <row r="192" spans="1:12" x14ac:dyDescent="0.35">
      <c r="A192" s="171">
        <v>47423</v>
      </c>
      <c r="E192" s="109" t="str">
        <f t="shared" si="31"/>
        <v/>
      </c>
      <c r="F192" s="109" t="str">
        <f>IFERROR(E192*N9,"")</f>
        <v/>
      </c>
      <c r="G192" s="108" t="str">
        <f>IF(C192="","",C192-N9)</f>
        <v/>
      </c>
      <c r="H192" s="109" t="str">
        <f t="shared" si="33"/>
        <v/>
      </c>
      <c r="I192" s="109" t="str">
        <f t="shared" si="34"/>
        <v/>
      </c>
      <c r="J192" s="109" t="str">
        <f t="shared" si="35"/>
        <v/>
      </c>
      <c r="K192" s="109" t="str">
        <f t="shared" si="32"/>
        <v/>
      </c>
      <c r="L192" s="109" t="str">
        <f t="shared" si="36"/>
        <v/>
      </c>
    </row>
    <row r="193" spans="1:12" x14ac:dyDescent="0.35">
      <c r="A193" s="171">
        <v>47453</v>
      </c>
      <c r="E193" s="109" t="str">
        <f t="shared" si="31"/>
        <v/>
      </c>
      <c r="F193" s="109" t="str">
        <f>IFERROR(E193*N8,"")</f>
        <v/>
      </c>
      <c r="G193" s="108" t="str">
        <f>IF(C193="","",C193-N8)</f>
        <v/>
      </c>
      <c r="H193" s="109" t="str">
        <f t="shared" si="33"/>
        <v/>
      </c>
      <c r="I193" s="109" t="str">
        <f t="shared" si="34"/>
        <v/>
      </c>
      <c r="J193" s="109" t="str">
        <f t="shared" si="35"/>
        <v/>
      </c>
      <c r="K193" s="109" t="str">
        <f t="shared" si="32"/>
        <v/>
      </c>
      <c r="L193" s="109" t="str">
        <f t="shared" si="36"/>
        <v/>
      </c>
    </row>
    <row r="194" spans="1:12" x14ac:dyDescent="0.35">
      <c r="A194" s="171">
        <v>47484</v>
      </c>
      <c r="E194" s="109" t="str">
        <f>IFERROR(ROUND(TREND(D$14:D$193,A$14:A$193,A194),0),"")</f>
        <v/>
      </c>
      <c r="F194" s="109" t="str">
        <f>IFERROR(E194*N9,"")</f>
        <v/>
      </c>
      <c r="G194" s="108" t="str">
        <f>IF(C194="","",C194-N9)</f>
        <v/>
      </c>
      <c r="H194" s="109" t="str">
        <f t="shared" si="33"/>
        <v/>
      </c>
      <c r="I194" s="109" t="str">
        <f t="shared" si="34"/>
        <v/>
      </c>
      <c r="J194" s="109" t="str">
        <f t="shared" si="35"/>
        <v/>
      </c>
      <c r="K194" s="109" t="str">
        <f t="shared" si="32"/>
        <v/>
      </c>
      <c r="L194" s="109" t="str">
        <f t="shared" si="36"/>
        <v/>
      </c>
    </row>
    <row r="195" spans="1:12" x14ac:dyDescent="0.35">
      <c r="A195" s="171">
        <v>47515</v>
      </c>
      <c r="E195" s="109" t="str">
        <f t="shared" ref="E195:E205" si="37">IFERROR(ROUND(TREND(D$14:D$193,A$14:A$193,A195),0),"")</f>
        <v/>
      </c>
      <c r="F195" s="109" t="str">
        <f>IFERROR(E195*(N3+N4+N6-200%),"")</f>
        <v/>
      </c>
      <c r="G195" s="108" t="str">
        <f>IF(C195="","",(C195-N3+N4+N6-200%))</f>
        <v/>
      </c>
      <c r="H195" s="109" t="str">
        <f t="shared" si="33"/>
        <v/>
      </c>
      <c r="I195" s="109" t="str">
        <f t="shared" si="34"/>
        <v/>
      </c>
      <c r="J195" s="109" t="str">
        <f t="shared" si="35"/>
        <v/>
      </c>
      <c r="K195" s="109" t="str">
        <f t="shared" si="32"/>
        <v/>
      </c>
      <c r="L195" s="109" t="str">
        <f t="shared" si="36"/>
        <v/>
      </c>
    </row>
    <row r="196" spans="1:12" x14ac:dyDescent="0.35">
      <c r="A196" s="171">
        <v>47543</v>
      </c>
      <c r="E196" s="109" t="str">
        <f t="shared" si="37"/>
        <v/>
      </c>
      <c r="F196" s="109" t="str">
        <f>IFERROR(E196*N9,"")</f>
        <v/>
      </c>
      <c r="G196" s="108" t="str">
        <f>IF(C196="","",C196-N9)</f>
        <v/>
      </c>
      <c r="H196" s="109" t="str">
        <f t="shared" si="33"/>
        <v/>
      </c>
      <c r="I196" s="109" t="str">
        <f t="shared" si="34"/>
        <v/>
      </c>
      <c r="J196" s="109" t="str">
        <f t="shared" si="35"/>
        <v/>
      </c>
      <c r="K196" s="109" t="str">
        <f t="shared" si="32"/>
        <v/>
      </c>
      <c r="L196" s="109" t="str">
        <f t="shared" si="36"/>
        <v/>
      </c>
    </row>
    <row r="197" spans="1:12" x14ac:dyDescent="0.35">
      <c r="A197" s="171">
        <v>47574</v>
      </c>
      <c r="E197" s="109" t="str">
        <f t="shared" si="37"/>
        <v/>
      </c>
      <c r="F197" s="109" t="str">
        <f>IFERROR(E197*N9,"")</f>
        <v/>
      </c>
      <c r="G197" s="108" t="str">
        <f>IF(C197="","",C197-N9)</f>
        <v/>
      </c>
      <c r="H197" s="109" t="str">
        <f t="shared" si="33"/>
        <v/>
      </c>
      <c r="I197" s="109" t="str">
        <f t="shared" si="34"/>
        <v/>
      </c>
      <c r="J197" s="109" t="str">
        <f t="shared" si="35"/>
        <v/>
      </c>
      <c r="K197" s="109" t="str">
        <f t="shared" si="32"/>
        <v/>
      </c>
      <c r="L197" s="109" t="str">
        <f t="shared" si="36"/>
        <v/>
      </c>
    </row>
    <row r="198" spans="1:12" x14ac:dyDescent="0.35">
      <c r="A198" s="171">
        <v>47604</v>
      </c>
      <c r="E198" s="109" t="str">
        <f t="shared" si="37"/>
        <v/>
      </c>
      <c r="F198" s="109" t="str">
        <f>IFERROR(E198*N5,"")</f>
        <v/>
      </c>
      <c r="G198" s="108" t="str">
        <f>IF(C198="","",C198-N5)</f>
        <v/>
      </c>
      <c r="H198" s="109" t="str">
        <f t="shared" si="33"/>
        <v/>
      </c>
      <c r="I198" s="109" t="str">
        <f t="shared" si="34"/>
        <v/>
      </c>
      <c r="J198" s="109" t="str">
        <f t="shared" si="35"/>
        <v/>
      </c>
      <c r="K198" s="109" t="str">
        <f t="shared" si="32"/>
        <v/>
      </c>
      <c r="L198" s="109" t="str">
        <f t="shared" si="36"/>
        <v/>
      </c>
    </row>
    <row r="199" spans="1:12" x14ac:dyDescent="0.35">
      <c r="A199" s="171">
        <v>47635</v>
      </c>
      <c r="E199" s="109" t="str">
        <f t="shared" si="37"/>
        <v/>
      </c>
      <c r="F199" s="109" t="str">
        <f>IFERROR(E199*N7,"")</f>
        <v/>
      </c>
      <c r="G199" s="108" t="str">
        <f>IF(C199="","",C199-N7)</f>
        <v/>
      </c>
      <c r="H199" s="109" t="str">
        <f t="shared" si="33"/>
        <v/>
      </c>
      <c r="I199" s="109" t="str">
        <f t="shared" si="34"/>
        <v/>
      </c>
      <c r="J199" s="109" t="str">
        <f t="shared" si="35"/>
        <v/>
      </c>
      <c r="K199" s="109" t="str">
        <f t="shared" si="32"/>
        <v/>
      </c>
      <c r="L199" s="109" t="str">
        <f t="shared" si="36"/>
        <v/>
      </c>
    </row>
    <row r="200" spans="1:12" x14ac:dyDescent="0.35">
      <c r="A200" s="171">
        <v>47665</v>
      </c>
      <c r="E200" s="109" t="str">
        <f t="shared" si="37"/>
        <v/>
      </c>
      <c r="F200" s="109" t="str">
        <f>IFERROR(E200*N9,"")</f>
        <v/>
      </c>
      <c r="G200" s="108" t="str">
        <f>IF(C200="","",C200-N9)</f>
        <v/>
      </c>
      <c r="H200" s="109" t="str">
        <f t="shared" si="33"/>
        <v/>
      </c>
      <c r="I200" s="109" t="str">
        <f t="shared" si="34"/>
        <v/>
      </c>
      <c r="J200" s="109" t="str">
        <f t="shared" si="35"/>
        <v/>
      </c>
      <c r="K200" s="109" t="str">
        <f t="shared" si="32"/>
        <v/>
      </c>
      <c r="L200" s="109" t="str">
        <f t="shared" si="36"/>
        <v/>
      </c>
    </row>
    <row r="201" spans="1:12" x14ac:dyDescent="0.35">
      <c r="A201" s="171">
        <v>47696</v>
      </c>
      <c r="E201" s="109" t="str">
        <f t="shared" si="37"/>
        <v/>
      </c>
      <c r="F201" s="109" t="str">
        <f>IFERROR(E201*N9,"")</f>
        <v/>
      </c>
      <c r="G201" s="108" t="str">
        <f>IF(C201="","",C201-N9)</f>
        <v/>
      </c>
      <c r="H201" s="109" t="str">
        <f t="shared" si="33"/>
        <v/>
      </c>
      <c r="I201" s="109" t="str">
        <f t="shared" si="34"/>
        <v/>
      </c>
      <c r="J201" s="109" t="str">
        <f t="shared" si="35"/>
        <v/>
      </c>
      <c r="K201" s="109" t="str">
        <f t="shared" si="32"/>
        <v/>
      </c>
      <c r="L201" s="109" t="str">
        <f t="shared" si="36"/>
        <v/>
      </c>
    </row>
    <row r="202" spans="1:12" x14ac:dyDescent="0.35">
      <c r="A202" s="171">
        <v>47727</v>
      </c>
      <c r="E202" s="109" t="str">
        <f t="shared" si="37"/>
        <v/>
      </c>
      <c r="F202" s="109" t="str">
        <f>IFERROR(E202*N9,"")</f>
        <v/>
      </c>
      <c r="G202" s="108" t="str">
        <f>IF(C202="","",C202-N9)</f>
        <v/>
      </c>
      <c r="H202" s="109" t="str">
        <f t="shared" si="33"/>
        <v/>
      </c>
      <c r="I202" s="109" t="str">
        <f t="shared" si="34"/>
        <v/>
      </c>
      <c r="J202" s="109" t="str">
        <f t="shared" si="35"/>
        <v/>
      </c>
      <c r="K202" s="109" t="str">
        <f t="shared" si="32"/>
        <v/>
      </c>
      <c r="L202" s="109" t="str">
        <f t="shared" si="36"/>
        <v/>
      </c>
    </row>
    <row r="203" spans="1:12" x14ac:dyDescent="0.35">
      <c r="A203" s="171">
        <v>47757</v>
      </c>
      <c r="E203" s="109" t="str">
        <f t="shared" si="37"/>
        <v/>
      </c>
      <c r="F203" s="109" t="str">
        <f>IFERROR(E203*N9,"")</f>
        <v/>
      </c>
      <c r="G203" s="108" t="str">
        <f>IF(C203="","",C203-N9)</f>
        <v/>
      </c>
      <c r="H203" s="109" t="str">
        <f t="shared" si="33"/>
        <v/>
      </c>
      <c r="I203" s="109" t="str">
        <f t="shared" si="34"/>
        <v/>
      </c>
      <c r="J203" s="109" t="str">
        <f t="shared" si="35"/>
        <v/>
      </c>
      <c r="K203" s="109" t="str">
        <f t="shared" si="32"/>
        <v/>
      </c>
      <c r="L203" s="109" t="str">
        <f t="shared" si="36"/>
        <v/>
      </c>
    </row>
    <row r="204" spans="1:12" x14ac:dyDescent="0.35">
      <c r="A204" s="171">
        <v>47788</v>
      </c>
      <c r="E204" s="109" t="str">
        <f t="shared" si="37"/>
        <v/>
      </c>
      <c r="F204" s="109" t="str">
        <f>IFERROR(E204*N9,"")</f>
        <v/>
      </c>
      <c r="G204" s="108" t="str">
        <f>IF(C204="","",C204-N9)</f>
        <v/>
      </c>
      <c r="H204" s="109" t="str">
        <f t="shared" si="33"/>
        <v/>
      </c>
      <c r="I204" s="109" t="str">
        <f t="shared" si="34"/>
        <v/>
      </c>
      <c r="J204" s="109" t="str">
        <f t="shared" si="35"/>
        <v/>
      </c>
      <c r="K204" s="109" t="str">
        <f t="shared" si="32"/>
        <v/>
      </c>
      <c r="L204" s="109" t="str">
        <f t="shared" si="36"/>
        <v/>
      </c>
    </row>
    <row r="205" spans="1:12" x14ac:dyDescent="0.35">
      <c r="A205" s="171">
        <v>47818</v>
      </c>
      <c r="E205" s="109" t="str">
        <f t="shared" si="37"/>
        <v/>
      </c>
      <c r="F205" s="109" t="str">
        <f>IFERROR(E205*N8,"")</f>
        <v/>
      </c>
      <c r="G205" s="108" t="str">
        <f>IF(C205="","",C205-N8)</f>
        <v/>
      </c>
      <c r="H205" s="109" t="str">
        <f t="shared" si="33"/>
        <v/>
      </c>
      <c r="I205" s="109" t="str">
        <f t="shared" si="34"/>
        <v/>
      </c>
      <c r="J205" s="109" t="str">
        <f t="shared" si="35"/>
        <v/>
      </c>
      <c r="K205" s="109" t="str">
        <f t="shared" si="32"/>
        <v/>
      </c>
      <c r="L205" s="109" t="str">
        <f t="shared" si="36"/>
        <v/>
      </c>
    </row>
  </sheetData>
  <sheetProtection algorithmName="SHA-512" hashValue="sVfDxAF7Cp9C7iKrXohOFOFFrcJXJbYaFgkVnwJCNKe+PY1iqBSME9gUqmUm4DM2j+Ke7UJTJRuhA89aMeuFvA==" saltValue="Yzp4mpw5U8NKes0NEeZ3pA==" spinCount="100000" sheet="1" objects="1" scenarios="1"/>
  <conditionalFormatting sqref="K182:K205">
    <cfRule type="expression" dxfId="6" priority="6">
      <formula>Formatformulas</formula>
    </cfRule>
  </conditionalFormatting>
  <conditionalFormatting sqref="K1">
    <cfRule type="expression" dxfId="5" priority="4">
      <formula>Formatformulas</formula>
    </cfRule>
  </conditionalFormatting>
  <conditionalFormatting sqref="K62:K73">
    <cfRule type="expression" dxfId="4" priority="1">
      <formula>Formatformulas</formula>
    </cfRule>
  </conditionalFormatting>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CE83D-B2B9-4FC5-9270-781CCA98CBC0}">
  <sheetPr codeName="Sheet22">
    <tabColor rgb="FF0070C0"/>
  </sheetPr>
  <dimension ref="A1:AK205"/>
  <sheetViews>
    <sheetView showGridLines="0" zoomScale="55" workbookViewId="0">
      <pane xSplit="1" ySplit="1" topLeftCell="B2" activePane="bottomRight" state="frozen"/>
      <selection pane="topRight" activeCell="B1" sqref="B1"/>
      <selection pane="bottomLeft" activeCell="A2" sqref="A2"/>
      <selection pane="bottomRight" activeCell="J184" sqref="J184"/>
    </sheetView>
  </sheetViews>
  <sheetFormatPr defaultColWidth="8.83203125" defaultRowHeight="15.5" x14ac:dyDescent="0.35"/>
  <cols>
    <col min="1" max="1" width="8.08203125" style="82" bestFit="1" customWidth="1"/>
    <col min="2" max="2" width="11.83203125" style="82" bestFit="1" customWidth="1"/>
    <col min="3" max="3" width="21.08203125" style="82" bestFit="1" customWidth="1"/>
    <col min="4" max="4" width="25.58203125" style="82" bestFit="1" customWidth="1"/>
    <col min="5" max="5" width="21.83203125" style="109" bestFit="1" customWidth="1"/>
    <col min="6" max="6" width="19.5" style="82" bestFit="1" customWidth="1"/>
    <col min="7" max="7" width="22.5" style="82" bestFit="1" customWidth="1"/>
    <col min="8" max="8" width="19.5" style="82" bestFit="1" customWidth="1"/>
    <col min="9" max="9" width="10.58203125" style="82" bestFit="1" customWidth="1"/>
    <col min="10" max="10" width="27.83203125" style="82" bestFit="1" customWidth="1"/>
    <col min="11" max="11" width="26.83203125" style="82" bestFit="1" customWidth="1"/>
    <col min="12" max="12" width="13.33203125" style="82" bestFit="1" customWidth="1"/>
    <col min="13" max="13" width="84.5" style="82" customWidth="1"/>
    <col min="14" max="14" width="21.58203125" bestFit="1" customWidth="1"/>
    <col min="15" max="15" width="27.58203125" bestFit="1" customWidth="1"/>
    <col min="16" max="16" width="19.83203125" bestFit="1" customWidth="1"/>
    <col min="17" max="33" width="4.83203125" bestFit="1" customWidth="1"/>
    <col min="35" max="35" width="118.83203125" customWidth="1"/>
    <col min="36" max="36" width="91" customWidth="1"/>
    <col min="37" max="37" width="118" customWidth="1"/>
  </cols>
  <sheetData>
    <row r="1" spans="1:37" x14ac:dyDescent="0.35">
      <c r="A1" s="169" t="s">
        <v>112</v>
      </c>
      <c r="B1" s="169" t="s">
        <v>113</v>
      </c>
      <c r="C1" s="169" t="s">
        <v>519</v>
      </c>
      <c r="D1" s="170" t="s">
        <v>520</v>
      </c>
      <c r="E1" s="170" t="s">
        <v>158</v>
      </c>
      <c r="F1" s="170" t="s">
        <v>115</v>
      </c>
      <c r="G1" s="280" t="s">
        <v>262</v>
      </c>
      <c r="H1" s="169" t="s">
        <v>212</v>
      </c>
      <c r="I1" s="169" t="s">
        <v>213</v>
      </c>
      <c r="J1" s="169" t="s">
        <v>214</v>
      </c>
      <c r="K1" s="169" t="s">
        <v>215</v>
      </c>
      <c r="L1" s="169" t="s">
        <v>216</v>
      </c>
    </row>
    <row r="2" spans="1:37" x14ac:dyDescent="0.35">
      <c r="A2" s="338">
        <v>41640</v>
      </c>
      <c r="B2" s="339">
        <f>INDEX('Seasonality Analysis'!C$3:N$17,COLUMN(C1),ROW(A1))</f>
        <v>12</v>
      </c>
      <c r="C2" s="340">
        <f t="shared" ref="C2:C13" si="0">IF(B2=0,"",B2/AVERAGE(B$2:B$13))</f>
        <v>0.82758620689655171</v>
      </c>
      <c r="D2" s="341"/>
      <c r="E2" s="341"/>
      <c r="F2" s="341"/>
      <c r="G2" s="340"/>
      <c r="H2" s="343"/>
      <c r="I2" s="343"/>
      <c r="J2" s="343"/>
      <c r="K2" s="343"/>
      <c r="L2" s="343"/>
      <c r="N2" s="82"/>
      <c r="O2" s="82"/>
    </row>
    <row r="3" spans="1:37" x14ac:dyDescent="0.35">
      <c r="A3" s="338">
        <v>41671</v>
      </c>
      <c r="B3" s="339">
        <f>INDEX('Seasonality Analysis'!C$3:N$17,COLUMN(C2),ROW(A2))</f>
        <v>20</v>
      </c>
      <c r="C3" s="340">
        <f t="shared" si="0"/>
        <v>1.3793103448275863</v>
      </c>
      <c r="D3" s="341"/>
      <c r="E3" s="341"/>
      <c r="F3" s="341"/>
      <c r="G3" s="340"/>
      <c r="H3" s="343"/>
      <c r="I3" s="343"/>
      <c r="J3" s="343"/>
      <c r="K3" s="343"/>
      <c r="L3" s="343"/>
      <c r="M3" s="390" t="s">
        <v>521</v>
      </c>
      <c r="N3" s="172">
        <f>AVERAGE(C38,C2)</f>
        <v>0.92154042168427108</v>
      </c>
      <c r="O3" s="82"/>
      <c r="P3" s="69" t="s">
        <v>217</v>
      </c>
      <c r="Q3" s="82">
        <v>2014</v>
      </c>
      <c r="R3" s="82">
        <v>2015</v>
      </c>
      <c r="S3" s="82">
        <v>2016</v>
      </c>
      <c r="T3" s="82">
        <v>2017</v>
      </c>
      <c r="U3" s="82">
        <v>2018</v>
      </c>
      <c r="V3" s="82">
        <v>2019</v>
      </c>
      <c r="W3" s="82">
        <v>2020</v>
      </c>
      <c r="X3" s="82">
        <v>2021</v>
      </c>
      <c r="Y3" s="82">
        <v>2022</v>
      </c>
      <c r="Z3" s="82">
        <v>2023</v>
      </c>
      <c r="AA3" s="82">
        <v>2024</v>
      </c>
      <c r="AB3" s="82">
        <v>2025</v>
      </c>
      <c r="AC3" s="82">
        <v>2026</v>
      </c>
      <c r="AD3" s="82">
        <v>2027</v>
      </c>
      <c r="AE3" s="82">
        <v>2028</v>
      </c>
      <c r="AF3" s="82">
        <v>2029</v>
      </c>
      <c r="AG3" s="82">
        <v>2030</v>
      </c>
      <c r="AI3" s="299" t="s">
        <v>342</v>
      </c>
      <c r="AJ3" s="300"/>
      <c r="AK3" s="301"/>
    </row>
    <row r="4" spans="1:37" x14ac:dyDescent="0.35">
      <c r="A4" s="338">
        <v>41699</v>
      </c>
      <c r="B4" s="339">
        <f>INDEX('Seasonality Analysis'!C$3:N$17,COLUMN(C3),ROW(A3))</f>
        <v>7</v>
      </c>
      <c r="C4" s="340">
        <f t="shared" si="0"/>
        <v>0.48275862068965519</v>
      </c>
      <c r="D4" s="341"/>
      <c r="E4" s="341"/>
      <c r="F4" s="341"/>
      <c r="G4" s="340"/>
      <c r="H4" s="343"/>
      <c r="I4" s="343"/>
      <c r="J4" s="343"/>
      <c r="K4" s="343"/>
      <c r="L4" s="343"/>
      <c r="M4" s="390" t="s">
        <v>522</v>
      </c>
      <c r="N4" s="172">
        <f>AVERAGE(C39,C3)</f>
        <v>1.2331593440466895</v>
      </c>
      <c r="O4" s="82"/>
      <c r="P4" t="s">
        <v>93</v>
      </c>
      <c r="Q4" s="273" t="s">
        <v>76</v>
      </c>
      <c r="R4" s="273" t="s">
        <v>77</v>
      </c>
      <c r="S4" s="273" t="s">
        <v>77</v>
      </c>
      <c r="T4" s="273" t="s">
        <v>76</v>
      </c>
      <c r="U4" s="273" t="s">
        <v>77</v>
      </c>
      <c r="V4" s="273" t="s">
        <v>77</v>
      </c>
      <c r="W4" s="274" t="s">
        <v>76</v>
      </c>
      <c r="X4" s="274" t="s">
        <v>77</v>
      </c>
      <c r="Y4" s="274" t="s">
        <v>77</v>
      </c>
      <c r="Z4" s="274" t="s">
        <v>76</v>
      </c>
      <c r="AA4" s="274" t="s">
        <v>77</v>
      </c>
      <c r="AB4" s="274" t="s">
        <v>76</v>
      </c>
      <c r="AC4" s="274" t="s">
        <v>77</v>
      </c>
      <c r="AD4" s="274" t="s">
        <v>77</v>
      </c>
      <c r="AE4" s="274" t="s">
        <v>76</v>
      </c>
      <c r="AF4" s="274" t="s">
        <v>77</v>
      </c>
      <c r="AG4" s="274" t="s">
        <v>77</v>
      </c>
      <c r="AI4" s="302" t="s">
        <v>105</v>
      </c>
      <c r="AJ4" s="303" t="s">
        <v>107</v>
      </c>
      <c r="AK4" s="304" t="s">
        <v>106</v>
      </c>
    </row>
    <row r="5" spans="1:37" x14ac:dyDescent="0.35">
      <c r="A5" s="338">
        <v>41730</v>
      </c>
      <c r="B5" s="339">
        <f>INDEX('Seasonality Analysis'!C$3:N$17,COLUMN(C4),ROW(A4))</f>
        <v>6</v>
      </c>
      <c r="C5" s="340">
        <f t="shared" si="0"/>
        <v>0.41379310344827586</v>
      </c>
      <c r="D5" s="341"/>
      <c r="E5" s="341"/>
      <c r="F5" s="341"/>
      <c r="G5" s="340"/>
      <c r="H5" s="343"/>
      <c r="I5" s="343"/>
      <c r="J5" s="343"/>
      <c r="K5" s="343"/>
      <c r="L5" s="343"/>
      <c r="M5" s="390" t="s">
        <v>523</v>
      </c>
      <c r="N5" s="172">
        <f>AVERAGE(C18,C30,C42,C6)</f>
        <v>1.0535078872629693</v>
      </c>
      <c r="O5" s="82"/>
      <c r="P5" t="s">
        <v>94</v>
      </c>
      <c r="Q5" s="82" t="s">
        <v>77</v>
      </c>
      <c r="R5" s="82" t="s">
        <v>77</v>
      </c>
      <c r="S5" s="82" t="s">
        <v>77</v>
      </c>
      <c r="T5" s="82" t="s">
        <v>77</v>
      </c>
      <c r="U5" s="82" t="s">
        <v>77</v>
      </c>
      <c r="V5" s="82" t="s">
        <v>77</v>
      </c>
      <c r="W5" s="82" t="s">
        <v>77</v>
      </c>
      <c r="X5" s="82" t="s">
        <v>77</v>
      </c>
      <c r="Y5" s="82" t="s">
        <v>77</v>
      </c>
      <c r="Z5" s="82" t="s">
        <v>77</v>
      </c>
      <c r="AA5" s="82" t="s">
        <v>77</v>
      </c>
      <c r="AB5" s="82" t="s">
        <v>77</v>
      </c>
      <c r="AC5" s="82" t="s">
        <v>77</v>
      </c>
      <c r="AD5" s="82" t="s">
        <v>77</v>
      </c>
      <c r="AE5" s="82" t="s">
        <v>77</v>
      </c>
      <c r="AF5" s="82" t="s">
        <v>77</v>
      </c>
      <c r="AG5" s="82" t="s">
        <v>77</v>
      </c>
      <c r="AH5" s="82"/>
      <c r="AI5" s="388" t="s">
        <v>735</v>
      </c>
      <c r="AJ5" s="391" t="s">
        <v>784</v>
      </c>
      <c r="AK5" s="389" t="s">
        <v>344</v>
      </c>
    </row>
    <row r="6" spans="1:37" x14ac:dyDescent="0.35">
      <c r="A6" s="338">
        <v>41760</v>
      </c>
      <c r="B6" s="339">
        <f>INDEX('Seasonality Analysis'!C$3:N$17,COLUMN(C5),ROW(A5))</f>
        <v>14</v>
      </c>
      <c r="C6" s="340">
        <f t="shared" si="0"/>
        <v>0.96551724137931039</v>
      </c>
      <c r="D6" s="341"/>
      <c r="E6" s="341"/>
      <c r="F6" s="341"/>
      <c r="G6" s="340"/>
      <c r="H6" s="343"/>
      <c r="I6" s="343"/>
      <c r="J6" s="343"/>
      <c r="K6" s="343"/>
      <c r="L6" s="343"/>
      <c r="M6" s="390" t="s">
        <v>524</v>
      </c>
      <c r="N6" s="172">
        <f>AVERAGE(C20,C32,C8)</f>
        <v>1.2028025569775205</v>
      </c>
      <c r="O6" s="82"/>
      <c r="P6" t="s">
        <v>95</v>
      </c>
      <c r="Q6" s="82" t="s">
        <v>80</v>
      </c>
      <c r="R6" s="82" t="s">
        <v>80</v>
      </c>
      <c r="S6" s="82" t="s">
        <v>80</v>
      </c>
      <c r="T6" s="82" t="s">
        <v>80</v>
      </c>
      <c r="U6" s="82" t="s">
        <v>80</v>
      </c>
      <c r="V6" s="82" t="s">
        <v>80</v>
      </c>
      <c r="W6" s="82" t="s">
        <v>80</v>
      </c>
      <c r="X6" s="82" t="s">
        <v>80</v>
      </c>
      <c r="Y6" s="82" t="s">
        <v>80</v>
      </c>
      <c r="Z6" s="82" t="s">
        <v>80</v>
      </c>
      <c r="AA6" s="82" t="s">
        <v>80</v>
      </c>
      <c r="AB6" s="82" t="s">
        <v>80</v>
      </c>
      <c r="AC6" s="82" t="s">
        <v>80</v>
      </c>
      <c r="AD6" s="82" t="s">
        <v>80</v>
      </c>
      <c r="AE6" s="82" t="s">
        <v>80</v>
      </c>
      <c r="AF6" s="82" t="s">
        <v>80</v>
      </c>
      <c r="AG6" s="82" t="s">
        <v>80</v>
      </c>
      <c r="AH6" s="82"/>
      <c r="AI6" s="388" t="s">
        <v>718</v>
      </c>
      <c r="AJ6" s="85" t="s">
        <v>736</v>
      </c>
      <c r="AK6" s="389" t="str">
        <f ca="1">_xlfn.FORMULATEXT(B2)</f>
        <v>=INDEX('Seasonality Analysis'!C$3:N$17,COLUMN(C1),ROW(A1))</v>
      </c>
    </row>
    <row r="7" spans="1:37" x14ac:dyDescent="0.35">
      <c r="A7" s="338">
        <v>41791</v>
      </c>
      <c r="B7" s="339">
        <f>INDEX('Seasonality Analysis'!C$3:N$17,COLUMN(C6),ROW(A6))</f>
        <v>16</v>
      </c>
      <c r="C7" s="340">
        <f t="shared" si="0"/>
        <v>1.103448275862069</v>
      </c>
      <c r="D7" s="341"/>
      <c r="E7" s="341"/>
      <c r="F7" s="341"/>
      <c r="G7" s="340"/>
      <c r="H7" s="343"/>
      <c r="I7" s="343"/>
      <c r="J7" s="343"/>
      <c r="K7" s="343"/>
      <c r="L7" s="343"/>
      <c r="M7" s="390" t="s">
        <v>525</v>
      </c>
      <c r="N7" s="172">
        <f>AVERAGE(C19,C31,C7)</f>
        <v>1.1344907639187414</v>
      </c>
      <c r="O7" s="82"/>
      <c r="P7" t="s">
        <v>96</v>
      </c>
      <c r="Q7" s="273" t="s">
        <v>82</v>
      </c>
      <c r="R7" s="273" t="s">
        <v>82</v>
      </c>
      <c r="S7" s="273" t="s">
        <v>82</v>
      </c>
      <c r="T7" s="273" t="s">
        <v>81</v>
      </c>
      <c r="U7" s="273" t="s">
        <v>81</v>
      </c>
      <c r="V7" s="273" t="s">
        <v>81</v>
      </c>
      <c r="W7" s="274" t="s">
        <v>80</v>
      </c>
      <c r="X7" s="274" t="s">
        <v>80</v>
      </c>
      <c r="Y7" s="274" t="s">
        <v>80</v>
      </c>
      <c r="Z7" s="274" t="s">
        <v>218</v>
      </c>
      <c r="AA7" s="274" t="s">
        <v>218</v>
      </c>
      <c r="AB7" s="274" t="s">
        <v>78</v>
      </c>
      <c r="AC7" s="274" t="s">
        <v>78</v>
      </c>
      <c r="AD7" s="274" t="s">
        <v>78</v>
      </c>
      <c r="AE7" s="274" t="s">
        <v>77</v>
      </c>
      <c r="AF7" s="274" t="s">
        <v>77</v>
      </c>
      <c r="AG7" s="274" t="s">
        <v>77</v>
      </c>
      <c r="AI7" s="388" t="s">
        <v>721</v>
      </c>
      <c r="AJ7" s="85" t="s">
        <v>519</v>
      </c>
      <c r="AK7" s="389" t="str">
        <f ca="1">_xlfn.FORMULATEXT(C2)</f>
        <v>=IF(B2=0,"",B2/AVERAGE(B$2:B$13))</v>
      </c>
    </row>
    <row r="8" spans="1:37" x14ac:dyDescent="0.35">
      <c r="A8" s="338">
        <v>41821</v>
      </c>
      <c r="B8" s="339">
        <f>INDEX('Seasonality Analysis'!C$3:N$17,COLUMN(C7),ROW(A7))</f>
        <v>18</v>
      </c>
      <c r="C8" s="340">
        <f t="shared" si="0"/>
        <v>1.2413793103448276</v>
      </c>
      <c r="D8" s="341"/>
      <c r="E8" s="341"/>
      <c r="F8" s="341"/>
      <c r="G8" s="340"/>
      <c r="H8" s="343"/>
      <c r="I8" s="343"/>
      <c r="J8" s="343"/>
      <c r="K8" s="343"/>
      <c r="L8" s="343"/>
      <c r="M8" s="390" t="s">
        <v>526</v>
      </c>
      <c r="N8" s="172">
        <f>AVERAGE(C25,C37,C49,C13)</f>
        <v>1.7350486713019757</v>
      </c>
      <c r="O8" s="82"/>
      <c r="P8" t="s">
        <v>97</v>
      </c>
      <c r="Q8" s="82" t="s">
        <v>81</v>
      </c>
      <c r="R8" s="82" t="s">
        <v>81</v>
      </c>
      <c r="S8" s="82" t="s">
        <v>81</v>
      </c>
      <c r="T8" s="82" t="s">
        <v>81</v>
      </c>
      <c r="U8" s="82" t="s">
        <v>81</v>
      </c>
      <c r="V8" s="82" t="s">
        <v>81</v>
      </c>
      <c r="W8" s="82" t="s">
        <v>81</v>
      </c>
      <c r="X8" s="82" t="s">
        <v>81</v>
      </c>
      <c r="Y8" s="82" t="s">
        <v>81</v>
      </c>
      <c r="Z8" s="82" t="s">
        <v>81</v>
      </c>
      <c r="AA8" s="82" t="s">
        <v>81</v>
      </c>
      <c r="AB8" s="82" t="s">
        <v>81</v>
      </c>
      <c r="AC8" s="82" t="s">
        <v>81</v>
      </c>
      <c r="AD8" s="82" t="s">
        <v>81</v>
      </c>
      <c r="AE8" s="82" t="s">
        <v>81</v>
      </c>
      <c r="AF8" s="82" t="s">
        <v>81</v>
      </c>
      <c r="AG8" s="82" t="s">
        <v>81</v>
      </c>
      <c r="AH8" s="82"/>
      <c r="AI8" s="388" t="s">
        <v>737</v>
      </c>
      <c r="AJ8" s="85" t="s">
        <v>520</v>
      </c>
      <c r="AK8" s="389" t="str">
        <f ca="1">_xlfn.FORMULATEXT(D50)</f>
        <v>=N9</v>
      </c>
    </row>
    <row r="9" spans="1:37" x14ac:dyDescent="0.35">
      <c r="A9" s="338">
        <v>41852</v>
      </c>
      <c r="B9" s="339">
        <f>INDEX('Seasonality Analysis'!C$3:N$17,COLUMN(C8),ROW(A8))</f>
        <v>7</v>
      </c>
      <c r="C9" s="340">
        <f t="shared" si="0"/>
        <v>0.48275862068965519</v>
      </c>
      <c r="D9" s="341"/>
      <c r="E9" s="341"/>
      <c r="F9" s="341"/>
      <c r="G9" s="340"/>
      <c r="H9" s="343"/>
      <c r="I9" s="343"/>
      <c r="J9" s="343"/>
      <c r="K9" s="343"/>
      <c r="L9" s="343"/>
      <c r="M9" s="390" t="s">
        <v>219</v>
      </c>
      <c r="N9" s="172">
        <f>AVERAGE(C17,C21,C22,C23,C24,C29,C33,C34,C36,C35,C41,C45,C46,C47,C48,C53,C57,C58,C59,C60,C14,C26,C50,C44,C56,C16,C28,C40,C52)</f>
        <v>0.8957609796993361</v>
      </c>
      <c r="O9" s="82"/>
      <c r="P9" t="s">
        <v>98</v>
      </c>
      <c r="Q9" s="82" t="s">
        <v>87</v>
      </c>
      <c r="R9" s="82" t="s">
        <v>87</v>
      </c>
      <c r="S9" s="82" t="s">
        <v>87</v>
      </c>
      <c r="T9" s="82" t="s">
        <v>87</v>
      </c>
      <c r="U9" s="82" t="s">
        <v>87</v>
      </c>
      <c r="V9" s="82" t="s">
        <v>87</v>
      </c>
      <c r="W9" s="82" t="s">
        <v>87</v>
      </c>
      <c r="X9" s="82" t="s">
        <v>87</v>
      </c>
      <c r="Y9" s="82" t="s">
        <v>87</v>
      </c>
      <c r="Z9" s="82" t="s">
        <v>87</v>
      </c>
      <c r="AA9" s="82" t="s">
        <v>87</v>
      </c>
      <c r="AB9" s="82" t="s">
        <v>87</v>
      </c>
      <c r="AC9" s="82" t="s">
        <v>87</v>
      </c>
      <c r="AD9" s="82" t="s">
        <v>87</v>
      </c>
      <c r="AE9" s="82" t="s">
        <v>87</v>
      </c>
      <c r="AF9" s="82" t="s">
        <v>87</v>
      </c>
      <c r="AG9" s="82" t="s">
        <v>87</v>
      </c>
      <c r="AH9" s="82"/>
      <c r="AI9" s="388" t="s">
        <v>738</v>
      </c>
      <c r="AJ9" s="85" t="s">
        <v>739</v>
      </c>
      <c r="AK9" s="389" t="str">
        <f ca="1">_xlfn.FORMULATEXT(G50)</f>
        <v>=IF(OR(C50="",D50=""),"",C50-D50)</v>
      </c>
    </row>
    <row r="10" spans="1:37" x14ac:dyDescent="0.35">
      <c r="A10" s="338">
        <v>41883</v>
      </c>
      <c r="B10" s="339">
        <f>INDEX('Seasonality Analysis'!C$3:N$17,COLUMN(C9),ROW(A9))</f>
        <v>9</v>
      </c>
      <c r="C10" s="340">
        <f t="shared" si="0"/>
        <v>0.62068965517241381</v>
      </c>
      <c r="D10" s="341"/>
      <c r="E10" s="341"/>
      <c r="F10" s="341"/>
      <c r="G10" s="340"/>
      <c r="H10" s="343"/>
      <c r="I10" s="343"/>
      <c r="J10" s="343"/>
      <c r="K10" s="343"/>
      <c r="L10" s="343"/>
      <c r="M10"/>
      <c r="N10" s="82"/>
      <c r="O10" s="82"/>
      <c r="P10" s="82"/>
      <c r="Q10" s="82"/>
      <c r="R10" s="82"/>
      <c r="S10" s="82"/>
      <c r="AI10" s="388" t="s">
        <v>444</v>
      </c>
      <c r="AJ10" s="85" t="s">
        <v>741</v>
      </c>
      <c r="AK10" s="389" t="str">
        <f ca="1">_xlfn.FORMULATEXT(E62)</f>
        <v>='Growth Projection'!C$18/12</v>
      </c>
    </row>
    <row r="11" spans="1:37" x14ac:dyDescent="0.35">
      <c r="A11" s="338">
        <v>41913</v>
      </c>
      <c r="B11" s="339">
        <f>INDEX('Seasonality Analysis'!C$3:N$17,COLUMN(C10),ROW(A10))</f>
        <v>9</v>
      </c>
      <c r="C11" s="340">
        <f t="shared" si="0"/>
        <v>0.62068965517241381</v>
      </c>
      <c r="D11" s="341"/>
      <c r="E11" s="341"/>
      <c r="F11" s="341"/>
      <c r="G11" s="340"/>
      <c r="H11" s="343"/>
      <c r="I11" s="343"/>
      <c r="J11" s="343"/>
      <c r="K11" s="343"/>
      <c r="L11" s="343"/>
      <c r="N11" s="82"/>
      <c r="O11" s="82"/>
      <c r="P11" s="82"/>
      <c r="Q11" s="82"/>
      <c r="R11" s="82"/>
      <c r="S11" s="82"/>
      <c r="AI11" s="388" t="s">
        <v>740</v>
      </c>
      <c r="AJ11" s="85" t="s">
        <v>742</v>
      </c>
      <c r="AK11" s="389" t="str">
        <f ca="1">_xlfn.FORMULATEXT(F62)</f>
        <v>=IFERROR(E62*D62,"")</v>
      </c>
    </row>
    <row r="12" spans="1:37" x14ac:dyDescent="0.35">
      <c r="A12" s="338">
        <v>41944</v>
      </c>
      <c r="B12" s="339">
        <f>INDEX('Seasonality Analysis'!C$3:N$17,COLUMN(C11),ROW(A11))</f>
        <v>14</v>
      </c>
      <c r="C12" s="340">
        <f t="shared" si="0"/>
        <v>0.96551724137931039</v>
      </c>
      <c r="D12" s="341"/>
      <c r="E12" s="341"/>
      <c r="F12" s="341"/>
      <c r="G12" s="340"/>
      <c r="H12" s="343"/>
      <c r="I12" s="343"/>
      <c r="J12" s="343"/>
      <c r="K12" s="343"/>
      <c r="L12" s="343"/>
      <c r="M12" s="390" t="s">
        <v>527</v>
      </c>
      <c r="N12" s="398">
        <f>_xlfn.STDEV.S(G50:G61)</f>
        <v>0.11861272560646714</v>
      </c>
      <c r="O12" s="82"/>
      <c r="P12" s="82"/>
      <c r="Q12" s="82"/>
      <c r="R12" s="82"/>
      <c r="S12" s="82"/>
      <c r="AI12" s="388" t="s">
        <v>743</v>
      </c>
      <c r="AJ12" s="85" t="s">
        <v>212</v>
      </c>
      <c r="AK12" s="389" t="str">
        <f ca="1">_xlfn.FORMULATEXT(H62)</f>
        <v>=IFERROR(F62+2*N$12*F62,"")</v>
      </c>
    </row>
    <row r="13" spans="1:37" x14ac:dyDescent="0.35">
      <c r="A13" s="338">
        <v>41974</v>
      </c>
      <c r="B13" s="339">
        <f>INDEX('Seasonality Analysis'!C$3:N$17,COLUMN(C12),ROW(A12))</f>
        <v>42</v>
      </c>
      <c r="C13" s="340">
        <f t="shared" si="0"/>
        <v>2.896551724137931</v>
      </c>
      <c r="D13" s="341"/>
      <c r="E13" s="341"/>
      <c r="F13" s="341"/>
      <c r="G13" s="340"/>
      <c r="H13" s="343"/>
      <c r="I13" s="343"/>
      <c r="J13" s="343"/>
      <c r="K13" s="343"/>
      <c r="L13" s="343"/>
      <c r="M13" s="390" t="s">
        <v>220</v>
      </c>
      <c r="N13" s="402">
        <v>0.5</v>
      </c>
      <c r="O13" s="82"/>
      <c r="P13" s="82"/>
      <c r="Q13" s="82"/>
      <c r="R13" s="82"/>
      <c r="S13" s="82"/>
      <c r="AI13" s="388" t="s">
        <v>744</v>
      </c>
      <c r="AJ13" s="85" t="s">
        <v>213</v>
      </c>
      <c r="AK13" s="389" t="str">
        <f ca="1">_xlfn.FORMULATEXT(I62)</f>
        <v>=IFERROR(IF(OR(ISBLANK(H62),ISBLANK(F62)),"",(H62*N$14)-(N$13*F62)),"")</v>
      </c>
    </row>
    <row r="14" spans="1:37" x14ac:dyDescent="0.35">
      <c r="A14" s="344">
        <v>42005</v>
      </c>
      <c r="B14" s="345">
        <f>INDEX('Seasonality Analysis'!C$3:N$17,COLUMN(F1),ROW(A1))</f>
        <v>23</v>
      </c>
      <c r="C14" s="346">
        <f t="shared" ref="C14:C25" si="1">IF(B14=0,"",B14/AVERAGE(B$14:B$25))</f>
        <v>0.98220640569395012</v>
      </c>
      <c r="D14" s="347"/>
      <c r="E14" s="347"/>
      <c r="F14" s="347"/>
      <c r="G14" s="346"/>
      <c r="H14" s="348"/>
      <c r="I14" s="348"/>
      <c r="J14" s="348"/>
      <c r="K14" s="348"/>
      <c r="L14" s="348"/>
      <c r="M14" s="390" t="s">
        <v>221</v>
      </c>
      <c r="N14" s="402">
        <v>1</v>
      </c>
      <c r="O14" s="82"/>
      <c r="P14" s="82"/>
      <c r="Q14" s="82"/>
      <c r="R14" s="82"/>
      <c r="S14" s="82"/>
      <c r="AI14" s="388" t="s">
        <v>745</v>
      </c>
      <c r="AJ14" s="85" t="s">
        <v>748</v>
      </c>
      <c r="AK14" s="389" t="str">
        <f ca="1">_xlfn.FORMULATEXT(J62)</f>
        <v>=IFERROR(F62+I62,"")</v>
      </c>
    </row>
    <row r="15" spans="1:37" x14ac:dyDescent="0.35">
      <c r="A15" s="344">
        <v>42036</v>
      </c>
      <c r="B15" s="345">
        <f>INDEX('Seasonality Analysis'!C$3:N$17,COLUMN(F2),ROW(A2))</f>
        <v>28</v>
      </c>
      <c r="C15" s="346">
        <f t="shared" si="1"/>
        <v>1.195729537366548</v>
      </c>
      <c r="D15" s="347"/>
      <c r="E15" s="347"/>
      <c r="F15" s="347"/>
      <c r="G15" s="346"/>
      <c r="H15" s="348"/>
      <c r="I15" s="348"/>
      <c r="J15" s="348"/>
      <c r="K15" s="348"/>
      <c r="L15" s="348"/>
      <c r="N15" s="82"/>
      <c r="O15" s="82"/>
      <c r="P15" s="82"/>
      <c r="Q15" s="82"/>
      <c r="R15" s="82"/>
      <c r="AI15" s="388" t="s">
        <v>746</v>
      </c>
      <c r="AJ15" s="85" t="s">
        <v>751</v>
      </c>
      <c r="AK15" s="318" t="s">
        <v>344</v>
      </c>
    </row>
    <row r="16" spans="1:37" x14ac:dyDescent="0.35">
      <c r="A16" s="344">
        <v>42064</v>
      </c>
      <c r="B16" s="345">
        <f>INDEX('Seasonality Analysis'!C$3:N$17,COLUMN(F3),ROW(A3))</f>
        <v>19</v>
      </c>
      <c r="C16" s="346">
        <f t="shared" si="1"/>
        <v>0.81138790035587183</v>
      </c>
      <c r="D16" s="347"/>
      <c r="E16" s="347"/>
      <c r="F16" s="347"/>
      <c r="G16" s="346"/>
      <c r="H16" s="348"/>
      <c r="I16" s="348"/>
      <c r="J16" s="348"/>
      <c r="K16" s="348"/>
      <c r="L16" s="348"/>
      <c r="M16" s="30" t="s">
        <v>278</v>
      </c>
      <c r="N16" s="82"/>
      <c r="O16" s="82"/>
      <c r="P16" s="82"/>
      <c r="Q16" s="82"/>
      <c r="R16" s="82"/>
      <c r="AI16" s="388" t="s">
        <v>749</v>
      </c>
      <c r="AJ16" s="85" t="s">
        <v>750</v>
      </c>
      <c r="AK16" s="389" t="str">
        <f ca="1">_xlfn.FORMULATEXT(K63)</f>
        <v>=IFERROR(K62+L62-F62,"")</v>
      </c>
    </row>
    <row r="17" spans="1:37" x14ac:dyDescent="0.35">
      <c r="A17" s="344">
        <v>42095</v>
      </c>
      <c r="B17" s="345">
        <f>INDEX('Seasonality Analysis'!C$3:N$17,COLUMN(F4),ROW(A4))</f>
        <v>18</v>
      </c>
      <c r="C17" s="346">
        <f t="shared" si="1"/>
        <v>0.76868327402135228</v>
      </c>
      <c r="D17" s="347"/>
      <c r="E17" s="347"/>
      <c r="F17" s="347"/>
      <c r="G17" s="346"/>
      <c r="H17" s="348"/>
      <c r="I17" s="348"/>
      <c r="J17" s="348"/>
      <c r="K17" s="348"/>
      <c r="L17" s="348"/>
      <c r="M17" s="85" t="s">
        <v>538</v>
      </c>
      <c r="N17" s="82"/>
      <c r="O17" s="82"/>
      <c r="P17" s="82"/>
      <c r="Q17" s="82"/>
      <c r="R17" s="82"/>
      <c r="AI17" s="388" t="s">
        <v>747</v>
      </c>
      <c r="AJ17" s="85" t="s">
        <v>216</v>
      </c>
      <c r="AK17" s="389" t="str">
        <f ca="1">_xlfn.FORMULATEXT(L62)</f>
        <v>=IF(OR(J62="",K62=""),"",IF(J62&gt;K62,J62-K62,0))</v>
      </c>
    </row>
    <row r="18" spans="1:37" x14ac:dyDescent="0.35">
      <c r="A18" s="344">
        <v>42125</v>
      </c>
      <c r="B18" s="345">
        <f>INDEX('Seasonality Analysis'!C$3:N$17,COLUMN(F5),ROW(A5))</f>
        <v>26</v>
      </c>
      <c r="C18" s="346">
        <f t="shared" si="1"/>
        <v>1.1103202846975089</v>
      </c>
      <c r="D18" s="347"/>
      <c r="E18" s="347"/>
      <c r="F18" s="347"/>
      <c r="G18" s="346"/>
      <c r="H18" s="348"/>
      <c r="I18" s="348"/>
      <c r="J18" s="348"/>
      <c r="K18" s="348"/>
      <c r="L18" s="348"/>
      <c r="M18" s="85" t="s">
        <v>528</v>
      </c>
      <c r="N18" s="82"/>
      <c r="O18" s="82"/>
      <c r="AI18" s="388"/>
      <c r="AJ18" s="85"/>
      <c r="AK18" s="389"/>
    </row>
    <row r="19" spans="1:37" x14ac:dyDescent="0.35">
      <c r="A19" s="344">
        <v>42156</v>
      </c>
      <c r="B19" s="345">
        <f>INDEX('Seasonality Analysis'!C$3:N$17,COLUMN(F6),ROW(A6))</f>
        <v>28</v>
      </c>
      <c r="C19" s="346">
        <f t="shared" si="1"/>
        <v>1.195729537366548</v>
      </c>
      <c r="D19" s="347"/>
      <c r="E19" s="347"/>
      <c r="F19" s="347"/>
      <c r="G19" s="346"/>
      <c r="H19" s="348"/>
      <c r="I19" s="348"/>
      <c r="J19" s="348"/>
      <c r="K19" s="348"/>
      <c r="L19" s="348"/>
      <c r="M19" s="85" t="s">
        <v>529</v>
      </c>
      <c r="N19" s="82"/>
      <c r="O19" s="82"/>
      <c r="AI19" s="388" t="s">
        <v>752</v>
      </c>
      <c r="AJ19" s="85" t="s">
        <v>753</v>
      </c>
      <c r="AK19" s="389" t="str">
        <f t="shared" ref="AK19:AK25" ca="1" si="2">_xlfn.FORMULATEXT(N3)</f>
        <v>=AVERAGE(C38,C2)</v>
      </c>
    </row>
    <row r="20" spans="1:37" x14ac:dyDescent="0.35">
      <c r="A20" s="344">
        <v>42186</v>
      </c>
      <c r="B20" s="345">
        <f>INDEX('Seasonality Analysis'!C$3:N$17,COLUMN(F7),ROW(A7))</f>
        <v>30</v>
      </c>
      <c r="C20" s="346">
        <f t="shared" si="1"/>
        <v>1.2811387900355871</v>
      </c>
      <c r="D20" s="347"/>
      <c r="E20" s="347"/>
      <c r="F20" s="347"/>
      <c r="G20" s="346"/>
      <c r="H20" s="348"/>
      <c r="I20" s="348"/>
      <c r="J20" s="348"/>
      <c r="K20" s="348"/>
      <c r="L20" s="348"/>
      <c r="M20" s="85" t="s">
        <v>530</v>
      </c>
      <c r="N20" s="82"/>
      <c r="O20" s="82"/>
      <c r="AI20" s="388" t="s">
        <v>571</v>
      </c>
      <c r="AJ20" s="85" t="s">
        <v>754</v>
      </c>
      <c r="AK20" s="389" t="str">
        <f t="shared" ca="1" si="2"/>
        <v>=AVERAGE(C39,C3)</v>
      </c>
    </row>
    <row r="21" spans="1:37" x14ac:dyDescent="0.35">
      <c r="A21" s="344">
        <v>42217</v>
      </c>
      <c r="B21" s="345">
        <f>INDEX('Seasonality Analysis'!C$3:N$17,COLUMN(F8),ROW(A8))</f>
        <v>17</v>
      </c>
      <c r="C21" s="346">
        <f t="shared" si="1"/>
        <v>0.72597864768683273</v>
      </c>
      <c r="D21" s="347"/>
      <c r="E21" s="347"/>
      <c r="F21" s="347"/>
      <c r="G21" s="346"/>
      <c r="H21" s="348"/>
      <c r="I21" s="348"/>
      <c r="J21" s="348"/>
      <c r="K21" s="348"/>
      <c r="L21" s="348"/>
      <c r="M21" s="85" t="s">
        <v>531</v>
      </c>
      <c r="N21" s="82"/>
      <c r="O21" s="82"/>
      <c r="AI21" s="388" t="s">
        <v>359</v>
      </c>
      <c r="AJ21" s="85" t="s">
        <v>755</v>
      </c>
      <c r="AK21" s="389" t="str">
        <f t="shared" ca="1" si="2"/>
        <v>=AVERAGE(C18,C30,C42,C6)</v>
      </c>
    </row>
    <row r="22" spans="1:37" x14ac:dyDescent="0.35">
      <c r="A22" s="344">
        <v>42248</v>
      </c>
      <c r="B22" s="345">
        <f>INDEX('Seasonality Analysis'!C$3:N$17,COLUMN(F9),ROW(A9))</f>
        <v>16</v>
      </c>
      <c r="C22" s="346">
        <f t="shared" si="1"/>
        <v>0.68327402135231319</v>
      </c>
      <c r="D22" s="347"/>
      <c r="E22" s="347"/>
      <c r="F22" s="347"/>
      <c r="G22" s="346"/>
      <c r="H22" s="348"/>
      <c r="I22" s="348"/>
      <c r="J22" s="348"/>
      <c r="K22" s="348"/>
      <c r="L22" s="348"/>
      <c r="M22" s="85" t="s">
        <v>532</v>
      </c>
      <c r="N22" s="82"/>
      <c r="O22" s="82"/>
      <c r="AI22" s="388" t="s">
        <v>361</v>
      </c>
      <c r="AJ22" s="85" t="s">
        <v>524</v>
      </c>
      <c r="AK22" s="389" t="str">
        <f t="shared" ca="1" si="2"/>
        <v>=AVERAGE(C20,C32,C8)</v>
      </c>
    </row>
    <row r="23" spans="1:37" x14ac:dyDescent="0.35">
      <c r="A23" s="344">
        <v>42278</v>
      </c>
      <c r="B23" s="345">
        <f>INDEX('Seasonality Analysis'!C$3:N$17,COLUMN(F10),ROW(A10))</f>
        <v>20</v>
      </c>
      <c r="C23" s="346">
        <f t="shared" si="1"/>
        <v>0.85409252669039137</v>
      </c>
      <c r="D23" s="347"/>
      <c r="E23" s="347"/>
      <c r="F23" s="347"/>
      <c r="G23" s="346"/>
      <c r="H23" s="348"/>
      <c r="I23" s="348"/>
      <c r="J23" s="348"/>
      <c r="K23" s="348"/>
      <c r="L23" s="348"/>
      <c r="M23" s="41" t="s">
        <v>533</v>
      </c>
      <c r="N23" s="82"/>
      <c r="O23" s="82"/>
      <c r="AI23" s="388" t="s">
        <v>363</v>
      </c>
      <c r="AJ23" s="85" t="s">
        <v>525</v>
      </c>
      <c r="AK23" s="389" t="str">
        <f t="shared" ca="1" si="2"/>
        <v>=AVERAGE(C19,C31,C7)</v>
      </c>
    </row>
    <row r="24" spans="1:37" x14ac:dyDescent="0.35">
      <c r="A24" s="344">
        <v>42309</v>
      </c>
      <c r="B24" s="345">
        <f>INDEX('Seasonality Analysis'!C$3:N$17,COLUMN(F11),ROW(A11))</f>
        <v>21</v>
      </c>
      <c r="C24" s="346">
        <f t="shared" si="1"/>
        <v>0.89679715302491103</v>
      </c>
      <c r="D24" s="347"/>
      <c r="E24" s="347"/>
      <c r="F24" s="347"/>
      <c r="G24" s="346"/>
      <c r="H24" s="348"/>
      <c r="I24" s="348"/>
      <c r="J24" s="348"/>
      <c r="K24" s="348"/>
      <c r="L24" s="348"/>
      <c r="M24" s="85"/>
      <c r="N24" s="82"/>
      <c r="O24" s="82"/>
      <c r="AI24" s="388" t="s">
        <v>365</v>
      </c>
      <c r="AJ24" s="85" t="s">
        <v>526</v>
      </c>
      <c r="AK24" s="389" t="str">
        <f t="shared" ca="1" si="2"/>
        <v>=AVERAGE(C25,C37,C49,C13)</v>
      </c>
    </row>
    <row r="25" spans="1:37" x14ac:dyDescent="0.35">
      <c r="A25" s="344">
        <v>42339</v>
      </c>
      <c r="B25" s="345">
        <f>INDEX('Seasonality Analysis'!C$3:N$17,COLUMN(F12),ROW(A12))</f>
        <v>35</v>
      </c>
      <c r="C25" s="346">
        <f t="shared" si="1"/>
        <v>1.4946619217081849</v>
      </c>
      <c r="D25" s="347"/>
      <c r="E25" s="347"/>
      <c r="F25" s="347"/>
      <c r="G25" s="346"/>
      <c r="H25" s="348"/>
      <c r="I25" s="348"/>
      <c r="J25" s="348"/>
      <c r="K25" s="348"/>
      <c r="L25" s="348"/>
      <c r="M25" s="30" t="s">
        <v>51</v>
      </c>
      <c r="N25" s="82"/>
      <c r="O25" s="82"/>
      <c r="AI25" s="388" t="s">
        <v>367</v>
      </c>
      <c r="AJ25" s="85" t="s">
        <v>219</v>
      </c>
      <c r="AK25" s="389" t="str">
        <f t="shared" ca="1" si="2"/>
        <v>=AVERAGE(C17,C21,C22,C23,C24,C29,C33,C34,C36,C35,C41,C45,C46,C47,C48,C53,C57,C58,C59,C60,C14,C26,C50,C44,C56,C16,C28,C40,C52)</v>
      </c>
    </row>
    <row r="26" spans="1:37" x14ac:dyDescent="0.35">
      <c r="A26" s="338">
        <v>42370</v>
      </c>
      <c r="B26" s="339">
        <f>INDEX('Seasonality Analysis'!C$3:N$17,COLUMN(H1),ROW(A1))</f>
        <v>56</v>
      </c>
      <c r="C26" s="340">
        <f t="shared" ref="C26:C37" si="3">IF(B26=0,"",B26/AVERAGE(B$26:B$37))</f>
        <v>1.0306748466257669</v>
      </c>
      <c r="D26" s="341"/>
      <c r="E26" s="341"/>
      <c r="F26" s="341"/>
      <c r="G26" s="340"/>
      <c r="H26" s="343"/>
      <c r="I26" s="343"/>
      <c r="J26" s="343"/>
      <c r="K26" s="343"/>
      <c r="L26" s="343"/>
      <c r="M26" s="85" t="s">
        <v>534</v>
      </c>
      <c r="N26" s="69"/>
      <c r="O26" s="82"/>
      <c r="AI26" s="388"/>
      <c r="AJ26" s="85"/>
      <c r="AK26" s="389"/>
    </row>
    <row r="27" spans="1:37" x14ac:dyDescent="0.35">
      <c r="A27" s="338">
        <v>42401</v>
      </c>
      <c r="B27" s="339">
        <f>INDEX('Seasonality Analysis'!C$3:N$17,COLUMN(H2),ROW(A2))</f>
        <v>57</v>
      </c>
      <c r="C27" s="340">
        <f t="shared" si="3"/>
        <v>1.0490797546012269</v>
      </c>
      <c r="D27" s="341"/>
      <c r="E27" s="341"/>
      <c r="F27" s="341"/>
      <c r="G27" s="340"/>
      <c r="H27" s="343"/>
      <c r="I27" s="343"/>
      <c r="J27" s="343"/>
      <c r="K27" s="343"/>
      <c r="L27" s="343"/>
      <c r="M27" s="85"/>
      <c r="N27" s="82"/>
      <c r="O27" s="82"/>
      <c r="AI27" s="388" t="s">
        <v>758</v>
      </c>
      <c r="AJ27" s="85" t="s">
        <v>759</v>
      </c>
      <c r="AK27" s="389" t="str">
        <f ca="1">_xlfn.FORMULATEXT(N12)</f>
        <v>=STDEV.S(G50:G61)</v>
      </c>
    </row>
    <row r="28" spans="1:37" x14ac:dyDescent="0.35">
      <c r="A28" s="338">
        <v>42430</v>
      </c>
      <c r="B28" s="339">
        <f>INDEX('Seasonality Analysis'!C$3:N$17,COLUMN(H3),ROW(A3))</f>
        <v>48</v>
      </c>
      <c r="C28" s="340">
        <f t="shared" si="3"/>
        <v>0.8834355828220859</v>
      </c>
      <c r="D28" s="341"/>
      <c r="E28" s="341"/>
      <c r="F28" s="341"/>
      <c r="G28" s="340"/>
      <c r="H28" s="343"/>
      <c r="I28" s="343"/>
      <c r="J28" s="343"/>
      <c r="K28" s="343"/>
      <c r="L28" s="343"/>
      <c r="M28" s="85"/>
      <c r="N28" s="82"/>
      <c r="O28" s="82"/>
      <c r="AI28" s="388" t="s">
        <v>760</v>
      </c>
      <c r="AJ28" s="85" t="s">
        <v>761</v>
      </c>
      <c r="AK28" s="389" t="s">
        <v>344</v>
      </c>
    </row>
    <row r="29" spans="1:37" x14ac:dyDescent="0.35">
      <c r="A29" s="338">
        <v>42461</v>
      </c>
      <c r="B29" s="339">
        <f>INDEX('Seasonality Analysis'!C$3:N$17,COLUMN(H4),ROW(A4))</f>
        <v>50</v>
      </c>
      <c r="C29" s="340">
        <f t="shared" si="3"/>
        <v>0.92024539877300604</v>
      </c>
      <c r="D29" s="341"/>
      <c r="E29" s="341"/>
      <c r="F29" s="341"/>
      <c r="G29" s="340"/>
      <c r="H29" s="343"/>
      <c r="I29" s="343"/>
      <c r="J29" s="343"/>
      <c r="K29" s="343"/>
      <c r="L29" s="343"/>
      <c r="M29" s="85"/>
      <c r="N29" s="82"/>
      <c r="O29" s="82"/>
      <c r="AI29" s="388" t="s">
        <v>762</v>
      </c>
      <c r="AJ29" s="85" t="s">
        <v>763</v>
      </c>
      <c r="AK29" s="389" t="s">
        <v>344</v>
      </c>
    </row>
    <row r="30" spans="1:37" x14ac:dyDescent="0.35">
      <c r="A30" s="338">
        <v>42491</v>
      </c>
      <c r="B30" s="339">
        <f>INDEX('Seasonality Analysis'!C$3:N$17,COLUMN(H5),ROW(A5))</f>
        <v>61</v>
      </c>
      <c r="C30" s="340">
        <f t="shared" si="3"/>
        <v>1.1226993865030674</v>
      </c>
      <c r="D30" s="341"/>
      <c r="E30" s="341"/>
      <c r="F30" s="341"/>
      <c r="G30" s="340"/>
      <c r="H30" s="343"/>
      <c r="I30" s="343"/>
      <c r="J30" s="343"/>
      <c r="K30" s="343"/>
      <c r="L30" s="343"/>
      <c r="M30" s="85"/>
      <c r="N30" s="82"/>
      <c r="O30" s="82"/>
      <c r="AI30" s="388"/>
      <c r="AJ30" s="85"/>
      <c r="AK30" s="389"/>
    </row>
    <row r="31" spans="1:37" x14ac:dyDescent="0.35">
      <c r="A31" s="338">
        <v>42522</v>
      </c>
      <c r="B31" s="339">
        <f>INDEX('Seasonality Analysis'!C$3:N$17,COLUMN(H6),ROW(A6))</f>
        <v>60</v>
      </c>
      <c r="C31" s="340">
        <f t="shared" si="3"/>
        <v>1.1042944785276072</v>
      </c>
      <c r="D31" s="341"/>
      <c r="E31" s="341"/>
      <c r="F31" s="341"/>
      <c r="G31" s="340"/>
      <c r="H31" s="343"/>
      <c r="I31" s="343"/>
      <c r="J31" s="343"/>
      <c r="K31" s="343"/>
      <c r="L31" s="343"/>
      <c r="N31" s="82"/>
      <c r="O31" s="82"/>
      <c r="AI31" s="388" t="s">
        <v>756</v>
      </c>
      <c r="AJ31" s="85" t="s">
        <v>757</v>
      </c>
      <c r="AK31" s="389" t="s">
        <v>344</v>
      </c>
    </row>
    <row r="32" spans="1:37" x14ac:dyDescent="0.35">
      <c r="A32" s="338">
        <v>42552</v>
      </c>
      <c r="B32" s="339">
        <f>INDEX('Seasonality Analysis'!C$3:N$17,COLUMN(H7),ROW(A7))</f>
        <v>59</v>
      </c>
      <c r="C32" s="340">
        <f t="shared" si="3"/>
        <v>1.0858895705521472</v>
      </c>
      <c r="D32" s="341"/>
      <c r="E32" s="341"/>
      <c r="F32" s="341"/>
      <c r="G32" s="340"/>
      <c r="H32" s="343"/>
      <c r="I32" s="343"/>
      <c r="J32" s="343"/>
      <c r="K32" s="343"/>
      <c r="L32" s="343"/>
      <c r="M32" s="30"/>
      <c r="N32" s="82"/>
      <c r="O32" s="82"/>
      <c r="AI32" s="388"/>
      <c r="AJ32" s="85"/>
      <c r="AK32" s="389"/>
    </row>
    <row r="33" spans="1:37" x14ac:dyDescent="0.35">
      <c r="A33" s="338">
        <v>42583</v>
      </c>
      <c r="B33" s="339">
        <f>INDEX('Seasonality Analysis'!C$3:N$17,COLUMN(H8),ROW(A8))</f>
        <v>48</v>
      </c>
      <c r="C33" s="340">
        <f t="shared" si="3"/>
        <v>0.8834355828220859</v>
      </c>
      <c r="D33" s="341"/>
      <c r="E33" s="341"/>
      <c r="F33" s="341"/>
      <c r="G33" s="340"/>
      <c r="H33" s="343"/>
      <c r="I33" s="343"/>
      <c r="J33" s="343"/>
      <c r="K33" s="343"/>
      <c r="L33" s="343"/>
      <c r="M33" s="85"/>
      <c r="N33" s="82"/>
      <c r="O33" s="82"/>
      <c r="AI33" s="380"/>
      <c r="AJ33" s="320"/>
      <c r="AK33" s="321"/>
    </row>
    <row r="34" spans="1:37" x14ac:dyDescent="0.35">
      <c r="A34" s="338">
        <v>42614</v>
      </c>
      <c r="B34" s="339">
        <f>INDEX('Seasonality Analysis'!C$3:N$17,COLUMN(H9),ROW(A9))</f>
        <v>47</v>
      </c>
      <c r="C34" s="340">
        <f t="shared" si="3"/>
        <v>0.86503067484662577</v>
      </c>
      <c r="D34" s="341"/>
      <c r="E34" s="341"/>
      <c r="F34" s="341"/>
      <c r="G34" s="340"/>
      <c r="H34" s="343"/>
      <c r="I34" s="343"/>
      <c r="J34" s="343"/>
      <c r="K34" s="343"/>
      <c r="L34" s="343"/>
      <c r="N34" s="82"/>
      <c r="O34" s="82"/>
    </row>
    <row r="35" spans="1:37" x14ac:dyDescent="0.35">
      <c r="A35" s="338">
        <v>42644</v>
      </c>
      <c r="B35" s="339">
        <f>INDEX('Seasonality Analysis'!C$3:N$17,COLUMN(H10),ROW(A10))</f>
        <v>50</v>
      </c>
      <c r="C35" s="340">
        <f t="shared" si="3"/>
        <v>0.92024539877300604</v>
      </c>
      <c r="D35" s="341"/>
      <c r="E35" s="341"/>
      <c r="F35" s="341"/>
      <c r="G35" s="340"/>
      <c r="H35" s="343"/>
      <c r="I35" s="343"/>
      <c r="J35" s="343"/>
      <c r="K35" s="343"/>
      <c r="L35" s="343"/>
      <c r="N35" s="82"/>
      <c r="O35" s="82"/>
    </row>
    <row r="36" spans="1:37" x14ac:dyDescent="0.35">
      <c r="A36" s="338">
        <v>42675</v>
      </c>
      <c r="B36" s="339">
        <f>INDEX('Seasonality Analysis'!C$3:N$17,COLUMN(H11),ROW(A11))</f>
        <v>49</v>
      </c>
      <c r="C36" s="340">
        <f t="shared" si="3"/>
        <v>0.90184049079754602</v>
      </c>
      <c r="D36" s="341"/>
      <c r="E36" s="341"/>
      <c r="F36" s="341"/>
      <c r="G36" s="340"/>
      <c r="H36" s="343"/>
      <c r="I36" s="343"/>
      <c r="J36" s="343"/>
      <c r="K36" s="343"/>
      <c r="L36" s="343"/>
      <c r="M36" s="85"/>
      <c r="N36" s="82"/>
      <c r="O36" s="82"/>
    </row>
    <row r="37" spans="1:37" x14ac:dyDescent="0.35">
      <c r="A37" s="338">
        <v>42705</v>
      </c>
      <c r="B37" s="339">
        <f>INDEX('Seasonality Analysis'!C$3:N$17,COLUMN(H12),ROW(A12))</f>
        <v>67</v>
      </c>
      <c r="C37" s="340">
        <f t="shared" si="3"/>
        <v>1.2331288343558282</v>
      </c>
      <c r="D37" s="341"/>
      <c r="E37" s="341"/>
      <c r="F37" s="341"/>
      <c r="G37" s="340"/>
      <c r="H37" s="343"/>
      <c r="I37" s="343"/>
      <c r="J37" s="343"/>
      <c r="K37" s="343"/>
      <c r="L37" s="343"/>
      <c r="N37" s="82"/>
      <c r="O37" s="82"/>
    </row>
    <row r="38" spans="1:37" x14ac:dyDescent="0.35">
      <c r="A38" s="344">
        <v>42736</v>
      </c>
      <c r="B38" s="345">
        <f>INDEX('Seasonality Analysis'!C$3:N$17,COLUMN(K1),ROW(A1))</f>
        <v>71</v>
      </c>
      <c r="C38" s="346">
        <f t="shared" ref="C38:C49" si="4">IF(B38=0,"",B38/AVERAGE(B$38:B$49))</f>
        <v>1.0154946364719903</v>
      </c>
      <c r="D38" s="347"/>
      <c r="E38" s="347"/>
      <c r="F38" s="347"/>
      <c r="G38" s="346"/>
      <c r="H38" s="348"/>
      <c r="I38" s="348"/>
      <c r="J38" s="348"/>
      <c r="K38" s="348"/>
      <c r="L38" s="348"/>
      <c r="N38" s="82"/>
      <c r="O38" s="82"/>
    </row>
    <row r="39" spans="1:37" x14ac:dyDescent="0.35">
      <c r="A39" s="344">
        <v>42767</v>
      </c>
      <c r="B39" s="345">
        <f>INDEX('Seasonality Analysis'!C$3:N$17,COLUMN(K2),ROW(A2))</f>
        <v>76</v>
      </c>
      <c r="C39" s="346">
        <f t="shared" si="4"/>
        <v>1.0870083432657924</v>
      </c>
      <c r="D39" s="347"/>
      <c r="E39" s="347"/>
      <c r="F39" s="347"/>
      <c r="G39" s="346"/>
      <c r="H39" s="348"/>
      <c r="I39" s="348"/>
      <c r="J39" s="348"/>
      <c r="K39" s="348"/>
      <c r="L39" s="348"/>
      <c r="N39" s="82"/>
      <c r="O39" s="82"/>
    </row>
    <row r="40" spans="1:37" x14ac:dyDescent="0.35">
      <c r="A40" s="344">
        <v>42795</v>
      </c>
      <c r="B40" s="345">
        <f>INDEX('Seasonality Analysis'!C$3:N$17,COLUMN(K3),ROW(A3))</f>
        <v>63</v>
      </c>
      <c r="C40" s="346">
        <f t="shared" si="4"/>
        <v>0.901072705601907</v>
      </c>
      <c r="D40" s="347"/>
      <c r="E40" s="347"/>
      <c r="F40" s="347"/>
      <c r="G40" s="346"/>
      <c r="H40" s="348"/>
      <c r="I40" s="348"/>
      <c r="J40" s="348"/>
      <c r="K40" s="348"/>
      <c r="L40" s="348"/>
      <c r="N40" s="82"/>
      <c r="O40" s="82"/>
    </row>
    <row r="41" spans="1:37" x14ac:dyDescent="0.35">
      <c r="A41" s="344">
        <v>42826</v>
      </c>
      <c r="B41" s="345">
        <f>INDEX('Seasonality Analysis'!C$3:N$17,COLUMN(K4),ROW(A4))</f>
        <v>65</v>
      </c>
      <c r="C41" s="346">
        <f t="shared" si="4"/>
        <v>0.92967818831942783</v>
      </c>
      <c r="D41" s="347"/>
      <c r="E41" s="347"/>
      <c r="F41" s="347"/>
      <c r="G41" s="346"/>
      <c r="H41" s="348"/>
      <c r="I41" s="348"/>
      <c r="J41" s="348"/>
      <c r="K41" s="348"/>
      <c r="L41" s="348"/>
      <c r="N41" s="82"/>
      <c r="O41" s="82"/>
    </row>
    <row r="42" spans="1:37" x14ac:dyDescent="0.35">
      <c r="A42" s="344">
        <v>42856</v>
      </c>
      <c r="B42" s="345">
        <f>INDEX('Seasonality Analysis'!C$3:N$17,COLUMN(K5),ROW(A5))</f>
        <v>71</v>
      </c>
      <c r="C42" s="346">
        <f t="shared" si="4"/>
        <v>1.0154946364719903</v>
      </c>
      <c r="D42" s="347"/>
      <c r="E42" s="347"/>
      <c r="F42" s="347"/>
      <c r="G42" s="346"/>
      <c r="H42" s="348"/>
      <c r="I42" s="348"/>
      <c r="J42" s="348"/>
      <c r="K42" s="348"/>
      <c r="L42" s="348"/>
      <c r="N42" s="82"/>
      <c r="O42" s="82"/>
    </row>
    <row r="43" spans="1:37" x14ac:dyDescent="0.35">
      <c r="A43" s="344">
        <v>42887</v>
      </c>
      <c r="B43" s="345">
        <f>INDEX('Seasonality Analysis'!C$3:N$17,COLUMN(K6),ROW(A6))</f>
        <v>73</v>
      </c>
      <c r="C43" s="346">
        <f t="shared" si="4"/>
        <v>1.0441001191895112</v>
      </c>
      <c r="D43" s="347"/>
      <c r="E43" s="347"/>
      <c r="F43" s="347"/>
      <c r="G43" s="346"/>
      <c r="H43" s="348"/>
      <c r="I43" s="348"/>
      <c r="J43" s="348"/>
      <c r="K43" s="348"/>
      <c r="L43" s="348"/>
      <c r="N43" s="82"/>
      <c r="O43" s="82"/>
    </row>
    <row r="44" spans="1:37" x14ac:dyDescent="0.35">
      <c r="A44" s="344">
        <v>42917</v>
      </c>
      <c r="B44" s="345">
        <f>INDEX('Seasonality Analysis'!C$3:N$17,COLUMN(K7),ROW(A7))</f>
        <v>70</v>
      </c>
      <c r="C44" s="346">
        <f t="shared" si="4"/>
        <v>1.0011918951132299</v>
      </c>
      <c r="D44" s="347"/>
      <c r="E44" s="347"/>
      <c r="F44" s="347"/>
      <c r="G44" s="346"/>
      <c r="H44" s="348"/>
      <c r="I44" s="348"/>
      <c r="J44" s="348"/>
      <c r="K44" s="348"/>
      <c r="L44" s="348"/>
      <c r="N44" s="82"/>
      <c r="O44" s="82"/>
    </row>
    <row r="45" spans="1:37" x14ac:dyDescent="0.35">
      <c r="A45" s="344">
        <v>42948</v>
      </c>
      <c r="B45" s="345">
        <f>INDEX('Seasonality Analysis'!C$3:N$17,COLUMN(K8),ROW(A8))</f>
        <v>63</v>
      </c>
      <c r="C45" s="346">
        <f t="shared" si="4"/>
        <v>0.901072705601907</v>
      </c>
      <c r="D45" s="347"/>
      <c r="E45" s="347"/>
      <c r="F45" s="347"/>
      <c r="G45" s="346"/>
      <c r="H45" s="348"/>
      <c r="I45" s="348"/>
      <c r="J45" s="348"/>
      <c r="K45" s="348"/>
      <c r="L45" s="348"/>
      <c r="N45" s="82"/>
      <c r="O45" s="82"/>
    </row>
    <row r="46" spans="1:37" x14ac:dyDescent="0.35">
      <c r="A46" s="344">
        <v>42979</v>
      </c>
      <c r="B46" s="345">
        <f>INDEX('Seasonality Analysis'!C$3:N$17,COLUMN(K9),ROW(A9))</f>
        <v>62</v>
      </c>
      <c r="C46" s="346">
        <f t="shared" si="4"/>
        <v>0.88676996424314658</v>
      </c>
      <c r="D46" s="347"/>
      <c r="E46" s="347"/>
      <c r="F46" s="347"/>
      <c r="G46" s="346"/>
      <c r="H46" s="348"/>
      <c r="I46" s="348"/>
      <c r="J46" s="348"/>
      <c r="K46" s="348"/>
      <c r="L46" s="348"/>
      <c r="N46" s="82"/>
      <c r="O46" s="82"/>
    </row>
    <row r="47" spans="1:37" x14ac:dyDescent="0.35">
      <c r="A47" s="344">
        <v>43009</v>
      </c>
      <c r="B47" s="345">
        <f>INDEX('Seasonality Analysis'!C$3:N$17,COLUMN(K10),ROW(A10))</f>
        <v>63</v>
      </c>
      <c r="C47" s="346">
        <f t="shared" si="4"/>
        <v>0.901072705601907</v>
      </c>
      <c r="D47" s="347"/>
      <c r="E47" s="347"/>
      <c r="F47" s="347"/>
      <c r="G47" s="346"/>
      <c r="H47" s="348"/>
      <c r="I47" s="348"/>
      <c r="J47" s="348"/>
      <c r="K47" s="348"/>
      <c r="L47" s="348"/>
      <c r="N47" s="82"/>
      <c r="O47" s="82"/>
    </row>
    <row r="48" spans="1:37" x14ac:dyDescent="0.35">
      <c r="A48" s="344">
        <v>43040</v>
      </c>
      <c r="B48" s="345">
        <f>INDEX('Seasonality Analysis'!C$3:N$17,COLUMN(K11),ROW(A11))</f>
        <v>70</v>
      </c>
      <c r="C48" s="346">
        <f t="shared" si="4"/>
        <v>1.0011918951132299</v>
      </c>
      <c r="D48" s="347"/>
      <c r="E48" s="347"/>
      <c r="F48" s="347"/>
      <c r="G48" s="346"/>
      <c r="H48" s="348"/>
      <c r="I48" s="348"/>
      <c r="J48" s="348"/>
      <c r="K48" s="348"/>
      <c r="L48" s="348"/>
      <c r="N48" s="82"/>
      <c r="O48" s="82"/>
    </row>
    <row r="49" spans="1:15" x14ac:dyDescent="0.35">
      <c r="A49" s="344">
        <v>43070</v>
      </c>
      <c r="B49" s="345">
        <f>INDEX('Seasonality Analysis'!C$3:N$17,COLUMN(K12),ROW(A12))</f>
        <v>92</v>
      </c>
      <c r="C49" s="346">
        <f t="shared" si="4"/>
        <v>1.3158522050059593</v>
      </c>
      <c r="D49" s="347"/>
      <c r="E49" s="347"/>
      <c r="F49" s="347"/>
      <c r="G49" s="346"/>
      <c r="H49" s="348"/>
      <c r="I49" s="348"/>
      <c r="J49" s="348"/>
      <c r="K49" s="348"/>
      <c r="L49" s="348"/>
      <c r="N49" s="82"/>
      <c r="O49" s="82"/>
    </row>
    <row r="50" spans="1:15" x14ac:dyDescent="0.35">
      <c r="A50" s="338">
        <v>43101</v>
      </c>
      <c r="B50" s="339">
        <f>INDEX('Seasonality Analysis'!C$3:N$17,COLUMN(N1),ROW(A1))</f>
        <v>65</v>
      </c>
      <c r="C50" s="340">
        <f t="shared" ref="C50:C61" si="5">IF(B50=0,"",B50/AVERAGE(B$50:B$61))</f>
        <v>0.94316807738814989</v>
      </c>
      <c r="D50" s="424">
        <f>N9</f>
        <v>0.8957609796993361</v>
      </c>
      <c r="E50" s="341"/>
      <c r="F50" s="341"/>
      <c r="G50" s="340">
        <f t="shared" ref="G50:G81" si="6">IF(OR(C50="",D50=""),"",C50-D50)</f>
        <v>4.7407097688813793E-2</v>
      </c>
      <c r="H50" s="343"/>
      <c r="I50" s="343"/>
      <c r="J50" s="343"/>
      <c r="K50" s="343"/>
      <c r="L50" s="343"/>
      <c r="N50" s="82"/>
      <c r="O50" s="82"/>
    </row>
    <row r="51" spans="1:15" x14ac:dyDescent="0.35">
      <c r="A51" s="338">
        <v>43132</v>
      </c>
      <c r="B51" s="339">
        <f>INDEX('Seasonality Analysis'!C$3:N$17,COLUMN(N2),ROW(A2))</f>
        <v>72</v>
      </c>
      <c r="C51" s="340">
        <f t="shared" si="5"/>
        <v>1.0447400241837967</v>
      </c>
      <c r="D51" s="424">
        <f>N3+N4-100%</f>
        <v>1.1546997657309603</v>
      </c>
      <c r="E51" s="341"/>
      <c r="F51" s="341"/>
      <c r="G51" s="340">
        <f t="shared" si="6"/>
        <v>-0.10995974154716359</v>
      </c>
      <c r="H51" s="343"/>
      <c r="I51" s="343"/>
      <c r="J51" s="343"/>
      <c r="K51" s="343"/>
      <c r="L51" s="343"/>
      <c r="N51" s="82"/>
      <c r="O51" s="82"/>
    </row>
    <row r="52" spans="1:15" x14ac:dyDescent="0.35">
      <c r="A52" s="338">
        <v>43160</v>
      </c>
      <c r="B52" s="339">
        <f>INDEX('Seasonality Analysis'!C$3:N$17,COLUMN(N3),ROW(A3))</f>
        <v>60</v>
      </c>
      <c r="C52" s="340">
        <f t="shared" si="5"/>
        <v>0.87061668681983062</v>
      </c>
      <c r="D52" s="424">
        <f>N9</f>
        <v>0.8957609796993361</v>
      </c>
      <c r="E52" s="341"/>
      <c r="F52" s="341"/>
      <c r="G52" s="340">
        <f t="shared" si="6"/>
        <v>-2.5144292879505481E-2</v>
      </c>
      <c r="H52" s="343"/>
      <c r="I52" s="343"/>
      <c r="J52" s="343"/>
      <c r="K52" s="343"/>
      <c r="L52" s="343"/>
      <c r="N52" s="82"/>
      <c r="O52" s="82"/>
    </row>
    <row r="53" spans="1:15" x14ac:dyDescent="0.35">
      <c r="A53" s="338">
        <v>43191</v>
      </c>
      <c r="B53" s="339">
        <f>INDEX('Seasonality Analysis'!C$3:N$17,COLUMN(N4),ROW(A4))</f>
        <v>58</v>
      </c>
      <c r="C53" s="340">
        <f t="shared" si="5"/>
        <v>0.84159613059250293</v>
      </c>
      <c r="D53" s="424">
        <f>N9</f>
        <v>0.8957609796993361</v>
      </c>
      <c r="E53" s="341"/>
      <c r="F53" s="341"/>
      <c r="G53" s="340">
        <f t="shared" si="6"/>
        <v>-5.4164849106833168E-2</v>
      </c>
      <c r="H53" s="343"/>
      <c r="I53" s="343"/>
      <c r="J53" s="343"/>
      <c r="K53" s="343"/>
      <c r="L53" s="343"/>
      <c r="N53" s="82"/>
      <c r="O53" s="82"/>
    </row>
    <row r="54" spans="1:15" x14ac:dyDescent="0.35">
      <c r="A54" s="338">
        <v>43221</v>
      </c>
      <c r="B54" s="339">
        <f>INDEX('Seasonality Analysis'!C$3:N$17,COLUMN(N5),ROW(A5))</f>
        <v>70</v>
      </c>
      <c r="C54" s="340">
        <f t="shared" si="5"/>
        <v>1.0157194679564692</v>
      </c>
      <c r="D54" s="424">
        <f>N5</f>
        <v>1.0535078872629693</v>
      </c>
      <c r="E54" s="341"/>
      <c r="F54" s="341"/>
      <c r="G54" s="340">
        <f t="shared" si="6"/>
        <v>-3.7788419306500121E-2</v>
      </c>
      <c r="H54" s="343"/>
      <c r="I54" s="343"/>
      <c r="J54" s="343"/>
      <c r="K54" s="343"/>
      <c r="L54" s="343"/>
      <c r="N54" s="82"/>
      <c r="O54" s="82"/>
    </row>
    <row r="55" spans="1:15" x14ac:dyDescent="0.35">
      <c r="A55" s="338">
        <v>43252</v>
      </c>
      <c r="B55" s="339">
        <f>INDEX('Seasonality Analysis'!C$3:N$17,COLUMN(N6),ROW(A6))</f>
        <v>78</v>
      </c>
      <c r="C55" s="340">
        <f t="shared" si="5"/>
        <v>1.1318016928657799</v>
      </c>
      <c r="D55" s="424">
        <f>N6+N7-100%</f>
        <v>1.3372933208962619</v>
      </c>
      <c r="E55" s="341"/>
      <c r="F55" s="341"/>
      <c r="G55" s="340">
        <f t="shared" si="6"/>
        <v>-0.20549162803048193</v>
      </c>
      <c r="H55" s="343"/>
      <c r="I55" s="343"/>
      <c r="J55" s="343"/>
      <c r="K55" s="343"/>
      <c r="L55" s="343"/>
      <c r="N55" s="82"/>
      <c r="O55" s="82"/>
    </row>
    <row r="56" spans="1:15" x14ac:dyDescent="0.35">
      <c r="A56" s="338">
        <v>43282</v>
      </c>
      <c r="B56" s="339">
        <f>INDEX('Seasonality Analysis'!C$3:N$17,COLUMN(N7),ROW(A7))</f>
        <v>68</v>
      </c>
      <c r="C56" s="340">
        <f t="shared" si="5"/>
        <v>0.98669891172914137</v>
      </c>
      <c r="D56" s="424">
        <f>N9</f>
        <v>0.8957609796993361</v>
      </c>
      <c r="E56" s="341"/>
      <c r="F56" s="341"/>
      <c r="G56" s="340">
        <f t="shared" si="6"/>
        <v>9.0937932029805268E-2</v>
      </c>
      <c r="H56" s="343"/>
      <c r="I56" s="343"/>
      <c r="J56" s="343"/>
      <c r="K56" s="343"/>
      <c r="L56" s="343"/>
      <c r="N56" s="82"/>
      <c r="O56" s="82"/>
    </row>
    <row r="57" spans="1:15" x14ac:dyDescent="0.35">
      <c r="A57" s="338">
        <v>43313</v>
      </c>
      <c r="B57" s="339">
        <f>INDEX('Seasonality Analysis'!C$3:N$17,COLUMN(N8),ROW(A8))</f>
        <v>66</v>
      </c>
      <c r="C57" s="340">
        <f t="shared" si="5"/>
        <v>0.95767835550181368</v>
      </c>
      <c r="D57" s="424">
        <f>N9</f>
        <v>0.8957609796993361</v>
      </c>
      <c r="E57" s="341"/>
      <c r="F57" s="341"/>
      <c r="G57" s="340">
        <f t="shared" si="6"/>
        <v>6.1917375802477581E-2</v>
      </c>
      <c r="H57" s="343"/>
      <c r="I57" s="343"/>
      <c r="J57" s="343"/>
      <c r="K57" s="343"/>
      <c r="L57" s="343"/>
      <c r="N57" s="82"/>
      <c r="O57" s="82"/>
    </row>
    <row r="58" spans="1:15" x14ac:dyDescent="0.35">
      <c r="A58" s="338">
        <v>43344</v>
      </c>
      <c r="B58" s="339">
        <f>INDEX('Seasonality Analysis'!C$3:N$17,COLUMN(N9),ROW(A9))</f>
        <v>70</v>
      </c>
      <c r="C58" s="340">
        <f t="shared" si="5"/>
        <v>1.0157194679564692</v>
      </c>
      <c r="D58" s="424">
        <f>N9</f>
        <v>0.8957609796993361</v>
      </c>
      <c r="E58" s="341"/>
      <c r="F58" s="341"/>
      <c r="G58" s="340">
        <f t="shared" si="6"/>
        <v>0.11995848825713307</v>
      </c>
      <c r="H58" s="343"/>
      <c r="I58" s="343"/>
      <c r="J58" s="343"/>
      <c r="K58" s="343"/>
      <c r="L58" s="343"/>
      <c r="N58" s="82"/>
      <c r="O58" s="82"/>
    </row>
    <row r="59" spans="1:15" x14ac:dyDescent="0.35">
      <c r="A59" s="338">
        <v>43374</v>
      </c>
      <c r="B59" s="339">
        <f>INDEX('Seasonality Analysis'!C$3:N$17,COLUMN(N10),ROW(A10))</f>
        <v>53</v>
      </c>
      <c r="C59" s="340">
        <f t="shared" si="5"/>
        <v>0.76904474002418377</v>
      </c>
      <c r="D59" s="424">
        <f>N9</f>
        <v>0.8957609796993361</v>
      </c>
      <c r="E59" s="341"/>
      <c r="F59" s="341"/>
      <c r="G59" s="340">
        <f t="shared" si="6"/>
        <v>-0.12671623967515233</v>
      </c>
      <c r="H59" s="343"/>
      <c r="I59" s="343"/>
      <c r="J59" s="343"/>
      <c r="K59" s="343"/>
      <c r="L59" s="343"/>
      <c r="N59" s="82"/>
      <c r="O59" s="82"/>
    </row>
    <row r="60" spans="1:15" x14ac:dyDescent="0.35">
      <c r="A60" s="338">
        <v>43405</v>
      </c>
      <c r="B60" s="339">
        <f>INDEX('Seasonality Analysis'!C$3:N$17,COLUMN(N11),ROW(A11))</f>
        <v>65</v>
      </c>
      <c r="C60" s="340">
        <f t="shared" si="5"/>
        <v>0.94316807738814989</v>
      </c>
      <c r="D60" s="424">
        <f>N9</f>
        <v>0.8957609796993361</v>
      </c>
      <c r="E60" s="341"/>
      <c r="F60" s="341"/>
      <c r="G60" s="340">
        <f t="shared" si="6"/>
        <v>4.7407097688813793E-2</v>
      </c>
      <c r="H60" s="343"/>
      <c r="I60" s="343"/>
      <c r="J60" s="343"/>
      <c r="K60" s="343"/>
      <c r="L60" s="343"/>
      <c r="N60" s="82"/>
      <c r="O60" s="82"/>
    </row>
    <row r="61" spans="1:15" x14ac:dyDescent="0.35">
      <c r="A61" s="338">
        <v>43435</v>
      </c>
      <c r="B61" s="339">
        <f>INDEX('Seasonality Analysis'!C$3:N$17,COLUMN(N12),ROW(A12))</f>
        <v>102</v>
      </c>
      <c r="C61" s="340">
        <f t="shared" si="5"/>
        <v>1.4800483675937122</v>
      </c>
      <c r="D61" s="424">
        <f>N8</f>
        <v>1.7350486713019757</v>
      </c>
      <c r="E61" s="341"/>
      <c r="F61" s="341"/>
      <c r="G61" s="340">
        <f t="shared" si="6"/>
        <v>-0.25500030370826354</v>
      </c>
      <c r="H61" s="343"/>
      <c r="I61" s="343"/>
      <c r="J61" s="343"/>
      <c r="K61" s="343"/>
      <c r="L61" s="343"/>
      <c r="N61" s="82"/>
      <c r="O61" s="82"/>
    </row>
    <row r="62" spans="1:15" x14ac:dyDescent="0.35">
      <c r="A62" s="349">
        <v>43466</v>
      </c>
      <c r="B62" s="348"/>
      <c r="C62" s="346" t="str">
        <f>IF(B62=0,"",B62/AVERAGE(B$62:B$73))</f>
        <v/>
      </c>
      <c r="D62" s="425">
        <f>N9</f>
        <v>0.8957609796993361</v>
      </c>
      <c r="E62" s="347">
        <f>'Growth Projection'!C$18/12</f>
        <v>28.041666666666668</v>
      </c>
      <c r="F62" s="347">
        <f>IFERROR(E62*D62,"")</f>
        <v>25.118630805735553</v>
      </c>
      <c r="G62" s="346" t="str">
        <f t="shared" si="6"/>
        <v/>
      </c>
      <c r="H62" s="347">
        <f t="shared" ref="H62:H93" si="7">IFERROR(F62+2*N$12*F62,"")</f>
        <v>31.077409332477281</v>
      </c>
      <c r="I62" s="347">
        <f t="shared" ref="I62:I93" si="8">IFERROR(IF(OR(ISBLANK(H62),ISBLANK(F62)),"",(H62*N$14)-(N$13*F62)),"")</f>
        <v>18.518093929609506</v>
      </c>
      <c r="J62" s="347">
        <f t="shared" ref="J62:J93" si="9">IFERROR(F62+I62,"")</f>
        <v>43.636724735345055</v>
      </c>
      <c r="K62" s="350">
        <v>120</v>
      </c>
      <c r="L62" s="347">
        <f>IF(OR(J62="",K62=""),"",IF(J62&gt;K62,J62-K62,0))</f>
        <v>0</v>
      </c>
      <c r="N62" s="82"/>
      <c r="O62" s="82"/>
    </row>
    <row r="63" spans="1:15" x14ac:dyDescent="0.35">
      <c r="A63" s="349">
        <v>43497</v>
      </c>
      <c r="B63" s="348"/>
      <c r="C63" s="346" t="str">
        <f t="shared" ref="C63:C73" si="10">IF(B63=0,"",B63/AVERAGE(B$62:B$73))</f>
        <v/>
      </c>
      <c r="D63" s="425">
        <f>N3+N4-100%</f>
        <v>1.1546997657309603</v>
      </c>
      <c r="E63" s="347">
        <f>'Growth Projection'!C$18/12</f>
        <v>28.041666666666668</v>
      </c>
      <c r="F63" s="347">
        <f t="shared" ref="F63:F126" si="11">IFERROR(E63*D63,"")</f>
        <v>32.379705930705683</v>
      </c>
      <c r="G63" s="346" t="str">
        <f t="shared" si="6"/>
        <v/>
      </c>
      <c r="H63" s="347">
        <f t="shared" si="7"/>
        <v>40.060996280259459</v>
      </c>
      <c r="I63" s="347">
        <f t="shared" si="8"/>
        <v>23.871143314906618</v>
      </c>
      <c r="J63" s="347">
        <f t="shared" si="9"/>
        <v>56.250849245612301</v>
      </c>
      <c r="K63" s="347">
        <f t="shared" ref="K63:K94" si="12">IFERROR(K62+L62-F62,"")</f>
        <v>94.881369194264451</v>
      </c>
      <c r="L63" s="347">
        <f t="shared" ref="L63:L126" si="13">IF(OR(J63="",K63=""),"",IF(J63&gt;K63,J63-K63,0))</f>
        <v>0</v>
      </c>
      <c r="N63" s="82"/>
      <c r="O63" s="82"/>
    </row>
    <row r="64" spans="1:15" x14ac:dyDescent="0.35">
      <c r="A64" s="349">
        <v>43525</v>
      </c>
      <c r="B64" s="348"/>
      <c r="C64" s="346" t="str">
        <f t="shared" si="10"/>
        <v/>
      </c>
      <c r="D64" s="425">
        <f>N9</f>
        <v>0.8957609796993361</v>
      </c>
      <c r="E64" s="347">
        <f>'Growth Projection'!C$18/12</f>
        <v>28.041666666666668</v>
      </c>
      <c r="F64" s="347">
        <f t="shared" si="11"/>
        <v>25.118630805735553</v>
      </c>
      <c r="G64" s="346" t="str">
        <f t="shared" si="6"/>
        <v/>
      </c>
      <c r="H64" s="347">
        <f t="shared" si="7"/>
        <v>31.077409332477281</v>
      </c>
      <c r="I64" s="347">
        <f t="shared" si="8"/>
        <v>18.518093929609506</v>
      </c>
      <c r="J64" s="347">
        <f t="shared" si="9"/>
        <v>43.636724735345055</v>
      </c>
      <c r="K64" s="347">
        <f t="shared" si="12"/>
        <v>62.501663263558768</v>
      </c>
      <c r="L64" s="347">
        <f t="shared" si="13"/>
        <v>0</v>
      </c>
      <c r="N64" s="82"/>
      <c r="O64" s="82"/>
    </row>
    <row r="65" spans="1:15" x14ac:dyDescent="0.35">
      <c r="A65" s="349">
        <v>43556</v>
      </c>
      <c r="B65" s="348"/>
      <c r="C65" s="346" t="str">
        <f t="shared" si="10"/>
        <v/>
      </c>
      <c r="D65" s="425">
        <f>N9</f>
        <v>0.8957609796993361</v>
      </c>
      <c r="E65" s="347">
        <f>'Growth Projection'!C$18/12</f>
        <v>28.041666666666668</v>
      </c>
      <c r="F65" s="347">
        <f t="shared" si="11"/>
        <v>25.118630805735553</v>
      </c>
      <c r="G65" s="346" t="str">
        <f t="shared" si="6"/>
        <v/>
      </c>
      <c r="H65" s="347">
        <f t="shared" si="7"/>
        <v>31.077409332477281</v>
      </c>
      <c r="I65" s="347">
        <f t="shared" si="8"/>
        <v>18.518093929609506</v>
      </c>
      <c r="J65" s="347">
        <f t="shared" si="9"/>
        <v>43.636724735345055</v>
      </c>
      <c r="K65" s="347">
        <f t="shared" si="12"/>
        <v>37.383032457823219</v>
      </c>
      <c r="L65" s="347">
        <f t="shared" si="13"/>
        <v>6.2536922775218358</v>
      </c>
      <c r="N65" s="82"/>
      <c r="O65" s="82"/>
    </row>
    <row r="66" spans="1:15" x14ac:dyDescent="0.35">
      <c r="A66" s="349">
        <v>43586</v>
      </c>
      <c r="B66" s="348"/>
      <c r="C66" s="346" t="str">
        <f t="shared" si="10"/>
        <v/>
      </c>
      <c r="D66" s="425">
        <f>N5</f>
        <v>1.0535078872629693</v>
      </c>
      <c r="E66" s="347">
        <f>'Growth Projection'!C$18/12</f>
        <v>28.041666666666668</v>
      </c>
      <c r="F66" s="347">
        <f t="shared" si="11"/>
        <v>29.542117005332432</v>
      </c>
      <c r="G66" s="346" t="str">
        <f t="shared" si="6"/>
        <v/>
      </c>
      <c r="H66" s="347">
        <f t="shared" si="7"/>
        <v>36.550259041707719</v>
      </c>
      <c r="I66" s="347">
        <f t="shared" si="8"/>
        <v>21.779200539041504</v>
      </c>
      <c r="J66" s="347">
        <f t="shared" si="9"/>
        <v>51.32131754437394</v>
      </c>
      <c r="K66" s="347">
        <f t="shared" si="12"/>
        <v>18.518093929609503</v>
      </c>
      <c r="L66" s="347">
        <f t="shared" si="13"/>
        <v>32.803223614764434</v>
      </c>
      <c r="N66" s="82"/>
      <c r="O66" s="82"/>
    </row>
    <row r="67" spans="1:15" x14ac:dyDescent="0.35">
      <c r="A67" s="349">
        <v>43617</v>
      </c>
      <c r="B67" s="348"/>
      <c r="C67" s="346" t="str">
        <f t="shared" si="10"/>
        <v/>
      </c>
      <c r="D67" s="425">
        <f>N6+N7-100%</f>
        <v>1.3372933208962619</v>
      </c>
      <c r="E67" s="347">
        <f>'Growth Projection'!C$18/12</f>
        <v>28.041666666666668</v>
      </c>
      <c r="F67" s="347">
        <f t="shared" si="11"/>
        <v>37.49993354013268</v>
      </c>
      <c r="G67" s="346" t="str">
        <f t="shared" si="6"/>
        <v/>
      </c>
      <c r="H67" s="347">
        <f t="shared" si="7"/>
        <v>46.395872194645705</v>
      </c>
      <c r="I67" s="347">
        <f t="shared" si="8"/>
        <v>27.645905424579365</v>
      </c>
      <c r="J67" s="347">
        <f t="shared" si="9"/>
        <v>65.145838964712041</v>
      </c>
      <c r="K67" s="347">
        <f t="shared" si="12"/>
        <v>21.779200539041508</v>
      </c>
      <c r="L67" s="347">
        <f t="shared" si="13"/>
        <v>43.36663842567053</v>
      </c>
      <c r="N67" s="82"/>
      <c r="O67" s="82"/>
    </row>
    <row r="68" spans="1:15" x14ac:dyDescent="0.35">
      <c r="A68" s="349">
        <v>43647</v>
      </c>
      <c r="B68" s="348"/>
      <c r="C68" s="346" t="str">
        <f t="shared" si="10"/>
        <v/>
      </c>
      <c r="D68" s="425">
        <f>N9</f>
        <v>0.8957609796993361</v>
      </c>
      <c r="E68" s="347">
        <f>'Growth Projection'!C$18/12</f>
        <v>28.041666666666668</v>
      </c>
      <c r="F68" s="347">
        <f t="shared" si="11"/>
        <v>25.118630805735553</v>
      </c>
      <c r="G68" s="346" t="str">
        <f t="shared" si="6"/>
        <v/>
      </c>
      <c r="H68" s="347">
        <f t="shared" si="7"/>
        <v>31.077409332477281</v>
      </c>
      <c r="I68" s="347">
        <f t="shared" si="8"/>
        <v>18.518093929609506</v>
      </c>
      <c r="J68" s="347">
        <f t="shared" si="9"/>
        <v>43.636724735345055</v>
      </c>
      <c r="K68" s="347">
        <f t="shared" si="12"/>
        <v>27.645905424579361</v>
      </c>
      <c r="L68" s="347">
        <f t="shared" si="13"/>
        <v>15.990819310765694</v>
      </c>
      <c r="N68" s="82"/>
      <c r="O68" s="82"/>
    </row>
    <row r="69" spans="1:15" x14ac:dyDescent="0.35">
      <c r="A69" s="349">
        <v>43678</v>
      </c>
      <c r="B69" s="348"/>
      <c r="C69" s="346" t="str">
        <f t="shared" si="10"/>
        <v/>
      </c>
      <c r="D69" s="425">
        <f>N9</f>
        <v>0.8957609796993361</v>
      </c>
      <c r="E69" s="347">
        <f>'Growth Projection'!C$18/12</f>
        <v>28.041666666666668</v>
      </c>
      <c r="F69" s="347">
        <f t="shared" si="11"/>
        <v>25.118630805735553</v>
      </c>
      <c r="G69" s="346" t="str">
        <f t="shared" si="6"/>
        <v/>
      </c>
      <c r="H69" s="347">
        <f t="shared" si="7"/>
        <v>31.077409332477281</v>
      </c>
      <c r="I69" s="347">
        <f t="shared" si="8"/>
        <v>18.518093929609506</v>
      </c>
      <c r="J69" s="347">
        <f t="shared" si="9"/>
        <v>43.636724735345055</v>
      </c>
      <c r="K69" s="347">
        <f t="shared" si="12"/>
        <v>18.518093929609503</v>
      </c>
      <c r="L69" s="347">
        <f t="shared" si="13"/>
        <v>25.118630805735553</v>
      </c>
      <c r="N69" s="82"/>
      <c r="O69" s="82"/>
    </row>
    <row r="70" spans="1:15" x14ac:dyDescent="0.35">
      <c r="A70" s="349">
        <v>43709</v>
      </c>
      <c r="B70" s="348"/>
      <c r="C70" s="346" t="str">
        <f t="shared" si="10"/>
        <v/>
      </c>
      <c r="D70" s="425">
        <f>N9</f>
        <v>0.8957609796993361</v>
      </c>
      <c r="E70" s="347">
        <f>'Growth Projection'!C$18/12</f>
        <v>28.041666666666668</v>
      </c>
      <c r="F70" s="347">
        <f t="shared" si="11"/>
        <v>25.118630805735553</v>
      </c>
      <c r="G70" s="346" t="str">
        <f t="shared" si="6"/>
        <v/>
      </c>
      <c r="H70" s="347">
        <f t="shared" si="7"/>
        <v>31.077409332477281</v>
      </c>
      <c r="I70" s="347">
        <f t="shared" si="8"/>
        <v>18.518093929609506</v>
      </c>
      <c r="J70" s="347">
        <f t="shared" si="9"/>
        <v>43.636724735345055</v>
      </c>
      <c r="K70" s="347">
        <f t="shared" si="12"/>
        <v>18.518093929609503</v>
      </c>
      <c r="L70" s="347">
        <f t="shared" si="13"/>
        <v>25.118630805735553</v>
      </c>
      <c r="N70" s="82"/>
      <c r="O70" s="82"/>
    </row>
    <row r="71" spans="1:15" x14ac:dyDescent="0.35">
      <c r="A71" s="349">
        <v>43739</v>
      </c>
      <c r="B71" s="348"/>
      <c r="C71" s="346" t="str">
        <f t="shared" si="10"/>
        <v/>
      </c>
      <c r="D71" s="425">
        <f>N9</f>
        <v>0.8957609796993361</v>
      </c>
      <c r="E71" s="347">
        <f>'Growth Projection'!C$18/12</f>
        <v>28.041666666666668</v>
      </c>
      <c r="F71" s="347">
        <f t="shared" si="11"/>
        <v>25.118630805735553</v>
      </c>
      <c r="G71" s="346" t="str">
        <f t="shared" si="6"/>
        <v/>
      </c>
      <c r="H71" s="347">
        <f t="shared" si="7"/>
        <v>31.077409332477281</v>
      </c>
      <c r="I71" s="347">
        <f t="shared" si="8"/>
        <v>18.518093929609506</v>
      </c>
      <c r="J71" s="347">
        <f t="shared" si="9"/>
        <v>43.636724735345055</v>
      </c>
      <c r="K71" s="347">
        <f t="shared" si="12"/>
        <v>18.518093929609503</v>
      </c>
      <c r="L71" s="347">
        <f t="shared" si="13"/>
        <v>25.118630805735553</v>
      </c>
      <c r="N71" s="82"/>
      <c r="O71" s="82"/>
    </row>
    <row r="72" spans="1:15" x14ac:dyDescent="0.35">
      <c r="A72" s="349">
        <v>43770</v>
      </c>
      <c r="B72" s="348"/>
      <c r="C72" s="346" t="str">
        <f t="shared" si="10"/>
        <v/>
      </c>
      <c r="D72" s="425">
        <f>N9</f>
        <v>0.8957609796993361</v>
      </c>
      <c r="E72" s="347">
        <f>'Growth Projection'!C$18/12</f>
        <v>28.041666666666668</v>
      </c>
      <c r="F72" s="347">
        <f t="shared" si="11"/>
        <v>25.118630805735553</v>
      </c>
      <c r="G72" s="346" t="str">
        <f t="shared" si="6"/>
        <v/>
      </c>
      <c r="H72" s="347">
        <f t="shared" si="7"/>
        <v>31.077409332477281</v>
      </c>
      <c r="I72" s="347">
        <f t="shared" si="8"/>
        <v>18.518093929609506</v>
      </c>
      <c r="J72" s="347">
        <f t="shared" si="9"/>
        <v>43.636724735345055</v>
      </c>
      <c r="K72" s="347">
        <f t="shared" si="12"/>
        <v>18.518093929609503</v>
      </c>
      <c r="L72" s="347">
        <f t="shared" si="13"/>
        <v>25.118630805735553</v>
      </c>
      <c r="N72" s="82"/>
      <c r="O72" s="82"/>
    </row>
    <row r="73" spans="1:15" x14ac:dyDescent="0.35">
      <c r="A73" s="349">
        <v>43800</v>
      </c>
      <c r="B73" s="348"/>
      <c r="C73" s="346" t="str">
        <f t="shared" si="10"/>
        <v/>
      </c>
      <c r="D73" s="425">
        <f>N8</f>
        <v>1.7350486713019757</v>
      </c>
      <c r="E73" s="347">
        <f>'Growth Projection'!C$18/12</f>
        <v>28.041666666666668</v>
      </c>
      <c r="F73" s="347">
        <f t="shared" si="11"/>
        <v>48.653656491092903</v>
      </c>
      <c r="G73" s="346" t="str">
        <f t="shared" si="6"/>
        <v/>
      </c>
      <c r="H73" s="347">
        <f t="shared" si="7"/>
        <v>60.195542105351528</v>
      </c>
      <c r="I73" s="347">
        <f t="shared" si="8"/>
        <v>35.868713859805077</v>
      </c>
      <c r="J73" s="347">
        <f t="shared" si="9"/>
        <v>84.522370350897972</v>
      </c>
      <c r="K73" s="347">
        <f t="shared" si="12"/>
        <v>18.518093929609503</v>
      </c>
      <c r="L73" s="347">
        <f t="shared" si="13"/>
        <v>66.004276421288466</v>
      </c>
      <c r="N73" s="82"/>
      <c r="O73" s="82"/>
    </row>
    <row r="74" spans="1:15" x14ac:dyDescent="0.35">
      <c r="A74" s="338">
        <v>43831</v>
      </c>
      <c r="B74" s="339"/>
      <c r="C74" s="340"/>
      <c r="D74" s="424">
        <f>N3</f>
        <v>0.92154042168427108</v>
      </c>
      <c r="E74" s="341">
        <f>'Growth Projection'!D$18/12</f>
        <v>30.066666666666304</v>
      </c>
      <c r="F74" s="341">
        <f t="shared" si="11"/>
        <v>27.707648678640084</v>
      </c>
      <c r="G74" s="340" t="str">
        <f t="shared" si="6"/>
        <v/>
      </c>
      <c r="H74" s="341">
        <f t="shared" si="7"/>
        <v>34.280608138479941</v>
      </c>
      <c r="I74" s="341">
        <f t="shared" si="8"/>
        <v>20.4267837991599</v>
      </c>
      <c r="J74" s="341">
        <f t="shared" si="9"/>
        <v>48.134432477799983</v>
      </c>
      <c r="K74" s="341">
        <f t="shared" si="12"/>
        <v>35.868713859805069</v>
      </c>
      <c r="L74" s="341">
        <f t="shared" si="13"/>
        <v>12.265718617994914</v>
      </c>
      <c r="N74" s="82"/>
      <c r="O74" s="82"/>
    </row>
    <row r="75" spans="1:15" x14ac:dyDescent="0.35">
      <c r="A75" s="338">
        <v>43862</v>
      </c>
      <c r="B75" s="339"/>
      <c r="C75" s="340"/>
      <c r="D75" s="424">
        <f>N4</f>
        <v>1.2331593440466895</v>
      </c>
      <c r="E75" s="341">
        <f>'Growth Projection'!D$18/12</f>
        <v>30.066666666666304</v>
      </c>
      <c r="F75" s="341">
        <f t="shared" si="11"/>
        <v>37.076990944336686</v>
      </c>
      <c r="G75" s="340" t="str">
        <f t="shared" si="6"/>
        <v/>
      </c>
      <c r="H75" s="341">
        <f t="shared" si="7"/>
        <v>45.872596850724833</v>
      </c>
      <c r="I75" s="341">
        <f t="shared" si="8"/>
        <v>27.33410137855649</v>
      </c>
      <c r="J75" s="341">
        <f t="shared" si="9"/>
        <v>64.411092322893182</v>
      </c>
      <c r="K75" s="341">
        <f t="shared" si="12"/>
        <v>20.4267837991599</v>
      </c>
      <c r="L75" s="341">
        <f t="shared" si="13"/>
        <v>43.984308523733283</v>
      </c>
      <c r="N75" s="82"/>
      <c r="O75" s="82"/>
    </row>
    <row r="76" spans="1:15" x14ac:dyDescent="0.35">
      <c r="A76" s="338">
        <v>43891</v>
      </c>
      <c r="B76" s="339"/>
      <c r="C76" s="340"/>
      <c r="D76" s="424">
        <f>N9</f>
        <v>0.8957609796993361</v>
      </c>
      <c r="E76" s="341">
        <f>'Growth Projection'!D$18/12</f>
        <v>30.066666666666304</v>
      </c>
      <c r="F76" s="341">
        <f t="shared" si="11"/>
        <v>26.932546789626382</v>
      </c>
      <c r="G76" s="340" t="str">
        <f t="shared" si="6"/>
        <v/>
      </c>
      <c r="H76" s="341">
        <f t="shared" si="7"/>
        <v>33.321632354108964</v>
      </c>
      <c r="I76" s="341">
        <f t="shared" si="8"/>
        <v>19.855358959295771</v>
      </c>
      <c r="J76" s="341">
        <f t="shared" si="9"/>
        <v>46.787905748922157</v>
      </c>
      <c r="K76" s="341">
        <f t="shared" si="12"/>
        <v>27.334101378556497</v>
      </c>
      <c r="L76" s="341">
        <f t="shared" si="13"/>
        <v>19.45380437036566</v>
      </c>
      <c r="N76" s="82"/>
      <c r="O76" s="82"/>
    </row>
    <row r="77" spans="1:15" x14ac:dyDescent="0.35">
      <c r="A77" s="338">
        <v>43922</v>
      </c>
      <c r="B77" s="339"/>
      <c r="C77" s="340"/>
      <c r="D77" s="424">
        <f>N9</f>
        <v>0.8957609796993361</v>
      </c>
      <c r="E77" s="341">
        <f>'Growth Projection'!D$18/12</f>
        <v>30.066666666666304</v>
      </c>
      <c r="F77" s="341">
        <f t="shared" si="11"/>
        <v>26.932546789626382</v>
      </c>
      <c r="G77" s="340" t="str">
        <f t="shared" si="6"/>
        <v/>
      </c>
      <c r="H77" s="341">
        <f t="shared" si="7"/>
        <v>33.321632354108964</v>
      </c>
      <c r="I77" s="341">
        <f t="shared" si="8"/>
        <v>19.855358959295771</v>
      </c>
      <c r="J77" s="341">
        <f t="shared" si="9"/>
        <v>46.787905748922157</v>
      </c>
      <c r="K77" s="341">
        <f t="shared" si="12"/>
        <v>19.855358959295774</v>
      </c>
      <c r="L77" s="341">
        <f t="shared" si="13"/>
        <v>26.932546789626382</v>
      </c>
      <c r="N77" s="82"/>
      <c r="O77" s="82"/>
    </row>
    <row r="78" spans="1:15" x14ac:dyDescent="0.35">
      <c r="A78" s="338">
        <v>43952</v>
      </c>
      <c r="B78" s="339"/>
      <c r="C78" s="340"/>
      <c r="D78" s="424">
        <f>N5+N6-100%</f>
        <v>1.2563104442404898</v>
      </c>
      <c r="E78" s="341">
        <f>'Growth Projection'!D$18/12</f>
        <v>30.066666666666304</v>
      </c>
      <c r="F78" s="341">
        <f t="shared" si="11"/>
        <v>37.773067356830268</v>
      </c>
      <c r="G78" s="340" t="str">
        <f t="shared" si="6"/>
        <v/>
      </c>
      <c r="H78" s="341">
        <f t="shared" si="7"/>
        <v>46.733800304250884</v>
      </c>
      <c r="I78" s="341">
        <f t="shared" si="8"/>
        <v>27.847266625835751</v>
      </c>
      <c r="J78" s="341">
        <f t="shared" si="9"/>
        <v>65.620333982666011</v>
      </c>
      <c r="K78" s="341">
        <f t="shared" si="12"/>
        <v>19.855358959295774</v>
      </c>
      <c r="L78" s="341">
        <f t="shared" si="13"/>
        <v>45.764975023370241</v>
      </c>
      <c r="N78" s="82"/>
      <c r="O78" s="82"/>
    </row>
    <row r="79" spans="1:15" x14ac:dyDescent="0.35">
      <c r="A79" s="338">
        <v>43983</v>
      </c>
      <c r="B79" s="339"/>
      <c r="C79" s="340"/>
      <c r="D79" s="424">
        <f>N9</f>
        <v>0.8957609796993361</v>
      </c>
      <c r="E79" s="341">
        <f>'Growth Projection'!D$18/12</f>
        <v>30.066666666666304</v>
      </c>
      <c r="F79" s="341">
        <f t="shared" si="11"/>
        <v>26.932546789626382</v>
      </c>
      <c r="G79" s="340" t="str">
        <f t="shared" si="6"/>
        <v/>
      </c>
      <c r="H79" s="341">
        <f t="shared" si="7"/>
        <v>33.321632354108964</v>
      </c>
      <c r="I79" s="341">
        <f t="shared" si="8"/>
        <v>19.855358959295771</v>
      </c>
      <c r="J79" s="341">
        <f t="shared" si="9"/>
        <v>46.787905748922157</v>
      </c>
      <c r="K79" s="341">
        <f t="shared" si="12"/>
        <v>27.847266625835744</v>
      </c>
      <c r="L79" s="341">
        <f t="shared" si="13"/>
        <v>18.940639123086413</v>
      </c>
      <c r="N79" s="82"/>
      <c r="O79" s="82"/>
    </row>
    <row r="80" spans="1:15" x14ac:dyDescent="0.35">
      <c r="A80" s="338">
        <v>44013</v>
      </c>
      <c r="B80" s="339"/>
      <c r="C80" s="340"/>
      <c r="D80" s="424">
        <f>N9</f>
        <v>0.8957609796993361</v>
      </c>
      <c r="E80" s="341">
        <f>'Growth Projection'!D$18/12</f>
        <v>30.066666666666304</v>
      </c>
      <c r="F80" s="341">
        <f t="shared" si="11"/>
        <v>26.932546789626382</v>
      </c>
      <c r="G80" s="340" t="str">
        <f t="shared" si="6"/>
        <v/>
      </c>
      <c r="H80" s="341">
        <f t="shared" si="7"/>
        <v>33.321632354108964</v>
      </c>
      <c r="I80" s="341">
        <f t="shared" si="8"/>
        <v>19.855358959295771</v>
      </c>
      <c r="J80" s="341">
        <f t="shared" si="9"/>
        <v>46.787905748922157</v>
      </c>
      <c r="K80" s="341">
        <f t="shared" si="12"/>
        <v>19.855358959295774</v>
      </c>
      <c r="L80" s="341">
        <f t="shared" si="13"/>
        <v>26.932546789626382</v>
      </c>
      <c r="N80" s="82"/>
      <c r="O80" s="82"/>
    </row>
    <row r="81" spans="1:15" x14ac:dyDescent="0.35">
      <c r="A81" s="338">
        <v>44044</v>
      </c>
      <c r="B81" s="339"/>
      <c r="C81" s="340"/>
      <c r="D81" s="424">
        <f>N9</f>
        <v>0.8957609796993361</v>
      </c>
      <c r="E81" s="341">
        <f>'Growth Projection'!D$18/12</f>
        <v>30.066666666666304</v>
      </c>
      <c r="F81" s="341">
        <f t="shared" si="11"/>
        <v>26.932546789626382</v>
      </c>
      <c r="G81" s="340" t="str">
        <f t="shared" si="6"/>
        <v/>
      </c>
      <c r="H81" s="341">
        <f t="shared" si="7"/>
        <v>33.321632354108964</v>
      </c>
      <c r="I81" s="341">
        <f t="shared" si="8"/>
        <v>19.855358959295771</v>
      </c>
      <c r="J81" s="341">
        <f t="shared" si="9"/>
        <v>46.787905748922157</v>
      </c>
      <c r="K81" s="341">
        <f t="shared" si="12"/>
        <v>19.855358959295774</v>
      </c>
      <c r="L81" s="341">
        <f t="shared" si="13"/>
        <v>26.932546789626382</v>
      </c>
      <c r="N81" s="82"/>
      <c r="O81" s="82"/>
    </row>
    <row r="82" spans="1:15" x14ac:dyDescent="0.35">
      <c r="A82" s="338">
        <v>44075</v>
      </c>
      <c r="B82" s="339"/>
      <c r="C82" s="340"/>
      <c r="D82" s="424">
        <f>N9</f>
        <v>0.8957609796993361</v>
      </c>
      <c r="E82" s="341">
        <f>'Growth Projection'!D$18/12</f>
        <v>30.066666666666304</v>
      </c>
      <c r="F82" s="341">
        <f t="shared" si="11"/>
        <v>26.932546789626382</v>
      </c>
      <c r="G82" s="340" t="str">
        <f t="shared" ref="G82:G113" si="14">IF(OR(C82="",D82=""),"",C82-D82)</f>
        <v/>
      </c>
      <c r="H82" s="341">
        <f t="shared" si="7"/>
        <v>33.321632354108964</v>
      </c>
      <c r="I82" s="341">
        <f t="shared" si="8"/>
        <v>19.855358959295771</v>
      </c>
      <c r="J82" s="341">
        <f t="shared" si="9"/>
        <v>46.787905748922157</v>
      </c>
      <c r="K82" s="341">
        <f t="shared" si="12"/>
        <v>19.855358959295774</v>
      </c>
      <c r="L82" s="341">
        <f t="shared" si="13"/>
        <v>26.932546789626382</v>
      </c>
      <c r="N82" s="82"/>
      <c r="O82" s="82"/>
    </row>
    <row r="83" spans="1:15" x14ac:dyDescent="0.35">
      <c r="A83" s="338">
        <v>44105</v>
      </c>
      <c r="B83" s="339"/>
      <c r="C83" s="340"/>
      <c r="D83" s="424">
        <f>N9</f>
        <v>0.8957609796993361</v>
      </c>
      <c r="E83" s="341">
        <f>'Growth Projection'!D$18/12</f>
        <v>30.066666666666304</v>
      </c>
      <c r="F83" s="341">
        <f t="shared" si="11"/>
        <v>26.932546789626382</v>
      </c>
      <c r="G83" s="340" t="str">
        <f t="shared" si="14"/>
        <v/>
      </c>
      <c r="H83" s="341">
        <f t="shared" si="7"/>
        <v>33.321632354108964</v>
      </c>
      <c r="I83" s="341">
        <f t="shared" si="8"/>
        <v>19.855358959295771</v>
      </c>
      <c r="J83" s="341">
        <f t="shared" si="9"/>
        <v>46.787905748922157</v>
      </c>
      <c r="K83" s="341">
        <f t="shared" si="12"/>
        <v>19.855358959295774</v>
      </c>
      <c r="L83" s="341">
        <f t="shared" si="13"/>
        <v>26.932546789626382</v>
      </c>
      <c r="N83" s="82"/>
      <c r="O83" s="82"/>
    </row>
    <row r="84" spans="1:15" x14ac:dyDescent="0.35">
      <c r="A84" s="338">
        <v>44136</v>
      </c>
      <c r="B84" s="339"/>
      <c r="C84" s="340"/>
      <c r="D84" s="424">
        <f>N9</f>
        <v>0.8957609796993361</v>
      </c>
      <c r="E84" s="341">
        <f>'Growth Projection'!D$18/12</f>
        <v>30.066666666666304</v>
      </c>
      <c r="F84" s="341">
        <f t="shared" si="11"/>
        <v>26.932546789626382</v>
      </c>
      <c r="G84" s="340" t="str">
        <f t="shared" si="14"/>
        <v/>
      </c>
      <c r="H84" s="341">
        <f t="shared" si="7"/>
        <v>33.321632354108964</v>
      </c>
      <c r="I84" s="341">
        <f t="shared" si="8"/>
        <v>19.855358959295771</v>
      </c>
      <c r="J84" s="341">
        <f t="shared" si="9"/>
        <v>46.787905748922157</v>
      </c>
      <c r="K84" s="341">
        <f t="shared" si="12"/>
        <v>19.855358959295774</v>
      </c>
      <c r="L84" s="341">
        <f t="shared" si="13"/>
        <v>26.932546789626382</v>
      </c>
      <c r="N84" s="82"/>
      <c r="O84" s="82"/>
    </row>
    <row r="85" spans="1:15" x14ac:dyDescent="0.35">
      <c r="A85" s="338">
        <v>44166</v>
      </c>
      <c r="B85" s="339"/>
      <c r="C85" s="340"/>
      <c r="D85" s="424">
        <f>N8</f>
        <v>1.7350486713019757</v>
      </c>
      <c r="E85" s="341">
        <f>'Growth Projection'!D$18/12</f>
        <v>30.066666666666304</v>
      </c>
      <c r="F85" s="341">
        <f t="shared" si="11"/>
        <v>52.167130050478775</v>
      </c>
      <c r="G85" s="340" t="str">
        <f t="shared" si="14"/>
        <v/>
      </c>
      <c r="H85" s="341">
        <f t="shared" si="7"/>
        <v>64.542501015187426</v>
      </c>
      <c r="I85" s="341">
        <f t="shared" si="8"/>
        <v>38.458935989948039</v>
      </c>
      <c r="J85" s="341">
        <f t="shared" si="9"/>
        <v>90.626066040426821</v>
      </c>
      <c r="K85" s="341">
        <f t="shared" si="12"/>
        <v>19.855358959295774</v>
      </c>
      <c r="L85" s="341">
        <f t="shared" si="13"/>
        <v>70.77070708113105</v>
      </c>
      <c r="N85" s="82"/>
      <c r="O85" s="82"/>
    </row>
    <row r="86" spans="1:15" x14ac:dyDescent="0.35">
      <c r="A86" s="344">
        <v>44197</v>
      </c>
      <c r="B86" s="345"/>
      <c r="C86" s="346"/>
      <c r="D86" s="425">
        <f>N9</f>
        <v>0.8957609796993361</v>
      </c>
      <c r="E86" s="347">
        <f>'Growth Projection'!E$18/12</f>
        <v>32.091666666666548</v>
      </c>
      <c r="F86" s="347">
        <f t="shared" si="11"/>
        <v>28.746462773517756</v>
      </c>
      <c r="G86" s="346" t="str">
        <f t="shared" si="14"/>
        <v/>
      </c>
      <c r="H86" s="347">
        <f t="shared" si="7"/>
        <v>35.565855375741322</v>
      </c>
      <c r="I86" s="347">
        <f t="shared" si="8"/>
        <v>21.192623988982444</v>
      </c>
      <c r="J86" s="347">
        <f t="shared" si="9"/>
        <v>49.939086762500196</v>
      </c>
      <c r="K86" s="347">
        <f t="shared" si="12"/>
        <v>38.458935989948046</v>
      </c>
      <c r="L86" s="347">
        <f t="shared" si="13"/>
        <v>11.48015077255215</v>
      </c>
      <c r="N86" s="82"/>
      <c r="O86" s="82"/>
    </row>
    <row r="87" spans="1:15" x14ac:dyDescent="0.35">
      <c r="A87" s="344">
        <v>44228</v>
      </c>
      <c r="B87" s="345"/>
      <c r="C87" s="346"/>
      <c r="D87" s="425">
        <f>N3+N4-100%</f>
        <v>1.1546997657309603</v>
      </c>
      <c r="E87" s="347">
        <f>'Growth Projection'!E$18/12</f>
        <v>32.091666666666548</v>
      </c>
      <c r="F87" s="347">
        <f t="shared" si="11"/>
        <v>37.05623998191593</v>
      </c>
      <c r="G87" s="346" t="str">
        <f t="shared" si="14"/>
        <v/>
      </c>
      <c r="H87" s="347">
        <f t="shared" si="7"/>
        <v>45.846923231880709</v>
      </c>
      <c r="I87" s="347">
        <f t="shared" si="8"/>
        <v>27.318803240922744</v>
      </c>
      <c r="J87" s="347">
        <f t="shared" si="9"/>
        <v>64.37504322283867</v>
      </c>
      <c r="K87" s="347">
        <f t="shared" si="12"/>
        <v>21.19262398898244</v>
      </c>
      <c r="L87" s="347">
        <f t="shared" si="13"/>
        <v>43.18241923385623</v>
      </c>
      <c r="N87" s="82"/>
      <c r="O87" s="82"/>
    </row>
    <row r="88" spans="1:15" x14ac:dyDescent="0.35">
      <c r="A88" s="344">
        <v>44256</v>
      </c>
      <c r="B88" s="345"/>
      <c r="C88" s="346"/>
      <c r="D88" s="425">
        <f>N9</f>
        <v>0.8957609796993361</v>
      </c>
      <c r="E88" s="347">
        <f>'Growth Projection'!E$18/12</f>
        <v>32.091666666666548</v>
      </c>
      <c r="F88" s="347">
        <f t="shared" si="11"/>
        <v>28.746462773517756</v>
      </c>
      <c r="G88" s="346" t="str">
        <f t="shared" si="14"/>
        <v/>
      </c>
      <c r="H88" s="347">
        <f t="shared" si="7"/>
        <v>35.565855375741322</v>
      </c>
      <c r="I88" s="347">
        <f t="shared" si="8"/>
        <v>21.192623988982444</v>
      </c>
      <c r="J88" s="347">
        <f t="shared" si="9"/>
        <v>49.939086762500196</v>
      </c>
      <c r="K88" s="347">
        <f t="shared" si="12"/>
        <v>27.31880324092274</v>
      </c>
      <c r="L88" s="347">
        <f t="shared" si="13"/>
        <v>22.620283521577456</v>
      </c>
      <c r="N88" s="82"/>
      <c r="O88" s="82"/>
    </row>
    <row r="89" spans="1:15" x14ac:dyDescent="0.35">
      <c r="A89" s="344">
        <v>44287</v>
      </c>
      <c r="B89" s="345"/>
      <c r="C89" s="346"/>
      <c r="D89" s="425">
        <f>N9</f>
        <v>0.8957609796993361</v>
      </c>
      <c r="E89" s="347">
        <f>'Growth Projection'!E$18/12</f>
        <v>32.091666666666548</v>
      </c>
      <c r="F89" s="347">
        <f t="shared" si="11"/>
        <v>28.746462773517756</v>
      </c>
      <c r="G89" s="346" t="str">
        <f t="shared" si="14"/>
        <v/>
      </c>
      <c r="H89" s="347">
        <f t="shared" si="7"/>
        <v>35.565855375741322</v>
      </c>
      <c r="I89" s="347">
        <f t="shared" si="8"/>
        <v>21.192623988982444</v>
      </c>
      <c r="J89" s="347">
        <f t="shared" si="9"/>
        <v>49.939086762500196</v>
      </c>
      <c r="K89" s="347">
        <f t="shared" si="12"/>
        <v>21.19262398898244</v>
      </c>
      <c r="L89" s="347">
        <f t="shared" si="13"/>
        <v>28.746462773517756</v>
      </c>
      <c r="N89" s="82"/>
      <c r="O89" s="82"/>
    </row>
    <row r="90" spans="1:15" x14ac:dyDescent="0.35">
      <c r="A90" s="344">
        <v>44317</v>
      </c>
      <c r="B90" s="345"/>
      <c r="C90" s="346"/>
      <c r="D90" s="425">
        <f>N5+N6-100%</f>
        <v>1.2563104442404898</v>
      </c>
      <c r="E90" s="347">
        <f>'Growth Projection'!E$18/12</f>
        <v>32.091666666666548</v>
      </c>
      <c r="F90" s="347">
        <f t="shared" si="11"/>
        <v>40.317096006417565</v>
      </c>
      <c r="G90" s="346" t="str">
        <f t="shared" si="14"/>
        <v/>
      </c>
      <c r="H90" s="347">
        <f t="shared" si="7"/>
        <v>49.881337298135165</v>
      </c>
      <c r="I90" s="347">
        <f t="shared" si="8"/>
        <v>29.722789294926383</v>
      </c>
      <c r="J90" s="347">
        <f t="shared" si="9"/>
        <v>70.039885301343944</v>
      </c>
      <c r="K90" s="347">
        <f t="shared" si="12"/>
        <v>21.19262398898244</v>
      </c>
      <c r="L90" s="347">
        <f t="shared" si="13"/>
        <v>48.847261312361503</v>
      </c>
      <c r="N90" s="82"/>
      <c r="O90" s="82"/>
    </row>
    <row r="91" spans="1:15" x14ac:dyDescent="0.35">
      <c r="A91" s="344">
        <v>44348</v>
      </c>
      <c r="B91" s="345"/>
      <c r="C91" s="346"/>
      <c r="D91" s="425">
        <f>N7</f>
        <v>1.1344907639187414</v>
      </c>
      <c r="E91" s="347">
        <f>'Growth Projection'!E$18/12</f>
        <v>32.091666666666548</v>
      </c>
      <c r="F91" s="347">
        <f t="shared" si="11"/>
        <v>36.407699432092137</v>
      </c>
      <c r="G91" s="346" t="str">
        <f t="shared" si="14"/>
        <v/>
      </c>
      <c r="H91" s="347">
        <f t="shared" si="7"/>
        <v>45.044532357495086</v>
      </c>
      <c r="I91" s="347">
        <f t="shared" si="8"/>
        <v>26.840682641449018</v>
      </c>
      <c r="J91" s="347">
        <f t="shared" si="9"/>
        <v>63.248382073541151</v>
      </c>
      <c r="K91" s="347">
        <f t="shared" si="12"/>
        <v>29.722789294926379</v>
      </c>
      <c r="L91" s="347">
        <f t="shared" si="13"/>
        <v>33.525592778614772</v>
      </c>
      <c r="N91" s="82"/>
      <c r="O91" s="82"/>
    </row>
    <row r="92" spans="1:15" x14ac:dyDescent="0.35">
      <c r="A92" s="344">
        <v>44378</v>
      </c>
      <c r="B92" s="345"/>
      <c r="C92" s="346"/>
      <c r="D92" s="425">
        <f>N9</f>
        <v>0.8957609796993361</v>
      </c>
      <c r="E92" s="347">
        <f>'Growth Projection'!E$18/12</f>
        <v>32.091666666666548</v>
      </c>
      <c r="F92" s="347">
        <f t="shared" si="11"/>
        <v>28.746462773517756</v>
      </c>
      <c r="G92" s="346" t="str">
        <f t="shared" si="14"/>
        <v/>
      </c>
      <c r="H92" s="347">
        <f t="shared" si="7"/>
        <v>35.565855375741322</v>
      </c>
      <c r="I92" s="347">
        <f t="shared" si="8"/>
        <v>21.192623988982444</v>
      </c>
      <c r="J92" s="347">
        <f t="shared" si="9"/>
        <v>49.939086762500196</v>
      </c>
      <c r="K92" s="347">
        <f t="shared" si="12"/>
        <v>26.840682641449014</v>
      </c>
      <c r="L92" s="347">
        <f t="shared" si="13"/>
        <v>23.098404121051182</v>
      </c>
      <c r="N92" s="82"/>
      <c r="O92" s="82"/>
    </row>
    <row r="93" spans="1:15" x14ac:dyDescent="0.35">
      <c r="A93" s="344">
        <v>44409</v>
      </c>
      <c r="B93" s="345"/>
      <c r="C93" s="346"/>
      <c r="D93" s="425">
        <f>N9</f>
        <v>0.8957609796993361</v>
      </c>
      <c r="E93" s="347">
        <f>'Growth Projection'!E$18/12</f>
        <v>32.091666666666548</v>
      </c>
      <c r="F93" s="347">
        <f t="shared" si="11"/>
        <v>28.746462773517756</v>
      </c>
      <c r="G93" s="346" t="str">
        <f t="shared" si="14"/>
        <v/>
      </c>
      <c r="H93" s="347">
        <f t="shared" si="7"/>
        <v>35.565855375741322</v>
      </c>
      <c r="I93" s="347">
        <f t="shared" si="8"/>
        <v>21.192623988982444</v>
      </c>
      <c r="J93" s="347">
        <f t="shared" si="9"/>
        <v>49.939086762500196</v>
      </c>
      <c r="K93" s="347">
        <f t="shared" si="12"/>
        <v>21.19262398898244</v>
      </c>
      <c r="L93" s="347">
        <f t="shared" si="13"/>
        <v>28.746462773517756</v>
      </c>
      <c r="N93" s="82"/>
      <c r="O93" s="82"/>
    </row>
    <row r="94" spans="1:15" x14ac:dyDescent="0.35">
      <c r="A94" s="344">
        <v>44440</v>
      </c>
      <c r="B94" s="345"/>
      <c r="C94" s="346"/>
      <c r="D94" s="425">
        <f>N9</f>
        <v>0.8957609796993361</v>
      </c>
      <c r="E94" s="347">
        <f>'Growth Projection'!E$18/12</f>
        <v>32.091666666666548</v>
      </c>
      <c r="F94" s="347">
        <f t="shared" si="11"/>
        <v>28.746462773517756</v>
      </c>
      <c r="G94" s="346" t="str">
        <f t="shared" si="14"/>
        <v/>
      </c>
      <c r="H94" s="347">
        <f t="shared" ref="H94:H125" si="15">IFERROR(F94+2*N$12*F94,"")</f>
        <v>35.565855375741322</v>
      </c>
      <c r="I94" s="347">
        <f t="shared" ref="I94:I125" si="16">IFERROR(IF(OR(ISBLANK(H94),ISBLANK(F94)),"",(H94*N$14)-(N$13*F94)),"")</f>
        <v>21.192623988982444</v>
      </c>
      <c r="J94" s="347">
        <f t="shared" ref="J94:J125" si="17">IFERROR(F94+I94,"")</f>
        <v>49.939086762500196</v>
      </c>
      <c r="K94" s="347">
        <f t="shared" si="12"/>
        <v>21.19262398898244</v>
      </c>
      <c r="L94" s="347">
        <f t="shared" si="13"/>
        <v>28.746462773517756</v>
      </c>
      <c r="N94" s="82"/>
      <c r="O94" s="82"/>
    </row>
    <row r="95" spans="1:15" x14ac:dyDescent="0.35">
      <c r="A95" s="344">
        <v>44470</v>
      </c>
      <c r="B95" s="345"/>
      <c r="C95" s="346"/>
      <c r="D95" s="425">
        <f>N9</f>
        <v>0.8957609796993361</v>
      </c>
      <c r="E95" s="347">
        <f>'Growth Projection'!E$18/12</f>
        <v>32.091666666666548</v>
      </c>
      <c r="F95" s="347">
        <f t="shared" si="11"/>
        <v>28.746462773517756</v>
      </c>
      <c r="G95" s="346" t="str">
        <f t="shared" si="14"/>
        <v/>
      </c>
      <c r="H95" s="347">
        <f t="shared" si="15"/>
        <v>35.565855375741322</v>
      </c>
      <c r="I95" s="347">
        <f t="shared" si="16"/>
        <v>21.192623988982444</v>
      </c>
      <c r="J95" s="347">
        <f t="shared" si="17"/>
        <v>49.939086762500196</v>
      </c>
      <c r="K95" s="347">
        <f t="shared" ref="K95:K126" si="18">IFERROR(K94+L94-F94,"")</f>
        <v>21.19262398898244</v>
      </c>
      <c r="L95" s="347">
        <f t="shared" si="13"/>
        <v>28.746462773517756</v>
      </c>
      <c r="N95" s="82"/>
      <c r="O95" s="82"/>
    </row>
    <row r="96" spans="1:15" x14ac:dyDescent="0.35">
      <c r="A96" s="344">
        <v>44501</v>
      </c>
      <c r="B96" s="345"/>
      <c r="C96" s="346"/>
      <c r="D96" s="425">
        <f>N9</f>
        <v>0.8957609796993361</v>
      </c>
      <c r="E96" s="347">
        <f>'Growth Projection'!E$18/12</f>
        <v>32.091666666666548</v>
      </c>
      <c r="F96" s="347">
        <f t="shared" si="11"/>
        <v>28.746462773517756</v>
      </c>
      <c r="G96" s="346" t="str">
        <f t="shared" si="14"/>
        <v/>
      </c>
      <c r="H96" s="347">
        <f t="shared" si="15"/>
        <v>35.565855375741322</v>
      </c>
      <c r="I96" s="347">
        <f t="shared" si="16"/>
        <v>21.192623988982444</v>
      </c>
      <c r="J96" s="347">
        <f t="shared" si="17"/>
        <v>49.939086762500196</v>
      </c>
      <c r="K96" s="347">
        <f t="shared" si="18"/>
        <v>21.19262398898244</v>
      </c>
      <c r="L96" s="347">
        <f t="shared" si="13"/>
        <v>28.746462773517756</v>
      </c>
      <c r="N96" s="82"/>
      <c r="O96" s="82"/>
    </row>
    <row r="97" spans="1:15" x14ac:dyDescent="0.35">
      <c r="A97" s="344">
        <v>44531</v>
      </c>
      <c r="B97" s="345"/>
      <c r="C97" s="346"/>
      <c r="D97" s="425">
        <f>N8</f>
        <v>1.7350486713019757</v>
      </c>
      <c r="E97" s="347">
        <f>'Growth Projection'!E$18/12</f>
        <v>32.091666666666548</v>
      </c>
      <c r="F97" s="347">
        <f t="shared" si="11"/>
        <v>55.680603609865699</v>
      </c>
      <c r="G97" s="346" t="str">
        <f t="shared" si="14"/>
        <v/>
      </c>
      <c r="H97" s="347">
        <f t="shared" si="15"/>
        <v>68.889459925024624</v>
      </c>
      <c r="I97" s="347">
        <f t="shared" si="16"/>
        <v>41.049158120091775</v>
      </c>
      <c r="J97" s="347">
        <f t="shared" si="17"/>
        <v>96.729761729957474</v>
      </c>
      <c r="K97" s="347">
        <f t="shared" si="18"/>
        <v>21.19262398898244</v>
      </c>
      <c r="L97" s="347">
        <f t="shared" si="13"/>
        <v>75.537137740975027</v>
      </c>
      <c r="N97" s="82"/>
      <c r="O97" s="82"/>
    </row>
    <row r="98" spans="1:15" x14ac:dyDescent="0.35">
      <c r="A98" s="338">
        <v>44562</v>
      </c>
      <c r="B98" s="339"/>
      <c r="C98" s="340"/>
      <c r="D98" s="424">
        <f>N3</f>
        <v>0.92154042168427108</v>
      </c>
      <c r="E98" s="341">
        <f>'Growth Projection'!F$18/12</f>
        <v>34.116666666666184</v>
      </c>
      <c r="F98" s="341">
        <f t="shared" si="11"/>
        <v>31.439887386461269</v>
      </c>
      <c r="G98" s="340" t="str">
        <f t="shared" si="14"/>
        <v/>
      </c>
      <c r="H98" s="341">
        <f t="shared" si="15"/>
        <v>38.898228857798387</v>
      </c>
      <c r="I98" s="341">
        <f t="shared" si="16"/>
        <v>23.178285164567754</v>
      </c>
      <c r="J98" s="341">
        <f t="shared" si="17"/>
        <v>54.618172551029019</v>
      </c>
      <c r="K98" s="341">
        <f t="shared" si="18"/>
        <v>41.049158120091761</v>
      </c>
      <c r="L98" s="341">
        <f t="shared" si="13"/>
        <v>13.569014430937258</v>
      </c>
      <c r="N98" s="82"/>
      <c r="O98" s="82"/>
    </row>
    <row r="99" spans="1:15" x14ac:dyDescent="0.35">
      <c r="A99" s="338">
        <v>44593</v>
      </c>
      <c r="B99" s="339"/>
      <c r="C99" s="340"/>
      <c r="D99" s="424">
        <f>N4</f>
        <v>1.2331593440466895</v>
      </c>
      <c r="E99" s="341">
        <f>'Growth Projection'!F$18/12</f>
        <v>34.116666666666184</v>
      </c>
      <c r="F99" s="341">
        <f t="shared" si="11"/>
        <v>42.071286287725627</v>
      </c>
      <c r="G99" s="340" t="str">
        <f t="shared" si="14"/>
        <v/>
      </c>
      <c r="H99" s="341">
        <f t="shared" si="15"/>
        <v>52.051666160439872</v>
      </c>
      <c r="I99" s="341">
        <f t="shared" si="16"/>
        <v>31.016023016577059</v>
      </c>
      <c r="J99" s="341">
        <f t="shared" si="17"/>
        <v>73.087309304302693</v>
      </c>
      <c r="K99" s="341">
        <f t="shared" si="18"/>
        <v>23.17828516456775</v>
      </c>
      <c r="L99" s="341">
        <f t="shared" si="13"/>
        <v>49.909024139734939</v>
      </c>
      <c r="N99" s="82"/>
      <c r="O99" s="82"/>
    </row>
    <row r="100" spans="1:15" x14ac:dyDescent="0.35">
      <c r="A100" s="338">
        <v>44621</v>
      </c>
      <c r="B100" s="339"/>
      <c r="C100" s="340"/>
      <c r="D100" s="424">
        <f>N9</f>
        <v>0.8957609796993361</v>
      </c>
      <c r="E100" s="341">
        <f>'Growth Projection'!F$18/12</f>
        <v>34.116666666666184</v>
      </c>
      <c r="F100" s="341">
        <f t="shared" si="11"/>
        <v>30.560378757408586</v>
      </c>
      <c r="G100" s="340" t="str">
        <f t="shared" si="14"/>
        <v/>
      </c>
      <c r="H100" s="341">
        <f t="shared" si="15"/>
        <v>37.810078397373012</v>
      </c>
      <c r="I100" s="341">
        <f t="shared" si="16"/>
        <v>22.529889018668719</v>
      </c>
      <c r="J100" s="341">
        <f t="shared" si="17"/>
        <v>53.090267776077305</v>
      </c>
      <c r="K100" s="341">
        <f t="shared" si="18"/>
        <v>31.016023016577066</v>
      </c>
      <c r="L100" s="341">
        <f t="shared" si="13"/>
        <v>22.074244759500239</v>
      </c>
      <c r="N100" s="82"/>
      <c r="O100" s="82"/>
    </row>
    <row r="101" spans="1:15" x14ac:dyDescent="0.35">
      <c r="A101" s="338">
        <v>44652</v>
      </c>
      <c r="B101" s="339"/>
      <c r="C101" s="340"/>
      <c r="D101" s="424">
        <f>N9</f>
        <v>0.8957609796993361</v>
      </c>
      <c r="E101" s="341">
        <f>'Growth Projection'!F$18/12</f>
        <v>34.116666666666184</v>
      </c>
      <c r="F101" s="341">
        <f t="shared" si="11"/>
        <v>30.560378757408586</v>
      </c>
      <c r="G101" s="340" t="str">
        <f t="shared" si="14"/>
        <v/>
      </c>
      <c r="H101" s="341">
        <f t="shared" si="15"/>
        <v>37.810078397373012</v>
      </c>
      <c r="I101" s="341">
        <f t="shared" si="16"/>
        <v>22.529889018668719</v>
      </c>
      <c r="J101" s="341">
        <f t="shared" si="17"/>
        <v>53.090267776077305</v>
      </c>
      <c r="K101" s="341">
        <f t="shared" si="18"/>
        <v>22.529889018668719</v>
      </c>
      <c r="L101" s="341">
        <f t="shared" si="13"/>
        <v>30.560378757408586</v>
      </c>
      <c r="N101" s="82"/>
      <c r="O101" s="82"/>
    </row>
    <row r="102" spans="1:15" x14ac:dyDescent="0.35">
      <c r="A102" s="338">
        <v>44682</v>
      </c>
      <c r="B102" s="339"/>
      <c r="C102" s="340"/>
      <c r="D102" s="424">
        <f>N5+N6-100%</f>
        <v>1.2563104442404898</v>
      </c>
      <c r="E102" s="341">
        <f>'Growth Projection'!F$18/12</f>
        <v>34.116666666666184</v>
      </c>
      <c r="F102" s="341">
        <f t="shared" si="11"/>
        <v>42.861124656004101</v>
      </c>
      <c r="G102" s="340" t="str">
        <f t="shared" si="14"/>
        <v/>
      </c>
      <c r="H102" s="341">
        <f t="shared" si="15"/>
        <v>53.0288742920185</v>
      </c>
      <c r="I102" s="341">
        <f t="shared" si="16"/>
        <v>31.59831196401645</v>
      </c>
      <c r="J102" s="341">
        <f t="shared" si="17"/>
        <v>74.459436620020554</v>
      </c>
      <c r="K102" s="341">
        <f t="shared" si="18"/>
        <v>22.529889018668719</v>
      </c>
      <c r="L102" s="341">
        <f t="shared" si="13"/>
        <v>51.929547601351835</v>
      </c>
      <c r="N102" s="82"/>
      <c r="O102" s="82"/>
    </row>
    <row r="103" spans="1:15" x14ac:dyDescent="0.35">
      <c r="A103" s="338">
        <v>44713</v>
      </c>
      <c r="B103" s="339"/>
      <c r="C103" s="340"/>
      <c r="D103" s="424">
        <f>N7</f>
        <v>1.1344907639187414</v>
      </c>
      <c r="E103" s="341">
        <f>'Growth Projection'!F$18/12</f>
        <v>34.116666666666184</v>
      </c>
      <c r="F103" s="341">
        <f t="shared" si="11"/>
        <v>38.705043229027176</v>
      </c>
      <c r="G103" s="340" t="str">
        <f t="shared" si="14"/>
        <v/>
      </c>
      <c r="H103" s="341">
        <f t="shared" si="15"/>
        <v>47.886864573249277</v>
      </c>
      <c r="I103" s="341">
        <f t="shared" si="16"/>
        <v>28.534342958735689</v>
      </c>
      <c r="J103" s="341">
        <f t="shared" si="17"/>
        <v>67.239386187762861</v>
      </c>
      <c r="K103" s="341">
        <f t="shared" si="18"/>
        <v>31.598311964016453</v>
      </c>
      <c r="L103" s="341">
        <f t="shared" si="13"/>
        <v>35.641074223746408</v>
      </c>
      <c r="N103" s="82"/>
      <c r="O103" s="82"/>
    </row>
    <row r="104" spans="1:15" x14ac:dyDescent="0.35">
      <c r="A104" s="338">
        <v>44743</v>
      </c>
      <c r="B104" s="339"/>
      <c r="C104" s="340"/>
      <c r="D104" s="424">
        <f>N9</f>
        <v>0.8957609796993361</v>
      </c>
      <c r="E104" s="341">
        <f>'Growth Projection'!F$18/12</f>
        <v>34.116666666666184</v>
      </c>
      <c r="F104" s="341">
        <f t="shared" si="11"/>
        <v>30.560378757408586</v>
      </c>
      <c r="G104" s="340" t="str">
        <f t="shared" si="14"/>
        <v/>
      </c>
      <c r="H104" s="341">
        <f t="shared" si="15"/>
        <v>37.810078397373012</v>
      </c>
      <c r="I104" s="341">
        <f t="shared" si="16"/>
        <v>22.529889018668719</v>
      </c>
      <c r="J104" s="341">
        <f t="shared" si="17"/>
        <v>53.090267776077305</v>
      </c>
      <c r="K104" s="341">
        <f t="shared" si="18"/>
        <v>28.534342958735685</v>
      </c>
      <c r="L104" s="341">
        <f t="shared" si="13"/>
        <v>24.555924817341619</v>
      </c>
      <c r="N104" s="82"/>
      <c r="O104" s="82"/>
    </row>
    <row r="105" spans="1:15" x14ac:dyDescent="0.35">
      <c r="A105" s="338">
        <v>44774</v>
      </c>
      <c r="B105" s="339"/>
      <c r="C105" s="340"/>
      <c r="D105" s="424">
        <f>N9</f>
        <v>0.8957609796993361</v>
      </c>
      <c r="E105" s="341">
        <f>'Growth Projection'!F$18/12</f>
        <v>34.116666666666184</v>
      </c>
      <c r="F105" s="341">
        <f t="shared" si="11"/>
        <v>30.560378757408586</v>
      </c>
      <c r="G105" s="340" t="str">
        <f t="shared" si="14"/>
        <v/>
      </c>
      <c r="H105" s="341">
        <f t="shared" si="15"/>
        <v>37.810078397373012</v>
      </c>
      <c r="I105" s="341">
        <f t="shared" si="16"/>
        <v>22.529889018668719</v>
      </c>
      <c r="J105" s="341">
        <f t="shared" si="17"/>
        <v>53.090267776077305</v>
      </c>
      <c r="K105" s="341">
        <f t="shared" si="18"/>
        <v>22.529889018668719</v>
      </c>
      <c r="L105" s="341">
        <f t="shared" si="13"/>
        <v>30.560378757408586</v>
      </c>
      <c r="N105" s="82"/>
      <c r="O105" s="82"/>
    </row>
    <row r="106" spans="1:15" x14ac:dyDescent="0.35">
      <c r="A106" s="338">
        <v>44805</v>
      </c>
      <c r="B106" s="339"/>
      <c r="C106" s="340"/>
      <c r="D106" s="424">
        <f>N9</f>
        <v>0.8957609796993361</v>
      </c>
      <c r="E106" s="341">
        <f>'Growth Projection'!F$18/12</f>
        <v>34.116666666666184</v>
      </c>
      <c r="F106" s="341">
        <f t="shared" si="11"/>
        <v>30.560378757408586</v>
      </c>
      <c r="G106" s="340" t="str">
        <f t="shared" si="14"/>
        <v/>
      </c>
      <c r="H106" s="341">
        <f t="shared" si="15"/>
        <v>37.810078397373012</v>
      </c>
      <c r="I106" s="341">
        <f t="shared" si="16"/>
        <v>22.529889018668719</v>
      </c>
      <c r="J106" s="341">
        <f t="shared" si="17"/>
        <v>53.090267776077305</v>
      </c>
      <c r="K106" s="341">
        <f t="shared" si="18"/>
        <v>22.529889018668719</v>
      </c>
      <c r="L106" s="341">
        <f t="shared" si="13"/>
        <v>30.560378757408586</v>
      </c>
      <c r="N106" s="82"/>
      <c r="O106" s="82"/>
    </row>
    <row r="107" spans="1:15" x14ac:dyDescent="0.35">
      <c r="A107" s="338">
        <v>44835</v>
      </c>
      <c r="B107" s="339"/>
      <c r="C107" s="340"/>
      <c r="D107" s="424">
        <f>N9</f>
        <v>0.8957609796993361</v>
      </c>
      <c r="E107" s="341">
        <f>'Growth Projection'!F$18/12</f>
        <v>34.116666666666184</v>
      </c>
      <c r="F107" s="341">
        <f t="shared" si="11"/>
        <v>30.560378757408586</v>
      </c>
      <c r="G107" s="340" t="str">
        <f t="shared" si="14"/>
        <v/>
      </c>
      <c r="H107" s="341">
        <f t="shared" si="15"/>
        <v>37.810078397373012</v>
      </c>
      <c r="I107" s="341">
        <f t="shared" si="16"/>
        <v>22.529889018668719</v>
      </c>
      <c r="J107" s="341">
        <f t="shared" si="17"/>
        <v>53.090267776077305</v>
      </c>
      <c r="K107" s="341">
        <f t="shared" si="18"/>
        <v>22.529889018668719</v>
      </c>
      <c r="L107" s="341">
        <f t="shared" si="13"/>
        <v>30.560378757408586</v>
      </c>
      <c r="N107" s="82"/>
      <c r="O107" s="82"/>
    </row>
    <row r="108" spans="1:15" x14ac:dyDescent="0.35">
      <c r="A108" s="338">
        <v>44866</v>
      </c>
      <c r="B108" s="339"/>
      <c r="C108" s="340"/>
      <c r="D108" s="424">
        <f>N9</f>
        <v>0.8957609796993361</v>
      </c>
      <c r="E108" s="341">
        <f>'Growth Projection'!F$18/12</f>
        <v>34.116666666666184</v>
      </c>
      <c r="F108" s="341">
        <f t="shared" si="11"/>
        <v>30.560378757408586</v>
      </c>
      <c r="G108" s="340" t="str">
        <f t="shared" si="14"/>
        <v/>
      </c>
      <c r="H108" s="341">
        <f t="shared" si="15"/>
        <v>37.810078397373012</v>
      </c>
      <c r="I108" s="341">
        <f t="shared" si="16"/>
        <v>22.529889018668719</v>
      </c>
      <c r="J108" s="341">
        <f t="shared" si="17"/>
        <v>53.090267776077305</v>
      </c>
      <c r="K108" s="341">
        <f t="shared" si="18"/>
        <v>22.529889018668719</v>
      </c>
      <c r="L108" s="341">
        <f t="shared" si="13"/>
        <v>30.560378757408586</v>
      </c>
      <c r="N108" s="82"/>
      <c r="O108" s="82"/>
    </row>
    <row r="109" spans="1:15" x14ac:dyDescent="0.35">
      <c r="A109" s="338">
        <v>44896</v>
      </c>
      <c r="B109" s="339"/>
      <c r="C109" s="340"/>
      <c r="D109" s="424">
        <f>N8</f>
        <v>1.7350486713019757</v>
      </c>
      <c r="E109" s="341">
        <f>'Growth Projection'!F$18/12</f>
        <v>34.116666666666184</v>
      </c>
      <c r="F109" s="341">
        <f t="shared" si="11"/>
        <v>59.194077169251564</v>
      </c>
      <c r="G109" s="340" t="str">
        <f t="shared" si="14"/>
        <v/>
      </c>
      <c r="H109" s="341">
        <f t="shared" si="15"/>
        <v>73.236418834860515</v>
      </c>
      <c r="I109" s="341">
        <f t="shared" si="16"/>
        <v>43.639380250234737</v>
      </c>
      <c r="J109" s="341">
        <f t="shared" si="17"/>
        <v>102.83345741948631</v>
      </c>
      <c r="K109" s="341">
        <f t="shared" si="18"/>
        <v>22.529889018668719</v>
      </c>
      <c r="L109" s="341">
        <f t="shared" si="13"/>
        <v>80.303568400817596</v>
      </c>
      <c r="N109" s="82"/>
      <c r="O109" s="82"/>
    </row>
    <row r="110" spans="1:15" x14ac:dyDescent="0.35">
      <c r="A110" s="344">
        <v>44927</v>
      </c>
      <c r="B110" s="345"/>
      <c r="C110" s="346"/>
      <c r="D110" s="425">
        <f>N3</f>
        <v>0.92154042168427108</v>
      </c>
      <c r="E110" s="347">
        <f>'Growth Projection'!G$18/12</f>
        <v>36.141666666666424</v>
      </c>
      <c r="F110" s="347">
        <f t="shared" si="11"/>
        <v>33.30600674037214</v>
      </c>
      <c r="G110" s="346" t="str">
        <f t="shared" si="14"/>
        <v/>
      </c>
      <c r="H110" s="347">
        <f t="shared" si="15"/>
        <v>41.207039217457954</v>
      </c>
      <c r="I110" s="347">
        <f t="shared" si="16"/>
        <v>24.554035847271884</v>
      </c>
      <c r="J110" s="347">
        <f t="shared" si="17"/>
        <v>57.860042587644024</v>
      </c>
      <c r="K110" s="347">
        <f t="shared" si="18"/>
        <v>43.639380250234744</v>
      </c>
      <c r="L110" s="347">
        <f t="shared" si="13"/>
        <v>14.22066233740928</v>
      </c>
      <c r="N110" s="82"/>
      <c r="O110" s="82"/>
    </row>
    <row r="111" spans="1:15" x14ac:dyDescent="0.35">
      <c r="A111" s="344">
        <v>44958</v>
      </c>
      <c r="B111" s="345"/>
      <c r="C111" s="346"/>
      <c r="D111" s="425">
        <f>N4</f>
        <v>1.2331593440466895</v>
      </c>
      <c r="E111" s="347">
        <f>'Growth Projection'!G$18/12</f>
        <v>36.141666666666424</v>
      </c>
      <c r="F111" s="347">
        <f t="shared" si="11"/>
        <v>44.568433959420467</v>
      </c>
      <c r="G111" s="346" t="str">
        <f t="shared" si="14"/>
        <v/>
      </c>
      <c r="H111" s="347">
        <f t="shared" si="15"/>
        <v>55.14120081529785</v>
      </c>
      <c r="I111" s="347">
        <f t="shared" si="16"/>
        <v>32.856983835587613</v>
      </c>
      <c r="J111" s="347">
        <f t="shared" si="17"/>
        <v>77.425417795008087</v>
      </c>
      <c r="K111" s="347">
        <f t="shared" si="18"/>
        <v>24.554035847271884</v>
      </c>
      <c r="L111" s="347">
        <f t="shared" si="13"/>
        <v>52.871381947736204</v>
      </c>
      <c r="N111" s="82"/>
      <c r="O111" s="82"/>
    </row>
    <row r="112" spans="1:15" x14ac:dyDescent="0.35">
      <c r="A112" s="344">
        <v>44986</v>
      </c>
      <c r="B112" s="345"/>
      <c r="C112" s="346"/>
      <c r="D112" s="425">
        <f>N9</f>
        <v>0.8957609796993361</v>
      </c>
      <c r="E112" s="347">
        <f>'Growth Projection'!G$18/12</f>
        <v>36.141666666666424</v>
      </c>
      <c r="F112" s="347">
        <f t="shared" si="11"/>
        <v>32.374294741299956</v>
      </c>
      <c r="G112" s="346" t="str">
        <f t="shared" si="14"/>
        <v/>
      </c>
      <c r="H112" s="347">
        <f t="shared" si="15"/>
        <v>40.054301419005363</v>
      </c>
      <c r="I112" s="347">
        <f t="shared" si="16"/>
        <v>23.867154048355385</v>
      </c>
      <c r="J112" s="347">
        <f t="shared" si="17"/>
        <v>56.241448789655337</v>
      </c>
      <c r="K112" s="347">
        <f t="shared" si="18"/>
        <v>32.85698383558762</v>
      </c>
      <c r="L112" s="347">
        <f t="shared" si="13"/>
        <v>23.384464954067717</v>
      </c>
      <c r="N112" s="82"/>
      <c r="O112" s="82"/>
    </row>
    <row r="113" spans="1:15" x14ac:dyDescent="0.35">
      <c r="A113" s="344">
        <v>45017</v>
      </c>
      <c r="B113" s="345"/>
      <c r="C113" s="346"/>
      <c r="D113" s="425">
        <f>N6</f>
        <v>1.2028025569775205</v>
      </c>
      <c r="E113" s="347">
        <f>'Growth Projection'!G$18/12</f>
        <v>36.141666666666424</v>
      </c>
      <c r="F113" s="347">
        <f t="shared" si="11"/>
        <v>43.471289080095595</v>
      </c>
      <c r="G113" s="346" t="str">
        <f t="shared" si="14"/>
        <v/>
      </c>
      <c r="H113" s="347">
        <f t="shared" si="15"/>
        <v>53.783785246929178</v>
      </c>
      <c r="I113" s="347">
        <f t="shared" si="16"/>
        <v>32.048140706881384</v>
      </c>
      <c r="J113" s="347">
        <f t="shared" si="17"/>
        <v>75.519429786976985</v>
      </c>
      <c r="K113" s="347">
        <f t="shared" si="18"/>
        <v>23.867154048355381</v>
      </c>
      <c r="L113" s="347">
        <f t="shared" si="13"/>
        <v>51.652275738621604</v>
      </c>
      <c r="N113" s="82"/>
      <c r="O113" s="82"/>
    </row>
    <row r="114" spans="1:15" x14ac:dyDescent="0.35">
      <c r="A114" s="344">
        <v>45047</v>
      </c>
      <c r="B114" s="345"/>
      <c r="C114" s="346"/>
      <c r="D114" s="425">
        <f>N5</f>
        <v>1.0535078872629693</v>
      </c>
      <c r="E114" s="347">
        <f>'Growth Projection'!G$18/12</f>
        <v>36.141666666666424</v>
      </c>
      <c r="F114" s="347">
        <f t="shared" si="11"/>
        <v>38.075530892162227</v>
      </c>
      <c r="G114" s="346" t="str">
        <f t="shared" ref="G114:G145" si="19">IF(OR(C114="",D114=""),"",C114-D114)</f>
        <v/>
      </c>
      <c r="H114" s="347">
        <f t="shared" si="15"/>
        <v>47.108015888227428</v>
      </c>
      <c r="I114" s="347">
        <f t="shared" si="16"/>
        <v>28.070250442146314</v>
      </c>
      <c r="J114" s="347">
        <f t="shared" si="17"/>
        <v>66.145781334308538</v>
      </c>
      <c r="K114" s="347">
        <f t="shared" si="18"/>
        <v>32.048140706881391</v>
      </c>
      <c r="L114" s="347">
        <f t="shared" si="13"/>
        <v>34.097640627427147</v>
      </c>
      <c r="N114" s="82"/>
      <c r="O114" s="82"/>
    </row>
    <row r="115" spans="1:15" x14ac:dyDescent="0.35">
      <c r="A115" s="344">
        <v>45078</v>
      </c>
      <c r="B115" s="345"/>
      <c r="C115" s="346"/>
      <c r="D115" s="425">
        <f>N7</f>
        <v>1.1344907639187414</v>
      </c>
      <c r="E115" s="347">
        <f>'Growth Projection'!G$18/12</f>
        <v>36.141666666666424</v>
      </c>
      <c r="F115" s="347">
        <f t="shared" si="11"/>
        <v>41.002387025962904</v>
      </c>
      <c r="G115" s="346" t="str">
        <f t="shared" si="19"/>
        <v/>
      </c>
      <c r="H115" s="347">
        <f t="shared" si="15"/>
        <v>50.72919678900432</v>
      </c>
      <c r="I115" s="347">
        <f t="shared" si="16"/>
        <v>30.228003276022868</v>
      </c>
      <c r="J115" s="347">
        <f t="shared" si="17"/>
        <v>71.230390301985778</v>
      </c>
      <c r="K115" s="347">
        <f t="shared" si="18"/>
        <v>28.07025044214631</v>
      </c>
      <c r="L115" s="347">
        <f t="shared" si="13"/>
        <v>43.160139859839468</v>
      </c>
      <c r="N115" s="82"/>
      <c r="O115" s="82"/>
    </row>
    <row r="116" spans="1:15" x14ac:dyDescent="0.35">
      <c r="A116" s="344">
        <v>45108</v>
      </c>
      <c r="B116" s="345"/>
      <c r="C116" s="346"/>
      <c r="D116" s="425">
        <f>N9</f>
        <v>0.8957609796993361</v>
      </c>
      <c r="E116" s="347">
        <f>'Growth Projection'!G$18/12</f>
        <v>36.141666666666424</v>
      </c>
      <c r="F116" s="347">
        <f t="shared" si="11"/>
        <v>32.374294741299956</v>
      </c>
      <c r="G116" s="346" t="str">
        <f t="shared" si="19"/>
        <v/>
      </c>
      <c r="H116" s="347">
        <f t="shared" si="15"/>
        <v>40.054301419005363</v>
      </c>
      <c r="I116" s="347">
        <f t="shared" si="16"/>
        <v>23.867154048355385</v>
      </c>
      <c r="J116" s="347">
        <f t="shared" si="17"/>
        <v>56.241448789655337</v>
      </c>
      <c r="K116" s="347">
        <f t="shared" si="18"/>
        <v>30.228003276022875</v>
      </c>
      <c r="L116" s="347">
        <f t="shared" si="13"/>
        <v>26.013445513632462</v>
      </c>
      <c r="N116" s="82"/>
      <c r="O116" s="82"/>
    </row>
    <row r="117" spans="1:15" x14ac:dyDescent="0.35">
      <c r="A117" s="344">
        <v>45139</v>
      </c>
      <c r="B117" s="345"/>
      <c r="C117" s="346"/>
      <c r="D117" s="425">
        <f>N9</f>
        <v>0.8957609796993361</v>
      </c>
      <c r="E117" s="347">
        <f>'Growth Projection'!G$18/12</f>
        <v>36.141666666666424</v>
      </c>
      <c r="F117" s="347">
        <f t="shared" si="11"/>
        <v>32.374294741299956</v>
      </c>
      <c r="G117" s="346" t="str">
        <f t="shared" si="19"/>
        <v/>
      </c>
      <c r="H117" s="347">
        <f t="shared" si="15"/>
        <v>40.054301419005363</v>
      </c>
      <c r="I117" s="347">
        <f t="shared" si="16"/>
        <v>23.867154048355385</v>
      </c>
      <c r="J117" s="347">
        <f t="shared" si="17"/>
        <v>56.241448789655337</v>
      </c>
      <c r="K117" s="347">
        <f t="shared" si="18"/>
        <v>23.867154048355381</v>
      </c>
      <c r="L117" s="347">
        <f t="shared" si="13"/>
        <v>32.374294741299956</v>
      </c>
      <c r="N117" s="82"/>
      <c r="O117" s="82"/>
    </row>
    <row r="118" spans="1:15" x14ac:dyDescent="0.35">
      <c r="A118" s="344">
        <v>45170</v>
      </c>
      <c r="B118" s="345"/>
      <c r="C118" s="346"/>
      <c r="D118" s="425">
        <f>N9</f>
        <v>0.8957609796993361</v>
      </c>
      <c r="E118" s="347">
        <f>'Growth Projection'!G$18/12</f>
        <v>36.141666666666424</v>
      </c>
      <c r="F118" s="347">
        <f t="shared" si="11"/>
        <v>32.374294741299956</v>
      </c>
      <c r="G118" s="346" t="str">
        <f t="shared" si="19"/>
        <v/>
      </c>
      <c r="H118" s="347">
        <f t="shared" si="15"/>
        <v>40.054301419005363</v>
      </c>
      <c r="I118" s="347">
        <f t="shared" si="16"/>
        <v>23.867154048355385</v>
      </c>
      <c r="J118" s="347">
        <f t="shared" si="17"/>
        <v>56.241448789655337</v>
      </c>
      <c r="K118" s="347">
        <f t="shared" si="18"/>
        <v>23.867154048355381</v>
      </c>
      <c r="L118" s="347">
        <f t="shared" si="13"/>
        <v>32.374294741299956</v>
      </c>
      <c r="N118" s="82"/>
      <c r="O118" s="82"/>
    </row>
    <row r="119" spans="1:15" x14ac:dyDescent="0.35">
      <c r="A119" s="344">
        <v>45200</v>
      </c>
      <c r="B119" s="345"/>
      <c r="C119" s="346"/>
      <c r="D119" s="425">
        <f>N9</f>
        <v>0.8957609796993361</v>
      </c>
      <c r="E119" s="347">
        <f>'Growth Projection'!G$18/12</f>
        <v>36.141666666666424</v>
      </c>
      <c r="F119" s="347">
        <f t="shared" si="11"/>
        <v>32.374294741299956</v>
      </c>
      <c r="G119" s="346" t="str">
        <f t="shared" si="19"/>
        <v/>
      </c>
      <c r="H119" s="347">
        <f t="shared" si="15"/>
        <v>40.054301419005363</v>
      </c>
      <c r="I119" s="347">
        <f t="shared" si="16"/>
        <v>23.867154048355385</v>
      </c>
      <c r="J119" s="347">
        <f t="shared" si="17"/>
        <v>56.241448789655337</v>
      </c>
      <c r="K119" s="347">
        <f t="shared" si="18"/>
        <v>23.867154048355381</v>
      </c>
      <c r="L119" s="347">
        <f t="shared" si="13"/>
        <v>32.374294741299956</v>
      </c>
      <c r="N119" s="82"/>
      <c r="O119" s="82"/>
    </row>
    <row r="120" spans="1:15" x14ac:dyDescent="0.35">
      <c r="A120" s="344">
        <v>45231</v>
      </c>
      <c r="B120" s="345"/>
      <c r="C120" s="346"/>
      <c r="D120" s="425">
        <f>N9</f>
        <v>0.8957609796993361</v>
      </c>
      <c r="E120" s="347">
        <f>'Growth Projection'!G$18/12</f>
        <v>36.141666666666424</v>
      </c>
      <c r="F120" s="347">
        <f t="shared" si="11"/>
        <v>32.374294741299956</v>
      </c>
      <c r="G120" s="346" t="str">
        <f t="shared" si="19"/>
        <v/>
      </c>
      <c r="H120" s="347">
        <f t="shared" si="15"/>
        <v>40.054301419005363</v>
      </c>
      <c r="I120" s="347">
        <f t="shared" si="16"/>
        <v>23.867154048355385</v>
      </c>
      <c r="J120" s="347">
        <f t="shared" si="17"/>
        <v>56.241448789655337</v>
      </c>
      <c r="K120" s="347">
        <f t="shared" si="18"/>
        <v>23.867154048355381</v>
      </c>
      <c r="L120" s="347">
        <f t="shared" si="13"/>
        <v>32.374294741299956</v>
      </c>
      <c r="N120" s="82"/>
      <c r="O120" s="82"/>
    </row>
    <row r="121" spans="1:15" x14ac:dyDescent="0.35">
      <c r="A121" s="344">
        <v>45261</v>
      </c>
      <c r="B121" s="345"/>
      <c r="C121" s="346"/>
      <c r="D121" s="425">
        <f>N8</f>
        <v>1.7350486713019757</v>
      </c>
      <c r="E121" s="347">
        <f>'Growth Projection'!G$18/12</f>
        <v>36.141666666666424</v>
      </c>
      <c r="F121" s="347">
        <f t="shared" si="11"/>
        <v>62.707550728638488</v>
      </c>
      <c r="G121" s="346" t="str">
        <f t="shared" si="19"/>
        <v/>
      </c>
      <c r="H121" s="347">
        <f t="shared" si="15"/>
        <v>77.583377744697714</v>
      </c>
      <c r="I121" s="347">
        <f t="shared" si="16"/>
        <v>46.229602380378466</v>
      </c>
      <c r="J121" s="347">
        <f t="shared" si="17"/>
        <v>108.93715310901695</v>
      </c>
      <c r="K121" s="347">
        <f t="shared" si="18"/>
        <v>23.867154048355381</v>
      </c>
      <c r="L121" s="347">
        <f t="shared" si="13"/>
        <v>85.069999060661559</v>
      </c>
      <c r="N121" s="82"/>
      <c r="O121" s="82"/>
    </row>
    <row r="122" spans="1:15" x14ac:dyDescent="0.35">
      <c r="A122" s="338">
        <v>45292</v>
      </c>
      <c r="B122" s="339"/>
      <c r="C122" s="340"/>
      <c r="D122" s="424">
        <f>N9</f>
        <v>0.8957609796993361</v>
      </c>
      <c r="E122" s="341">
        <f>'Growth Projection'!H$18/12</f>
        <v>38.166666666666664</v>
      </c>
      <c r="F122" s="341">
        <f t="shared" si="11"/>
        <v>34.188210725191325</v>
      </c>
      <c r="G122" s="340" t="str">
        <f t="shared" si="19"/>
        <v/>
      </c>
      <c r="H122" s="341">
        <f t="shared" si="15"/>
        <v>42.298524440637721</v>
      </c>
      <c r="I122" s="341">
        <f t="shared" si="16"/>
        <v>25.204419078042058</v>
      </c>
      <c r="J122" s="341">
        <f t="shared" si="17"/>
        <v>59.392629803233383</v>
      </c>
      <c r="K122" s="341">
        <f t="shared" si="18"/>
        <v>46.229602380378459</v>
      </c>
      <c r="L122" s="341">
        <f t="shared" si="13"/>
        <v>13.163027422854924</v>
      </c>
      <c r="N122" s="82"/>
      <c r="O122" s="82"/>
    </row>
    <row r="123" spans="1:15" x14ac:dyDescent="0.35">
      <c r="A123" s="338">
        <v>45323</v>
      </c>
      <c r="B123" s="339"/>
      <c r="C123" s="340"/>
      <c r="D123" s="424">
        <f>N3+N4-100%</f>
        <v>1.1546997657309603</v>
      </c>
      <c r="E123" s="341">
        <f>'Growth Projection'!H$18/12</f>
        <v>38.166666666666664</v>
      </c>
      <c r="F123" s="341">
        <f t="shared" si="11"/>
        <v>44.071041058731652</v>
      </c>
      <c r="G123" s="340" t="str">
        <f t="shared" si="19"/>
        <v/>
      </c>
      <c r="H123" s="341">
        <f t="shared" si="15"/>
        <v>54.525813659313023</v>
      </c>
      <c r="I123" s="341">
        <f t="shared" si="16"/>
        <v>32.490293129947197</v>
      </c>
      <c r="J123" s="341">
        <f t="shared" si="17"/>
        <v>76.561334188678842</v>
      </c>
      <c r="K123" s="341">
        <f t="shared" si="18"/>
        <v>25.204419078042058</v>
      </c>
      <c r="L123" s="341">
        <f t="shared" si="13"/>
        <v>51.356915110636784</v>
      </c>
      <c r="N123" s="82"/>
      <c r="O123" s="82"/>
    </row>
    <row r="124" spans="1:15" x14ac:dyDescent="0.35">
      <c r="A124" s="338">
        <v>45352</v>
      </c>
      <c r="B124" s="339"/>
      <c r="C124" s="340"/>
      <c r="D124" s="424">
        <f>N9</f>
        <v>0.8957609796993361</v>
      </c>
      <c r="E124" s="341">
        <f>'Growth Projection'!H$18/12</f>
        <v>38.166666666666664</v>
      </c>
      <c r="F124" s="341">
        <f t="shared" si="11"/>
        <v>34.188210725191325</v>
      </c>
      <c r="G124" s="340" t="str">
        <f t="shared" si="19"/>
        <v/>
      </c>
      <c r="H124" s="341">
        <f t="shared" si="15"/>
        <v>42.298524440637721</v>
      </c>
      <c r="I124" s="341">
        <f t="shared" si="16"/>
        <v>25.204419078042058</v>
      </c>
      <c r="J124" s="341">
        <f t="shared" si="17"/>
        <v>59.392629803233383</v>
      </c>
      <c r="K124" s="341">
        <f t="shared" si="18"/>
        <v>32.49029312994719</v>
      </c>
      <c r="L124" s="341">
        <f t="shared" si="13"/>
        <v>26.902336673286193</v>
      </c>
      <c r="N124" s="82"/>
      <c r="O124" s="82"/>
    </row>
    <row r="125" spans="1:15" x14ac:dyDescent="0.35">
      <c r="A125" s="338">
        <v>45383</v>
      </c>
      <c r="B125" s="339"/>
      <c r="C125" s="340"/>
      <c r="D125" s="424">
        <f>N9</f>
        <v>0.8957609796993361</v>
      </c>
      <c r="E125" s="341">
        <f>'Growth Projection'!H$18/12</f>
        <v>38.166666666666664</v>
      </c>
      <c r="F125" s="341">
        <f t="shared" si="11"/>
        <v>34.188210725191325</v>
      </c>
      <c r="G125" s="340" t="str">
        <f t="shared" si="19"/>
        <v/>
      </c>
      <c r="H125" s="341">
        <f t="shared" si="15"/>
        <v>42.298524440637721</v>
      </c>
      <c r="I125" s="341">
        <f t="shared" si="16"/>
        <v>25.204419078042058</v>
      </c>
      <c r="J125" s="341">
        <f t="shared" si="17"/>
        <v>59.392629803233383</v>
      </c>
      <c r="K125" s="341">
        <f t="shared" si="18"/>
        <v>25.204419078042058</v>
      </c>
      <c r="L125" s="341">
        <f t="shared" si="13"/>
        <v>34.188210725191325</v>
      </c>
      <c r="N125" s="82"/>
      <c r="O125" s="82"/>
    </row>
    <row r="126" spans="1:15" x14ac:dyDescent="0.35">
      <c r="A126" s="338">
        <v>45413</v>
      </c>
      <c r="B126" s="339"/>
      <c r="C126" s="340"/>
      <c r="D126" s="424">
        <f>N5</f>
        <v>1.0535078872629693</v>
      </c>
      <c r="E126" s="341">
        <f>'Growth Projection'!H$18/12</f>
        <v>38.166666666666664</v>
      </c>
      <c r="F126" s="341">
        <f t="shared" si="11"/>
        <v>40.208884363869991</v>
      </c>
      <c r="G126" s="340" t="str">
        <f t="shared" si="19"/>
        <v/>
      </c>
      <c r="H126" s="341">
        <f t="shared" ref="H126:H157" si="20">IFERROR(F126+2*N$12*F126,"")</f>
        <v>49.747455099857746</v>
      </c>
      <c r="I126" s="341">
        <f t="shared" ref="I126:I157" si="21">IFERROR(IF(OR(ISBLANK(H126),ISBLANK(F126)),"",(H126*N$14)-(N$13*F126)),"")</f>
        <v>29.64301291792275</v>
      </c>
      <c r="J126" s="341">
        <f t="shared" ref="J126:J157" si="22">IFERROR(F126+I126,"")</f>
        <v>69.851897281792745</v>
      </c>
      <c r="K126" s="341">
        <f t="shared" si="18"/>
        <v>25.204419078042058</v>
      </c>
      <c r="L126" s="341">
        <f t="shared" si="13"/>
        <v>44.647478203750687</v>
      </c>
      <c r="N126" s="82"/>
      <c r="O126" s="82"/>
    </row>
    <row r="127" spans="1:15" x14ac:dyDescent="0.35">
      <c r="A127" s="338">
        <v>45444</v>
      </c>
      <c r="B127" s="339"/>
      <c r="C127" s="340"/>
      <c r="D127" s="424">
        <f>N7</f>
        <v>1.1344907639187414</v>
      </c>
      <c r="E127" s="341">
        <f>'Growth Projection'!H$18/12</f>
        <v>38.166666666666664</v>
      </c>
      <c r="F127" s="341">
        <f t="shared" ref="F127:F181" si="23">IFERROR(E127*D127,"")</f>
        <v>43.299730822898624</v>
      </c>
      <c r="G127" s="340" t="str">
        <f t="shared" si="19"/>
        <v/>
      </c>
      <c r="H127" s="341">
        <f t="shared" si="20"/>
        <v>53.571529004759348</v>
      </c>
      <c r="I127" s="341">
        <f t="shared" si="21"/>
        <v>31.921663593310036</v>
      </c>
      <c r="J127" s="341">
        <f t="shared" si="22"/>
        <v>75.221394416208653</v>
      </c>
      <c r="K127" s="341">
        <f t="shared" ref="K127:K158" si="24">IFERROR(K126+L126-F126,"")</f>
        <v>29.643012917922754</v>
      </c>
      <c r="L127" s="341">
        <f t="shared" ref="L127:L190" si="25">IF(OR(J127="",K127=""),"",IF(J127&gt;K127,J127-K127,0))</f>
        <v>45.5783814982859</v>
      </c>
      <c r="N127" s="82"/>
      <c r="O127" s="82"/>
    </row>
    <row r="128" spans="1:15" x14ac:dyDescent="0.35">
      <c r="A128" s="338">
        <v>45474</v>
      </c>
      <c r="B128" s="339"/>
      <c r="C128" s="340"/>
      <c r="D128" s="424">
        <f>N9</f>
        <v>0.8957609796993361</v>
      </c>
      <c r="E128" s="341">
        <f>'Growth Projection'!H$18/12</f>
        <v>38.166666666666664</v>
      </c>
      <c r="F128" s="341">
        <f t="shared" si="23"/>
        <v>34.188210725191325</v>
      </c>
      <c r="G128" s="340" t="str">
        <f t="shared" si="19"/>
        <v/>
      </c>
      <c r="H128" s="341">
        <f t="shared" si="20"/>
        <v>42.298524440637721</v>
      </c>
      <c r="I128" s="341">
        <f t="shared" si="21"/>
        <v>25.204419078042058</v>
      </c>
      <c r="J128" s="341">
        <f t="shared" si="22"/>
        <v>59.392629803233383</v>
      </c>
      <c r="K128" s="341">
        <f t="shared" si="24"/>
        <v>31.921663593310029</v>
      </c>
      <c r="L128" s="341">
        <f t="shared" si="25"/>
        <v>27.470966209923354</v>
      </c>
      <c r="N128" s="82"/>
      <c r="O128" s="82"/>
    </row>
    <row r="129" spans="1:15" x14ac:dyDescent="0.35">
      <c r="A129" s="338">
        <v>45505</v>
      </c>
      <c r="B129" s="339"/>
      <c r="C129" s="340"/>
      <c r="D129" s="424">
        <f>N9</f>
        <v>0.8957609796993361</v>
      </c>
      <c r="E129" s="341">
        <f>'Growth Projection'!H$18/12</f>
        <v>38.166666666666664</v>
      </c>
      <c r="F129" s="341">
        <f t="shared" si="23"/>
        <v>34.188210725191325</v>
      </c>
      <c r="G129" s="340" t="str">
        <f t="shared" si="19"/>
        <v/>
      </c>
      <c r="H129" s="341">
        <f t="shared" si="20"/>
        <v>42.298524440637721</v>
      </c>
      <c r="I129" s="341">
        <f t="shared" si="21"/>
        <v>25.204419078042058</v>
      </c>
      <c r="J129" s="341">
        <f t="shared" si="22"/>
        <v>59.392629803233383</v>
      </c>
      <c r="K129" s="341">
        <f t="shared" si="24"/>
        <v>25.204419078042058</v>
      </c>
      <c r="L129" s="341">
        <f t="shared" si="25"/>
        <v>34.188210725191325</v>
      </c>
      <c r="N129" s="82"/>
      <c r="O129" s="82"/>
    </row>
    <row r="130" spans="1:15" x14ac:dyDescent="0.35">
      <c r="A130" s="338">
        <v>45536</v>
      </c>
      <c r="B130" s="339"/>
      <c r="C130" s="340"/>
      <c r="D130" s="424">
        <f>N9</f>
        <v>0.8957609796993361</v>
      </c>
      <c r="E130" s="341">
        <f>'Growth Projection'!H$18/12</f>
        <v>38.166666666666664</v>
      </c>
      <c r="F130" s="341">
        <f t="shared" si="23"/>
        <v>34.188210725191325</v>
      </c>
      <c r="G130" s="340" t="str">
        <f t="shared" si="19"/>
        <v/>
      </c>
      <c r="H130" s="341">
        <f t="shared" si="20"/>
        <v>42.298524440637721</v>
      </c>
      <c r="I130" s="341">
        <f t="shared" si="21"/>
        <v>25.204419078042058</v>
      </c>
      <c r="J130" s="341">
        <f t="shared" si="22"/>
        <v>59.392629803233383</v>
      </c>
      <c r="K130" s="341">
        <f t="shared" si="24"/>
        <v>25.204419078042058</v>
      </c>
      <c r="L130" s="341">
        <f t="shared" si="25"/>
        <v>34.188210725191325</v>
      </c>
      <c r="N130" s="82"/>
      <c r="O130" s="82"/>
    </row>
    <row r="131" spans="1:15" x14ac:dyDescent="0.35">
      <c r="A131" s="338">
        <v>45566</v>
      </c>
      <c r="B131" s="339"/>
      <c r="C131" s="340"/>
      <c r="D131" s="424">
        <f>N9</f>
        <v>0.8957609796993361</v>
      </c>
      <c r="E131" s="341">
        <f>'Growth Projection'!H$18/12</f>
        <v>38.166666666666664</v>
      </c>
      <c r="F131" s="341">
        <f t="shared" si="23"/>
        <v>34.188210725191325</v>
      </c>
      <c r="G131" s="340" t="str">
        <f t="shared" si="19"/>
        <v/>
      </c>
      <c r="H131" s="341">
        <f t="shared" si="20"/>
        <v>42.298524440637721</v>
      </c>
      <c r="I131" s="341">
        <f t="shared" si="21"/>
        <v>25.204419078042058</v>
      </c>
      <c r="J131" s="341">
        <f t="shared" si="22"/>
        <v>59.392629803233383</v>
      </c>
      <c r="K131" s="341">
        <f t="shared" si="24"/>
        <v>25.204419078042058</v>
      </c>
      <c r="L131" s="341">
        <f t="shared" si="25"/>
        <v>34.188210725191325</v>
      </c>
      <c r="N131" s="82"/>
      <c r="O131" s="82"/>
    </row>
    <row r="132" spans="1:15" x14ac:dyDescent="0.35">
      <c r="A132" s="338">
        <v>45597</v>
      </c>
      <c r="B132" s="339"/>
      <c r="C132" s="340"/>
      <c r="D132" s="424">
        <f>N9</f>
        <v>0.8957609796993361</v>
      </c>
      <c r="E132" s="341">
        <f>'Growth Projection'!H$18/12</f>
        <v>38.166666666666664</v>
      </c>
      <c r="F132" s="341">
        <f t="shared" si="23"/>
        <v>34.188210725191325</v>
      </c>
      <c r="G132" s="340" t="str">
        <f t="shared" si="19"/>
        <v/>
      </c>
      <c r="H132" s="341">
        <f t="shared" si="20"/>
        <v>42.298524440637721</v>
      </c>
      <c r="I132" s="341">
        <f t="shared" si="21"/>
        <v>25.204419078042058</v>
      </c>
      <c r="J132" s="341">
        <f t="shared" si="22"/>
        <v>59.392629803233383</v>
      </c>
      <c r="K132" s="341">
        <f t="shared" si="24"/>
        <v>25.204419078042058</v>
      </c>
      <c r="L132" s="341">
        <f t="shared" si="25"/>
        <v>34.188210725191325</v>
      </c>
      <c r="N132" s="82"/>
      <c r="O132" s="82"/>
    </row>
    <row r="133" spans="1:15" x14ac:dyDescent="0.35">
      <c r="A133" s="338">
        <v>45627</v>
      </c>
      <c r="B133" s="339"/>
      <c r="C133" s="340"/>
      <c r="D133" s="424">
        <f>N8</f>
        <v>1.7350486713019757</v>
      </c>
      <c r="E133" s="341">
        <f>'Growth Projection'!H$18/12</f>
        <v>38.166666666666664</v>
      </c>
      <c r="F133" s="341">
        <f t="shared" si="23"/>
        <v>66.221024288025404</v>
      </c>
      <c r="G133" s="340" t="str">
        <f t="shared" si="19"/>
        <v/>
      </c>
      <c r="H133" s="341">
        <f t="shared" si="20"/>
        <v>81.930336654534912</v>
      </c>
      <c r="I133" s="341">
        <f t="shared" si="21"/>
        <v>48.81982451052221</v>
      </c>
      <c r="J133" s="341">
        <f t="shared" si="22"/>
        <v>115.04084879854761</v>
      </c>
      <c r="K133" s="341">
        <f t="shared" si="24"/>
        <v>25.204419078042058</v>
      </c>
      <c r="L133" s="341">
        <f t="shared" si="25"/>
        <v>89.836429720505549</v>
      </c>
      <c r="N133" s="82"/>
      <c r="O133" s="82"/>
    </row>
    <row r="134" spans="1:15" x14ac:dyDescent="0.35">
      <c r="A134" s="344">
        <v>45658</v>
      </c>
      <c r="B134" s="345"/>
      <c r="C134" s="346"/>
      <c r="D134" s="425">
        <f>N3</f>
        <v>0.92154042168427108</v>
      </c>
      <c r="E134" s="347">
        <f>'Growth Projection'!I$18/12</f>
        <v>40.191666666666301</v>
      </c>
      <c r="F134" s="347">
        <f t="shared" si="23"/>
        <v>37.038245448193322</v>
      </c>
      <c r="G134" s="346" t="str">
        <f t="shared" si="19"/>
        <v/>
      </c>
      <c r="H134" s="347">
        <f t="shared" si="20"/>
        <v>45.824659936776392</v>
      </c>
      <c r="I134" s="347">
        <f t="shared" si="21"/>
        <v>27.305537212679731</v>
      </c>
      <c r="J134" s="347">
        <f t="shared" si="22"/>
        <v>64.343782660873046</v>
      </c>
      <c r="K134" s="347">
        <f t="shared" si="24"/>
        <v>48.81982451052221</v>
      </c>
      <c r="L134" s="347">
        <f t="shared" si="25"/>
        <v>15.523958150350836</v>
      </c>
      <c r="N134" s="82"/>
      <c r="O134" s="82"/>
    </row>
    <row r="135" spans="1:15" x14ac:dyDescent="0.35">
      <c r="A135" s="344">
        <v>45689</v>
      </c>
      <c r="B135" s="345"/>
      <c r="C135" s="346"/>
      <c r="D135" s="425">
        <f>N4</f>
        <v>1.2331593440466895</v>
      </c>
      <c r="E135" s="347">
        <f>'Growth Projection'!I$18/12</f>
        <v>40.191666666666301</v>
      </c>
      <c r="F135" s="347">
        <f t="shared" si="23"/>
        <v>49.562729302809409</v>
      </c>
      <c r="G135" s="346" t="str">
        <f t="shared" si="19"/>
        <v/>
      </c>
      <c r="H135" s="347">
        <f t="shared" si="20"/>
        <v>61.32027012501289</v>
      </c>
      <c r="I135" s="347">
        <f t="shared" si="21"/>
        <v>36.538905473608182</v>
      </c>
      <c r="J135" s="347">
        <f t="shared" si="22"/>
        <v>86.101634776417598</v>
      </c>
      <c r="K135" s="347">
        <f t="shared" si="24"/>
        <v>27.305537212679724</v>
      </c>
      <c r="L135" s="347">
        <f t="shared" si="25"/>
        <v>58.796097563737874</v>
      </c>
      <c r="N135" s="82"/>
      <c r="O135" s="82"/>
    </row>
    <row r="136" spans="1:15" x14ac:dyDescent="0.35">
      <c r="A136" s="344">
        <v>45717</v>
      </c>
      <c r="B136" s="345"/>
      <c r="C136" s="346"/>
      <c r="D136" s="425">
        <f>N6</f>
        <v>1.2028025569775205</v>
      </c>
      <c r="E136" s="347">
        <f>'Growth Projection'!I$18/12</f>
        <v>40.191666666666301</v>
      </c>
      <c r="F136" s="347">
        <f t="shared" si="23"/>
        <v>48.342639435854402</v>
      </c>
      <c r="G136" s="346" t="str">
        <f t="shared" si="19"/>
        <v/>
      </c>
      <c r="H136" s="347">
        <f t="shared" si="20"/>
        <v>59.810743888849153</v>
      </c>
      <c r="I136" s="347">
        <f t="shared" si="21"/>
        <v>35.639424170921956</v>
      </c>
      <c r="J136" s="347">
        <f t="shared" si="22"/>
        <v>83.982063606776364</v>
      </c>
      <c r="K136" s="347">
        <f t="shared" si="24"/>
        <v>36.538905473608189</v>
      </c>
      <c r="L136" s="347">
        <f t="shared" si="25"/>
        <v>47.443158133168176</v>
      </c>
      <c r="N136" s="82"/>
      <c r="O136" s="82"/>
    </row>
    <row r="137" spans="1:15" x14ac:dyDescent="0.35">
      <c r="A137" s="344">
        <v>45748</v>
      </c>
      <c r="B137" s="345"/>
      <c r="C137" s="346"/>
      <c r="D137" s="425">
        <f>N9</f>
        <v>0.8957609796993361</v>
      </c>
      <c r="E137" s="347">
        <f>'Growth Projection'!I$18/12</f>
        <v>40.191666666666301</v>
      </c>
      <c r="F137" s="347">
        <f t="shared" si="23"/>
        <v>36.002126709082155</v>
      </c>
      <c r="G137" s="346" t="str">
        <f t="shared" si="19"/>
        <v/>
      </c>
      <c r="H137" s="347">
        <f t="shared" si="20"/>
        <v>44.542747462269404</v>
      </c>
      <c r="I137" s="347">
        <f t="shared" si="21"/>
        <v>26.541684107728326</v>
      </c>
      <c r="J137" s="347">
        <f t="shared" si="22"/>
        <v>62.543810816810478</v>
      </c>
      <c r="K137" s="347">
        <f t="shared" si="24"/>
        <v>35.639424170921963</v>
      </c>
      <c r="L137" s="347">
        <f t="shared" si="25"/>
        <v>26.904386645888515</v>
      </c>
      <c r="N137" s="82"/>
      <c r="O137" s="82"/>
    </row>
    <row r="138" spans="1:15" x14ac:dyDescent="0.35">
      <c r="A138" s="344">
        <v>45778</v>
      </c>
      <c r="B138" s="345"/>
      <c r="C138" s="346"/>
      <c r="D138" s="425">
        <f>N5</f>
        <v>1.0535078872629693</v>
      </c>
      <c r="E138" s="347">
        <f>'Growth Projection'!I$18/12</f>
        <v>40.191666666666301</v>
      </c>
      <c r="F138" s="347">
        <f t="shared" si="23"/>
        <v>42.342237835577123</v>
      </c>
      <c r="G138" s="346" t="str">
        <f t="shared" si="19"/>
        <v/>
      </c>
      <c r="H138" s="347">
        <f t="shared" si="20"/>
        <v>52.386894311487282</v>
      </c>
      <c r="I138" s="347">
        <f t="shared" si="21"/>
        <v>31.215775393698721</v>
      </c>
      <c r="J138" s="347">
        <f t="shared" si="22"/>
        <v>73.558013229275844</v>
      </c>
      <c r="K138" s="347">
        <f t="shared" si="24"/>
        <v>26.541684107728322</v>
      </c>
      <c r="L138" s="347">
        <f t="shared" si="25"/>
        <v>47.016329121547521</v>
      </c>
      <c r="N138" s="82"/>
      <c r="O138" s="82"/>
    </row>
    <row r="139" spans="1:15" x14ac:dyDescent="0.35">
      <c r="A139" s="344">
        <v>45809</v>
      </c>
      <c r="B139" s="345"/>
      <c r="C139" s="346"/>
      <c r="D139" s="425">
        <f>N7</f>
        <v>1.1344907639187414</v>
      </c>
      <c r="E139" s="347">
        <f>'Growth Projection'!I$18/12</f>
        <v>40.191666666666301</v>
      </c>
      <c r="F139" s="347">
        <f t="shared" si="23"/>
        <v>45.597074619833663</v>
      </c>
      <c r="G139" s="346" t="str">
        <f t="shared" si="19"/>
        <v/>
      </c>
      <c r="H139" s="347">
        <f t="shared" si="20"/>
        <v>56.413861220513539</v>
      </c>
      <c r="I139" s="347">
        <f t="shared" si="21"/>
        <v>33.615323910596707</v>
      </c>
      <c r="J139" s="347">
        <f t="shared" si="22"/>
        <v>79.212398530430363</v>
      </c>
      <c r="K139" s="347">
        <f t="shared" si="24"/>
        <v>31.215775393698721</v>
      </c>
      <c r="L139" s="347">
        <f t="shared" si="25"/>
        <v>47.996623136731642</v>
      </c>
      <c r="N139" s="82"/>
      <c r="O139" s="82"/>
    </row>
    <row r="140" spans="1:15" x14ac:dyDescent="0.35">
      <c r="A140" s="344">
        <v>45839</v>
      </c>
      <c r="B140" s="345"/>
      <c r="C140" s="346"/>
      <c r="D140" s="425">
        <f>N9</f>
        <v>0.8957609796993361</v>
      </c>
      <c r="E140" s="347">
        <f>'Growth Projection'!I$18/12</f>
        <v>40.191666666666301</v>
      </c>
      <c r="F140" s="347">
        <f t="shared" si="23"/>
        <v>36.002126709082155</v>
      </c>
      <c r="G140" s="346" t="str">
        <f t="shared" si="19"/>
        <v/>
      </c>
      <c r="H140" s="347">
        <f t="shared" si="20"/>
        <v>44.542747462269404</v>
      </c>
      <c r="I140" s="347">
        <f t="shared" si="21"/>
        <v>26.541684107728326</v>
      </c>
      <c r="J140" s="347">
        <f t="shared" si="22"/>
        <v>62.543810816810478</v>
      </c>
      <c r="K140" s="347">
        <f t="shared" si="24"/>
        <v>33.6153239105967</v>
      </c>
      <c r="L140" s="347">
        <f t="shared" si="25"/>
        <v>28.928486906213777</v>
      </c>
      <c r="N140" s="82"/>
      <c r="O140" s="82"/>
    </row>
    <row r="141" spans="1:15" x14ac:dyDescent="0.35">
      <c r="A141" s="344">
        <v>45870</v>
      </c>
      <c r="B141" s="345"/>
      <c r="C141" s="346"/>
      <c r="D141" s="425">
        <f>N9</f>
        <v>0.8957609796993361</v>
      </c>
      <c r="E141" s="347">
        <f>'Growth Projection'!I$18/12</f>
        <v>40.191666666666301</v>
      </c>
      <c r="F141" s="347">
        <f t="shared" si="23"/>
        <v>36.002126709082155</v>
      </c>
      <c r="G141" s="346" t="str">
        <f t="shared" si="19"/>
        <v/>
      </c>
      <c r="H141" s="347">
        <f t="shared" si="20"/>
        <v>44.542747462269404</v>
      </c>
      <c r="I141" s="347">
        <f t="shared" si="21"/>
        <v>26.541684107728326</v>
      </c>
      <c r="J141" s="347">
        <f t="shared" si="22"/>
        <v>62.543810816810478</v>
      </c>
      <c r="K141" s="347">
        <f t="shared" si="24"/>
        <v>26.541684107728322</v>
      </c>
      <c r="L141" s="347">
        <f t="shared" si="25"/>
        <v>36.002126709082155</v>
      </c>
      <c r="N141" s="82"/>
      <c r="O141" s="82"/>
    </row>
    <row r="142" spans="1:15" x14ac:dyDescent="0.35">
      <c r="A142" s="344">
        <v>45901</v>
      </c>
      <c r="B142" s="345"/>
      <c r="C142" s="346"/>
      <c r="D142" s="425">
        <f>N9</f>
        <v>0.8957609796993361</v>
      </c>
      <c r="E142" s="347">
        <f>'Growth Projection'!I$18/12</f>
        <v>40.191666666666301</v>
      </c>
      <c r="F142" s="347">
        <f t="shared" si="23"/>
        <v>36.002126709082155</v>
      </c>
      <c r="G142" s="346" t="str">
        <f t="shared" si="19"/>
        <v/>
      </c>
      <c r="H142" s="347">
        <f t="shared" si="20"/>
        <v>44.542747462269404</v>
      </c>
      <c r="I142" s="347">
        <f t="shared" si="21"/>
        <v>26.541684107728326</v>
      </c>
      <c r="J142" s="347">
        <f t="shared" si="22"/>
        <v>62.543810816810478</v>
      </c>
      <c r="K142" s="347">
        <f t="shared" si="24"/>
        <v>26.541684107728322</v>
      </c>
      <c r="L142" s="347">
        <f t="shared" si="25"/>
        <v>36.002126709082155</v>
      </c>
      <c r="N142" s="82"/>
      <c r="O142" s="82"/>
    </row>
    <row r="143" spans="1:15" x14ac:dyDescent="0.35">
      <c r="A143" s="344">
        <v>45931</v>
      </c>
      <c r="B143" s="345"/>
      <c r="C143" s="346"/>
      <c r="D143" s="425">
        <f>N9</f>
        <v>0.8957609796993361</v>
      </c>
      <c r="E143" s="347">
        <f>'Growth Projection'!I$18/12</f>
        <v>40.191666666666301</v>
      </c>
      <c r="F143" s="347">
        <f t="shared" si="23"/>
        <v>36.002126709082155</v>
      </c>
      <c r="G143" s="346" t="str">
        <f t="shared" si="19"/>
        <v/>
      </c>
      <c r="H143" s="347">
        <f t="shared" si="20"/>
        <v>44.542747462269404</v>
      </c>
      <c r="I143" s="347">
        <f t="shared" si="21"/>
        <v>26.541684107728326</v>
      </c>
      <c r="J143" s="347">
        <f t="shared" si="22"/>
        <v>62.543810816810478</v>
      </c>
      <c r="K143" s="347">
        <f t="shared" si="24"/>
        <v>26.541684107728322</v>
      </c>
      <c r="L143" s="347">
        <f t="shared" si="25"/>
        <v>36.002126709082155</v>
      </c>
      <c r="N143" s="82"/>
      <c r="O143" s="82"/>
    </row>
    <row r="144" spans="1:15" x14ac:dyDescent="0.35">
      <c r="A144" s="344">
        <v>45962</v>
      </c>
      <c r="B144" s="345"/>
      <c r="C144" s="346"/>
      <c r="D144" s="425">
        <f>N9</f>
        <v>0.8957609796993361</v>
      </c>
      <c r="E144" s="347">
        <f>'Growth Projection'!I$18/12</f>
        <v>40.191666666666301</v>
      </c>
      <c r="F144" s="347">
        <f t="shared" si="23"/>
        <v>36.002126709082155</v>
      </c>
      <c r="G144" s="346" t="str">
        <f t="shared" si="19"/>
        <v/>
      </c>
      <c r="H144" s="347">
        <f t="shared" si="20"/>
        <v>44.542747462269404</v>
      </c>
      <c r="I144" s="347">
        <f t="shared" si="21"/>
        <v>26.541684107728326</v>
      </c>
      <c r="J144" s="347">
        <f t="shared" si="22"/>
        <v>62.543810816810478</v>
      </c>
      <c r="K144" s="347">
        <f t="shared" si="24"/>
        <v>26.541684107728322</v>
      </c>
      <c r="L144" s="347">
        <f t="shared" si="25"/>
        <v>36.002126709082155</v>
      </c>
      <c r="N144" s="82"/>
      <c r="O144" s="82"/>
    </row>
    <row r="145" spans="1:15" x14ac:dyDescent="0.35">
      <c r="A145" s="344">
        <v>45992</v>
      </c>
      <c r="B145" s="345"/>
      <c r="C145" s="346"/>
      <c r="D145" s="425">
        <f>N8</f>
        <v>1.7350486713019757</v>
      </c>
      <c r="E145" s="347">
        <f>'Growth Projection'!I$18/12</f>
        <v>40.191666666666301</v>
      </c>
      <c r="F145" s="347">
        <f t="shared" si="23"/>
        <v>69.734497847411276</v>
      </c>
      <c r="G145" s="346" t="str">
        <f t="shared" si="19"/>
        <v/>
      </c>
      <c r="H145" s="347">
        <f t="shared" si="20"/>
        <v>86.277295564370803</v>
      </c>
      <c r="I145" s="347">
        <f t="shared" si="21"/>
        <v>51.410046640665165</v>
      </c>
      <c r="J145" s="347">
        <f t="shared" si="22"/>
        <v>121.14454448807643</v>
      </c>
      <c r="K145" s="347">
        <f t="shared" si="24"/>
        <v>26.541684107728322</v>
      </c>
      <c r="L145" s="347">
        <f t="shared" si="25"/>
        <v>94.602860380348119</v>
      </c>
      <c r="N145" s="82"/>
      <c r="O145" s="82"/>
    </row>
    <row r="146" spans="1:15" x14ac:dyDescent="0.35">
      <c r="A146" s="338">
        <v>46023</v>
      </c>
      <c r="B146" s="339"/>
      <c r="C146" s="340"/>
      <c r="D146" s="424">
        <f>N9</f>
        <v>0.8957609796993361</v>
      </c>
      <c r="E146" s="341">
        <f>'Growth Projection'!J$18/12</f>
        <v>42.216666666666548</v>
      </c>
      <c r="F146" s="341">
        <f t="shared" si="23"/>
        <v>37.816042692973532</v>
      </c>
      <c r="G146" s="340" t="str">
        <f t="shared" ref="G146:G181" si="26">IF(OR(C146="",D146=""),"",C146-D146)</f>
        <v/>
      </c>
      <c r="H146" s="341">
        <f t="shared" si="20"/>
        <v>46.786970483901769</v>
      </c>
      <c r="I146" s="341">
        <f t="shared" si="21"/>
        <v>27.878949137415002</v>
      </c>
      <c r="J146" s="341">
        <f t="shared" si="22"/>
        <v>65.694991830388531</v>
      </c>
      <c r="K146" s="341">
        <f t="shared" si="24"/>
        <v>51.410046640665158</v>
      </c>
      <c r="L146" s="341">
        <f t="shared" si="25"/>
        <v>14.284945189723373</v>
      </c>
      <c r="N146" s="82"/>
      <c r="O146" s="82"/>
    </row>
    <row r="147" spans="1:15" x14ac:dyDescent="0.35">
      <c r="A147" s="338">
        <v>46054</v>
      </c>
      <c r="B147" s="339"/>
      <c r="C147" s="340"/>
      <c r="D147" s="424">
        <f>N3+N4-100%</f>
        <v>1.1546997657309603</v>
      </c>
      <c r="E147" s="341">
        <f>'Growth Projection'!J$18/12</f>
        <v>42.216666666666548</v>
      </c>
      <c r="F147" s="341">
        <f t="shared" si="23"/>
        <v>48.747575109941906</v>
      </c>
      <c r="G147" s="340" t="str">
        <f t="shared" si="26"/>
        <v/>
      </c>
      <c r="H147" s="341">
        <f t="shared" si="20"/>
        <v>60.31174061093428</v>
      </c>
      <c r="I147" s="341">
        <f t="shared" si="21"/>
        <v>35.937953055963327</v>
      </c>
      <c r="J147" s="341">
        <f t="shared" si="22"/>
        <v>84.685528165905225</v>
      </c>
      <c r="K147" s="341">
        <f t="shared" si="24"/>
        <v>27.878949137414999</v>
      </c>
      <c r="L147" s="341">
        <f t="shared" si="25"/>
        <v>56.806579028490226</v>
      </c>
      <c r="N147" s="82"/>
      <c r="O147" s="82"/>
    </row>
    <row r="148" spans="1:15" x14ac:dyDescent="0.35">
      <c r="A148" s="338">
        <v>46082</v>
      </c>
      <c r="B148" s="339"/>
      <c r="C148" s="340"/>
      <c r="D148" s="424">
        <f>N6</f>
        <v>1.2028025569775205</v>
      </c>
      <c r="E148" s="341">
        <f>'Growth Projection'!J$18/12</f>
        <v>42.216666666666548</v>
      </c>
      <c r="F148" s="341">
        <f t="shared" si="23"/>
        <v>50.778314613734182</v>
      </c>
      <c r="G148" s="340" t="str">
        <f t="shared" si="26"/>
        <v/>
      </c>
      <c r="H148" s="341">
        <f t="shared" si="20"/>
        <v>62.82422320980961</v>
      </c>
      <c r="I148" s="341">
        <f t="shared" si="21"/>
        <v>37.435065902942519</v>
      </c>
      <c r="J148" s="341">
        <f t="shared" si="22"/>
        <v>88.213380516676693</v>
      </c>
      <c r="K148" s="341">
        <f t="shared" si="24"/>
        <v>35.93795305596332</v>
      </c>
      <c r="L148" s="341">
        <f t="shared" si="25"/>
        <v>52.275427460713374</v>
      </c>
      <c r="N148" s="82"/>
      <c r="O148" s="82"/>
    </row>
    <row r="149" spans="1:15" x14ac:dyDescent="0.35">
      <c r="A149" s="338">
        <v>46113</v>
      </c>
      <c r="B149" s="339"/>
      <c r="C149" s="340"/>
      <c r="D149" s="424">
        <f>N9</f>
        <v>0.8957609796993361</v>
      </c>
      <c r="E149" s="341">
        <f>'Growth Projection'!J$18/12</f>
        <v>42.216666666666548</v>
      </c>
      <c r="F149" s="341">
        <f t="shared" si="23"/>
        <v>37.816042692973532</v>
      </c>
      <c r="G149" s="340" t="str">
        <f t="shared" si="26"/>
        <v/>
      </c>
      <c r="H149" s="341">
        <f t="shared" si="20"/>
        <v>46.786970483901769</v>
      </c>
      <c r="I149" s="341">
        <f t="shared" si="21"/>
        <v>27.878949137415002</v>
      </c>
      <c r="J149" s="341">
        <f t="shared" si="22"/>
        <v>65.694991830388531</v>
      </c>
      <c r="K149" s="341">
        <f t="shared" si="24"/>
        <v>37.435065902942512</v>
      </c>
      <c r="L149" s="341">
        <f t="shared" si="25"/>
        <v>28.25992592744602</v>
      </c>
      <c r="N149" s="82"/>
      <c r="O149" s="82"/>
    </row>
    <row r="150" spans="1:15" x14ac:dyDescent="0.35">
      <c r="A150" s="338">
        <v>46143</v>
      </c>
      <c r="B150" s="339"/>
      <c r="C150" s="340"/>
      <c r="D150" s="424">
        <f>N5</f>
        <v>1.0535078872629693</v>
      </c>
      <c r="E150" s="341">
        <f>'Growth Projection'!J$18/12</f>
        <v>42.216666666666548</v>
      </c>
      <c r="F150" s="341">
        <f t="shared" si="23"/>
        <v>44.475591307284894</v>
      </c>
      <c r="G150" s="340" t="str">
        <f t="shared" si="26"/>
        <v/>
      </c>
      <c r="H150" s="341">
        <f t="shared" si="20"/>
        <v>55.026333523117614</v>
      </c>
      <c r="I150" s="341">
        <f t="shared" si="21"/>
        <v>32.788537869475164</v>
      </c>
      <c r="J150" s="341">
        <f t="shared" si="22"/>
        <v>77.264129176760065</v>
      </c>
      <c r="K150" s="341">
        <f t="shared" si="24"/>
        <v>27.878949137414999</v>
      </c>
      <c r="L150" s="341">
        <f t="shared" si="25"/>
        <v>49.385180039345066</v>
      </c>
      <c r="N150" s="82"/>
      <c r="O150" s="82"/>
    </row>
    <row r="151" spans="1:15" x14ac:dyDescent="0.35">
      <c r="A151" s="338">
        <v>46174</v>
      </c>
      <c r="B151" s="339"/>
      <c r="C151" s="340"/>
      <c r="D151" s="424">
        <f>N7</f>
        <v>1.1344907639187414</v>
      </c>
      <c r="E151" s="341">
        <f>'Growth Projection'!J$18/12</f>
        <v>42.216666666666548</v>
      </c>
      <c r="F151" s="341">
        <f t="shared" si="23"/>
        <v>47.894418416769398</v>
      </c>
      <c r="G151" s="340" t="str">
        <f t="shared" si="26"/>
        <v/>
      </c>
      <c r="H151" s="341">
        <f t="shared" si="20"/>
        <v>59.256193436268589</v>
      </c>
      <c r="I151" s="341">
        <f t="shared" si="21"/>
        <v>35.30898422788389</v>
      </c>
      <c r="J151" s="341">
        <f t="shared" si="22"/>
        <v>83.203402644653295</v>
      </c>
      <c r="K151" s="341">
        <f t="shared" si="24"/>
        <v>32.788537869475171</v>
      </c>
      <c r="L151" s="341">
        <f t="shared" si="25"/>
        <v>50.414864775178124</v>
      </c>
      <c r="N151" s="82"/>
      <c r="O151" s="82"/>
    </row>
    <row r="152" spans="1:15" x14ac:dyDescent="0.35">
      <c r="A152" s="338">
        <v>46204</v>
      </c>
      <c r="B152" s="339"/>
      <c r="C152" s="340"/>
      <c r="D152" s="424">
        <f>N9</f>
        <v>0.8957609796993361</v>
      </c>
      <c r="E152" s="341">
        <f>'Growth Projection'!J$18/12</f>
        <v>42.216666666666548</v>
      </c>
      <c r="F152" s="341">
        <f t="shared" si="23"/>
        <v>37.816042692973532</v>
      </c>
      <c r="G152" s="340" t="str">
        <f t="shared" si="26"/>
        <v/>
      </c>
      <c r="H152" s="341">
        <f t="shared" si="20"/>
        <v>46.786970483901769</v>
      </c>
      <c r="I152" s="341">
        <f t="shared" si="21"/>
        <v>27.878949137415002</v>
      </c>
      <c r="J152" s="341">
        <f t="shared" si="22"/>
        <v>65.694991830388531</v>
      </c>
      <c r="K152" s="341">
        <f t="shared" si="24"/>
        <v>35.308984227883897</v>
      </c>
      <c r="L152" s="341">
        <f t="shared" si="25"/>
        <v>30.386007602504634</v>
      </c>
      <c r="N152" s="82"/>
      <c r="O152" s="82"/>
    </row>
    <row r="153" spans="1:15" x14ac:dyDescent="0.35">
      <c r="A153" s="338">
        <v>46235</v>
      </c>
      <c r="B153" s="339"/>
      <c r="C153" s="340"/>
      <c r="D153" s="424">
        <f>N9</f>
        <v>0.8957609796993361</v>
      </c>
      <c r="E153" s="341">
        <f>'Growth Projection'!J$18/12</f>
        <v>42.216666666666548</v>
      </c>
      <c r="F153" s="341">
        <f t="shared" si="23"/>
        <v>37.816042692973532</v>
      </c>
      <c r="G153" s="340" t="str">
        <f t="shared" si="26"/>
        <v/>
      </c>
      <c r="H153" s="341">
        <f t="shared" si="20"/>
        <v>46.786970483901769</v>
      </c>
      <c r="I153" s="341">
        <f t="shared" si="21"/>
        <v>27.878949137415002</v>
      </c>
      <c r="J153" s="341">
        <f t="shared" si="22"/>
        <v>65.694991830388531</v>
      </c>
      <c r="K153" s="341">
        <f t="shared" si="24"/>
        <v>27.878949137414999</v>
      </c>
      <c r="L153" s="341">
        <f t="shared" si="25"/>
        <v>37.816042692973532</v>
      </c>
      <c r="N153" s="82"/>
      <c r="O153" s="82"/>
    </row>
    <row r="154" spans="1:15" x14ac:dyDescent="0.35">
      <c r="A154" s="338">
        <v>46266</v>
      </c>
      <c r="B154" s="339"/>
      <c r="C154" s="340"/>
      <c r="D154" s="424">
        <f>N9</f>
        <v>0.8957609796993361</v>
      </c>
      <c r="E154" s="341">
        <f>'Growth Projection'!J$18/12</f>
        <v>42.216666666666548</v>
      </c>
      <c r="F154" s="341">
        <f t="shared" si="23"/>
        <v>37.816042692973532</v>
      </c>
      <c r="G154" s="340" t="str">
        <f t="shared" si="26"/>
        <v/>
      </c>
      <c r="H154" s="341">
        <f t="shared" si="20"/>
        <v>46.786970483901769</v>
      </c>
      <c r="I154" s="341">
        <f t="shared" si="21"/>
        <v>27.878949137415002</v>
      </c>
      <c r="J154" s="341">
        <f t="shared" si="22"/>
        <v>65.694991830388531</v>
      </c>
      <c r="K154" s="341">
        <f t="shared" si="24"/>
        <v>27.878949137414999</v>
      </c>
      <c r="L154" s="341">
        <f t="shared" si="25"/>
        <v>37.816042692973532</v>
      </c>
      <c r="N154" s="82"/>
      <c r="O154" s="82"/>
    </row>
    <row r="155" spans="1:15" x14ac:dyDescent="0.35">
      <c r="A155" s="338">
        <v>46296</v>
      </c>
      <c r="B155" s="339"/>
      <c r="C155" s="340"/>
      <c r="D155" s="424">
        <f>N9</f>
        <v>0.8957609796993361</v>
      </c>
      <c r="E155" s="341">
        <f>'Growth Projection'!J$18/12</f>
        <v>42.216666666666548</v>
      </c>
      <c r="F155" s="341">
        <f t="shared" si="23"/>
        <v>37.816042692973532</v>
      </c>
      <c r="G155" s="340" t="str">
        <f t="shared" si="26"/>
        <v/>
      </c>
      <c r="H155" s="341">
        <f t="shared" si="20"/>
        <v>46.786970483901769</v>
      </c>
      <c r="I155" s="341">
        <f t="shared" si="21"/>
        <v>27.878949137415002</v>
      </c>
      <c r="J155" s="341">
        <f t="shared" si="22"/>
        <v>65.694991830388531</v>
      </c>
      <c r="K155" s="341">
        <f t="shared" si="24"/>
        <v>27.878949137414999</v>
      </c>
      <c r="L155" s="341">
        <f t="shared" si="25"/>
        <v>37.816042692973532</v>
      </c>
      <c r="N155" s="82"/>
      <c r="O155" s="82"/>
    </row>
    <row r="156" spans="1:15" x14ac:dyDescent="0.35">
      <c r="A156" s="338">
        <v>46327</v>
      </c>
      <c r="B156" s="339"/>
      <c r="C156" s="340"/>
      <c r="D156" s="424">
        <f>N9</f>
        <v>0.8957609796993361</v>
      </c>
      <c r="E156" s="341">
        <f>'Growth Projection'!J$18/12</f>
        <v>42.216666666666548</v>
      </c>
      <c r="F156" s="341">
        <f t="shared" si="23"/>
        <v>37.816042692973532</v>
      </c>
      <c r="G156" s="340" t="str">
        <f t="shared" si="26"/>
        <v/>
      </c>
      <c r="H156" s="341">
        <f t="shared" si="20"/>
        <v>46.786970483901769</v>
      </c>
      <c r="I156" s="341">
        <f t="shared" si="21"/>
        <v>27.878949137415002</v>
      </c>
      <c r="J156" s="341">
        <f t="shared" si="22"/>
        <v>65.694991830388531</v>
      </c>
      <c r="K156" s="341">
        <f t="shared" si="24"/>
        <v>27.878949137414999</v>
      </c>
      <c r="L156" s="341">
        <f t="shared" si="25"/>
        <v>37.816042692973532</v>
      </c>
      <c r="N156" s="82"/>
      <c r="O156" s="82"/>
    </row>
    <row r="157" spans="1:15" x14ac:dyDescent="0.35">
      <c r="A157" s="338">
        <v>46357</v>
      </c>
      <c r="B157" s="339"/>
      <c r="C157" s="340"/>
      <c r="D157" s="424">
        <f>N8</f>
        <v>1.7350486713019757</v>
      </c>
      <c r="E157" s="341">
        <f>'Growth Projection'!J$18/12</f>
        <v>42.216666666666548</v>
      </c>
      <c r="F157" s="341">
        <f t="shared" si="23"/>
        <v>73.2479714067982</v>
      </c>
      <c r="G157" s="340" t="str">
        <f t="shared" si="26"/>
        <v/>
      </c>
      <c r="H157" s="341">
        <f t="shared" si="20"/>
        <v>90.624254474208016</v>
      </c>
      <c r="I157" s="341">
        <f t="shared" si="21"/>
        <v>54.000268770808916</v>
      </c>
      <c r="J157" s="341">
        <f t="shared" si="22"/>
        <v>127.24824017760712</v>
      </c>
      <c r="K157" s="341">
        <f t="shared" si="24"/>
        <v>27.878949137414999</v>
      </c>
      <c r="L157" s="341">
        <f t="shared" si="25"/>
        <v>99.36929104019211</v>
      </c>
      <c r="N157" s="82"/>
      <c r="O157" s="82"/>
    </row>
    <row r="158" spans="1:15" x14ac:dyDescent="0.35">
      <c r="A158" s="344">
        <v>46388</v>
      </c>
      <c r="B158" s="345"/>
      <c r="C158" s="346"/>
      <c r="D158" s="425">
        <f>N9</f>
        <v>0.8957609796993361</v>
      </c>
      <c r="E158" s="347">
        <f>'Growth Projection'!K$18/12</f>
        <v>44.241666666666184</v>
      </c>
      <c r="F158" s="347">
        <f t="shared" si="23"/>
        <v>39.629958676864362</v>
      </c>
      <c r="G158" s="346" t="str">
        <f t="shared" si="26"/>
        <v/>
      </c>
      <c r="H158" s="347">
        <f t="shared" ref="H158:H189" si="27">IFERROR(F158+2*N$12*F158,"")</f>
        <v>49.031193505533452</v>
      </c>
      <c r="I158" s="347">
        <f t="shared" ref="I158:I189" si="28">IFERROR(IF(OR(ISBLANK(H158),ISBLANK(F158)),"",(H158*N$14)-(N$13*F158)),"")</f>
        <v>29.216214167101271</v>
      </c>
      <c r="J158" s="347">
        <f t="shared" ref="J158:J189" si="29">IFERROR(F158+I158,"")</f>
        <v>68.846172843965633</v>
      </c>
      <c r="K158" s="347">
        <f t="shared" si="24"/>
        <v>54.000268770808901</v>
      </c>
      <c r="L158" s="347">
        <f t="shared" si="25"/>
        <v>14.845904073156731</v>
      </c>
      <c r="N158" s="82"/>
      <c r="O158" s="82"/>
    </row>
    <row r="159" spans="1:15" x14ac:dyDescent="0.35">
      <c r="A159" s="344">
        <v>46419</v>
      </c>
      <c r="B159" s="345"/>
      <c r="C159" s="346"/>
      <c r="D159" s="425">
        <f>N3+N4-100%</f>
        <v>1.1546997657309603</v>
      </c>
      <c r="E159" s="347">
        <f>'Growth Projection'!K$18/12</f>
        <v>44.241666666666184</v>
      </c>
      <c r="F159" s="347">
        <f t="shared" si="23"/>
        <v>51.085842135546677</v>
      </c>
      <c r="G159" s="346" t="str">
        <f t="shared" si="26"/>
        <v/>
      </c>
      <c r="H159" s="347">
        <f t="shared" si="27"/>
        <v>63.204704086744471</v>
      </c>
      <c r="I159" s="347">
        <f t="shared" si="28"/>
        <v>37.661783018971136</v>
      </c>
      <c r="J159" s="347">
        <f t="shared" si="29"/>
        <v>88.747625154517806</v>
      </c>
      <c r="K159" s="347">
        <f t="shared" ref="K159:K181" si="30">IFERROR(K158+L158-F158,"")</f>
        <v>29.216214167101271</v>
      </c>
      <c r="L159" s="347">
        <f t="shared" si="25"/>
        <v>59.531410987416535</v>
      </c>
      <c r="N159" s="82"/>
      <c r="O159" s="82"/>
    </row>
    <row r="160" spans="1:15" x14ac:dyDescent="0.35">
      <c r="A160" s="344">
        <v>46447</v>
      </c>
      <c r="B160" s="345"/>
      <c r="C160" s="346"/>
      <c r="D160" s="425">
        <f>N6</f>
        <v>1.2028025569775205</v>
      </c>
      <c r="E160" s="347">
        <f>'Growth Projection'!K$18/12</f>
        <v>44.241666666666184</v>
      </c>
      <c r="F160" s="347">
        <f t="shared" si="23"/>
        <v>53.213989791613223</v>
      </c>
      <c r="G160" s="346" t="str">
        <f t="shared" si="26"/>
        <v/>
      </c>
      <c r="H160" s="347">
        <f t="shared" si="27"/>
        <v>65.83770253076915</v>
      </c>
      <c r="I160" s="347">
        <f t="shared" si="28"/>
        <v>39.230707634962542</v>
      </c>
      <c r="J160" s="347">
        <f t="shared" si="29"/>
        <v>92.444697426575772</v>
      </c>
      <c r="K160" s="347">
        <f t="shared" si="30"/>
        <v>37.661783018971128</v>
      </c>
      <c r="L160" s="347">
        <f t="shared" si="25"/>
        <v>54.782914407604643</v>
      </c>
      <c r="N160" s="82"/>
      <c r="O160" s="82"/>
    </row>
    <row r="161" spans="1:15" x14ac:dyDescent="0.35">
      <c r="A161" s="344">
        <v>46478</v>
      </c>
      <c r="B161" s="345"/>
      <c r="C161" s="346"/>
      <c r="D161" s="425">
        <f>N9</f>
        <v>0.8957609796993361</v>
      </c>
      <c r="E161" s="347">
        <f>'Growth Projection'!K$18/12</f>
        <v>44.241666666666184</v>
      </c>
      <c r="F161" s="347">
        <f t="shared" si="23"/>
        <v>39.629958676864362</v>
      </c>
      <c r="G161" s="346" t="str">
        <f t="shared" si="26"/>
        <v/>
      </c>
      <c r="H161" s="347">
        <f t="shared" si="27"/>
        <v>49.031193505533452</v>
      </c>
      <c r="I161" s="347">
        <f t="shared" si="28"/>
        <v>29.216214167101271</v>
      </c>
      <c r="J161" s="347">
        <f t="shared" si="29"/>
        <v>68.846172843965633</v>
      </c>
      <c r="K161" s="347">
        <f t="shared" si="30"/>
        <v>39.230707634962549</v>
      </c>
      <c r="L161" s="347">
        <f t="shared" si="25"/>
        <v>29.615465209003084</v>
      </c>
      <c r="N161" s="82"/>
      <c r="O161" s="82"/>
    </row>
    <row r="162" spans="1:15" x14ac:dyDescent="0.35">
      <c r="A162" s="344">
        <v>46508</v>
      </c>
      <c r="B162" s="345"/>
      <c r="C162" s="346"/>
      <c r="D162" s="425">
        <f>N5</f>
        <v>1.0535078872629693</v>
      </c>
      <c r="E162" s="347">
        <f>'Growth Projection'!K$18/12</f>
        <v>44.241666666666184</v>
      </c>
      <c r="F162" s="347">
        <f t="shared" si="23"/>
        <v>46.608944778992026</v>
      </c>
      <c r="G162" s="346" t="str">
        <f t="shared" si="26"/>
        <v/>
      </c>
      <c r="H162" s="347">
        <f t="shared" si="27"/>
        <v>57.665772734747151</v>
      </c>
      <c r="I162" s="347">
        <f t="shared" si="28"/>
        <v>34.361300345251138</v>
      </c>
      <c r="J162" s="347">
        <f t="shared" si="29"/>
        <v>80.970245124243164</v>
      </c>
      <c r="K162" s="347">
        <f t="shared" si="30"/>
        <v>29.216214167101271</v>
      </c>
      <c r="L162" s="347">
        <f t="shared" si="25"/>
        <v>51.754030957141893</v>
      </c>
      <c r="N162" s="82"/>
      <c r="O162" s="82"/>
    </row>
    <row r="163" spans="1:15" x14ac:dyDescent="0.35">
      <c r="A163" s="344">
        <v>46539</v>
      </c>
      <c r="B163" s="345"/>
      <c r="C163" s="346"/>
      <c r="D163" s="425">
        <f>N7</f>
        <v>1.1344907639187414</v>
      </c>
      <c r="E163" s="347">
        <f>'Growth Projection'!K$18/12</f>
        <v>44.241666666666184</v>
      </c>
      <c r="F163" s="347">
        <f t="shared" si="23"/>
        <v>50.191762213704436</v>
      </c>
      <c r="G163" s="346" t="str">
        <f t="shared" si="26"/>
        <v/>
      </c>
      <c r="H163" s="347">
        <f t="shared" si="27"/>
        <v>62.098525652022772</v>
      </c>
      <c r="I163" s="347">
        <f t="shared" si="28"/>
        <v>37.002644545170554</v>
      </c>
      <c r="J163" s="347">
        <f t="shared" si="29"/>
        <v>87.19440675887499</v>
      </c>
      <c r="K163" s="347">
        <f t="shared" si="30"/>
        <v>34.361300345251138</v>
      </c>
      <c r="L163" s="347">
        <f t="shared" si="25"/>
        <v>52.833106413623852</v>
      </c>
      <c r="N163" s="82"/>
      <c r="O163" s="82"/>
    </row>
    <row r="164" spans="1:15" x14ac:dyDescent="0.35">
      <c r="A164" s="344">
        <v>46569</v>
      </c>
      <c r="B164" s="345"/>
      <c r="C164" s="346"/>
      <c r="D164" s="425">
        <f>N9</f>
        <v>0.8957609796993361</v>
      </c>
      <c r="E164" s="347">
        <f>'Growth Projection'!K$18/12</f>
        <v>44.241666666666184</v>
      </c>
      <c r="F164" s="347">
        <f t="shared" si="23"/>
        <v>39.629958676864362</v>
      </c>
      <c r="G164" s="346" t="str">
        <f t="shared" si="26"/>
        <v/>
      </c>
      <c r="H164" s="347">
        <f t="shared" si="27"/>
        <v>49.031193505533452</v>
      </c>
      <c r="I164" s="347">
        <f t="shared" si="28"/>
        <v>29.216214167101271</v>
      </c>
      <c r="J164" s="347">
        <f t="shared" si="29"/>
        <v>68.846172843965633</v>
      </c>
      <c r="K164" s="347">
        <f t="shared" si="30"/>
        <v>37.002644545170554</v>
      </c>
      <c r="L164" s="347">
        <f t="shared" si="25"/>
        <v>31.843528298795079</v>
      </c>
      <c r="N164" s="82"/>
      <c r="O164" s="82"/>
    </row>
    <row r="165" spans="1:15" x14ac:dyDescent="0.35">
      <c r="A165" s="344">
        <v>46600</v>
      </c>
      <c r="B165" s="345"/>
      <c r="C165" s="346"/>
      <c r="D165" s="425">
        <f>N9</f>
        <v>0.8957609796993361</v>
      </c>
      <c r="E165" s="347">
        <f>'Growth Projection'!K$18/12</f>
        <v>44.241666666666184</v>
      </c>
      <c r="F165" s="347">
        <f t="shared" si="23"/>
        <v>39.629958676864362</v>
      </c>
      <c r="G165" s="346" t="str">
        <f t="shared" si="26"/>
        <v/>
      </c>
      <c r="H165" s="347">
        <f t="shared" si="27"/>
        <v>49.031193505533452</v>
      </c>
      <c r="I165" s="347">
        <f t="shared" si="28"/>
        <v>29.216214167101271</v>
      </c>
      <c r="J165" s="347">
        <f t="shared" si="29"/>
        <v>68.846172843965633</v>
      </c>
      <c r="K165" s="347">
        <f t="shared" si="30"/>
        <v>29.216214167101271</v>
      </c>
      <c r="L165" s="347">
        <f t="shared" si="25"/>
        <v>39.629958676864362</v>
      </c>
      <c r="N165" s="82"/>
      <c r="O165" s="82"/>
    </row>
    <row r="166" spans="1:15" x14ac:dyDescent="0.35">
      <c r="A166" s="344">
        <v>46631</v>
      </c>
      <c r="B166" s="345"/>
      <c r="C166" s="346"/>
      <c r="D166" s="425">
        <f>N9</f>
        <v>0.8957609796993361</v>
      </c>
      <c r="E166" s="347">
        <f>'Growth Projection'!K$18/12</f>
        <v>44.241666666666184</v>
      </c>
      <c r="F166" s="347">
        <f t="shared" si="23"/>
        <v>39.629958676864362</v>
      </c>
      <c r="G166" s="346" t="str">
        <f t="shared" si="26"/>
        <v/>
      </c>
      <c r="H166" s="347">
        <f t="shared" si="27"/>
        <v>49.031193505533452</v>
      </c>
      <c r="I166" s="347">
        <f t="shared" si="28"/>
        <v>29.216214167101271</v>
      </c>
      <c r="J166" s="347">
        <f t="shared" si="29"/>
        <v>68.846172843965633</v>
      </c>
      <c r="K166" s="347">
        <f t="shared" si="30"/>
        <v>29.216214167101271</v>
      </c>
      <c r="L166" s="347">
        <f t="shared" si="25"/>
        <v>39.629958676864362</v>
      </c>
      <c r="N166" s="82"/>
      <c r="O166" s="82"/>
    </row>
    <row r="167" spans="1:15" x14ac:dyDescent="0.35">
      <c r="A167" s="344">
        <v>46661</v>
      </c>
      <c r="B167" s="345"/>
      <c r="C167" s="346"/>
      <c r="D167" s="425">
        <f>N9</f>
        <v>0.8957609796993361</v>
      </c>
      <c r="E167" s="347">
        <f>'Growth Projection'!K$18/12</f>
        <v>44.241666666666184</v>
      </c>
      <c r="F167" s="347">
        <f t="shared" si="23"/>
        <v>39.629958676864362</v>
      </c>
      <c r="G167" s="346" t="str">
        <f t="shared" si="26"/>
        <v/>
      </c>
      <c r="H167" s="347">
        <f t="shared" si="27"/>
        <v>49.031193505533452</v>
      </c>
      <c r="I167" s="347">
        <f t="shared" si="28"/>
        <v>29.216214167101271</v>
      </c>
      <c r="J167" s="347">
        <f t="shared" si="29"/>
        <v>68.846172843965633</v>
      </c>
      <c r="K167" s="347">
        <f t="shared" si="30"/>
        <v>29.216214167101271</v>
      </c>
      <c r="L167" s="347">
        <f t="shared" si="25"/>
        <v>39.629958676864362</v>
      </c>
      <c r="N167" s="82"/>
      <c r="O167" s="82"/>
    </row>
    <row r="168" spans="1:15" x14ac:dyDescent="0.35">
      <c r="A168" s="344">
        <v>46692</v>
      </c>
      <c r="B168" s="345"/>
      <c r="C168" s="346"/>
      <c r="D168" s="425">
        <f>N9</f>
        <v>0.8957609796993361</v>
      </c>
      <c r="E168" s="347">
        <f>'Growth Projection'!K$18/12</f>
        <v>44.241666666666184</v>
      </c>
      <c r="F168" s="347">
        <f t="shared" si="23"/>
        <v>39.629958676864362</v>
      </c>
      <c r="G168" s="346" t="str">
        <f t="shared" si="26"/>
        <v/>
      </c>
      <c r="H168" s="347">
        <f t="shared" si="27"/>
        <v>49.031193505533452</v>
      </c>
      <c r="I168" s="347">
        <f t="shared" si="28"/>
        <v>29.216214167101271</v>
      </c>
      <c r="J168" s="347">
        <f t="shared" si="29"/>
        <v>68.846172843965633</v>
      </c>
      <c r="K168" s="347">
        <f t="shared" si="30"/>
        <v>29.216214167101271</v>
      </c>
      <c r="L168" s="347">
        <f t="shared" si="25"/>
        <v>39.629958676864362</v>
      </c>
      <c r="N168" s="82"/>
      <c r="O168" s="82"/>
    </row>
    <row r="169" spans="1:15" x14ac:dyDescent="0.35">
      <c r="A169" s="344">
        <v>46722</v>
      </c>
      <c r="B169" s="345"/>
      <c r="C169" s="346"/>
      <c r="D169" s="425">
        <f>N8</f>
        <v>1.7350486713019757</v>
      </c>
      <c r="E169" s="347">
        <f>'Growth Projection'!K$18/12</f>
        <v>44.241666666666184</v>
      </c>
      <c r="F169" s="347">
        <f t="shared" si="23"/>
        <v>76.761444966184072</v>
      </c>
      <c r="G169" s="346" t="str">
        <f t="shared" si="26"/>
        <v/>
      </c>
      <c r="H169" s="347">
        <f t="shared" si="27"/>
        <v>94.971213384043921</v>
      </c>
      <c r="I169" s="347">
        <f t="shared" si="28"/>
        <v>56.590490900951885</v>
      </c>
      <c r="J169" s="347">
        <f t="shared" si="29"/>
        <v>133.35193586713595</v>
      </c>
      <c r="K169" s="347">
        <f t="shared" si="30"/>
        <v>29.216214167101271</v>
      </c>
      <c r="L169" s="347">
        <f t="shared" si="25"/>
        <v>104.13572170003468</v>
      </c>
      <c r="N169" s="82"/>
      <c r="O169" s="82"/>
    </row>
    <row r="170" spans="1:15" x14ac:dyDescent="0.35">
      <c r="A170" s="338">
        <v>46753</v>
      </c>
      <c r="B170" s="339"/>
      <c r="C170" s="340"/>
      <c r="D170" s="424">
        <f>N3</f>
        <v>0.92154042168427108</v>
      </c>
      <c r="E170" s="341">
        <f>'Growth Projection'!L$18/12</f>
        <v>46.266666666666424</v>
      </c>
      <c r="F170" s="341">
        <f t="shared" si="23"/>
        <v>42.636603509925386</v>
      </c>
      <c r="G170" s="340" t="str">
        <f t="shared" si="26"/>
        <v/>
      </c>
      <c r="H170" s="341">
        <f t="shared" si="27"/>
        <v>52.751091015754412</v>
      </c>
      <c r="I170" s="341">
        <f t="shared" si="28"/>
        <v>31.432789260791719</v>
      </c>
      <c r="J170" s="341">
        <f t="shared" si="29"/>
        <v>74.069392770717101</v>
      </c>
      <c r="K170" s="341">
        <f t="shared" si="30"/>
        <v>56.590490900951878</v>
      </c>
      <c r="L170" s="341">
        <f t="shared" si="25"/>
        <v>17.478901869765224</v>
      </c>
      <c r="N170" s="82"/>
      <c r="O170" s="82"/>
    </row>
    <row r="171" spans="1:15" x14ac:dyDescent="0.35">
      <c r="A171" s="338">
        <v>46784</v>
      </c>
      <c r="B171" s="339"/>
      <c r="C171" s="340"/>
      <c r="D171" s="424">
        <f>N4+N6-100%</f>
        <v>1.4359619010242097</v>
      </c>
      <c r="E171" s="341">
        <f>'Growth Projection'!L$18/12</f>
        <v>46.266666666666424</v>
      </c>
      <c r="F171" s="341">
        <f t="shared" si="23"/>
        <v>66.437170620719755</v>
      </c>
      <c r="G171" s="340" t="str">
        <f t="shared" si="26"/>
        <v/>
      </c>
      <c r="H171" s="341">
        <f t="shared" si="27"/>
        <v>82.197758398530695</v>
      </c>
      <c r="I171" s="341">
        <f t="shared" si="28"/>
        <v>48.979173088170818</v>
      </c>
      <c r="J171" s="341">
        <f t="shared" si="29"/>
        <v>115.41634370889057</v>
      </c>
      <c r="K171" s="341">
        <f t="shared" si="30"/>
        <v>31.432789260791715</v>
      </c>
      <c r="L171" s="341">
        <f t="shared" si="25"/>
        <v>83.983554448098857</v>
      </c>
      <c r="N171" s="82"/>
      <c r="O171" s="82"/>
    </row>
    <row r="172" spans="1:15" x14ac:dyDescent="0.35">
      <c r="A172" s="338">
        <v>46813</v>
      </c>
      <c r="B172" s="339"/>
      <c r="C172" s="340"/>
      <c r="D172" s="424">
        <f>N9</f>
        <v>0.8957609796993361</v>
      </c>
      <c r="E172" s="341">
        <f>'Growth Projection'!L$18/12</f>
        <v>46.266666666666424</v>
      </c>
      <c r="F172" s="341">
        <f t="shared" si="23"/>
        <v>41.443874660755732</v>
      </c>
      <c r="G172" s="340" t="str">
        <f t="shared" si="26"/>
        <v/>
      </c>
      <c r="H172" s="341">
        <f t="shared" si="27"/>
        <v>51.275416527165802</v>
      </c>
      <c r="I172" s="341">
        <f t="shared" si="28"/>
        <v>30.553479196787936</v>
      </c>
      <c r="J172" s="341">
        <f t="shared" si="29"/>
        <v>71.997353857543672</v>
      </c>
      <c r="K172" s="341">
        <f t="shared" si="30"/>
        <v>48.979173088170811</v>
      </c>
      <c r="L172" s="341">
        <f t="shared" si="25"/>
        <v>23.018180769372862</v>
      </c>
      <c r="N172" s="82"/>
      <c r="O172" s="82"/>
    </row>
    <row r="173" spans="1:15" x14ac:dyDescent="0.35">
      <c r="A173" s="338">
        <v>46844</v>
      </c>
      <c r="B173" s="339"/>
      <c r="C173" s="340"/>
      <c r="D173" s="424">
        <f>N9</f>
        <v>0.8957609796993361</v>
      </c>
      <c r="E173" s="341">
        <f>'Growth Projection'!L$18/12</f>
        <v>46.266666666666424</v>
      </c>
      <c r="F173" s="341">
        <f t="shared" si="23"/>
        <v>41.443874660755732</v>
      </c>
      <c r="G173" s="340" t="str">
        <f t="shared" si="26"/>
        <v/>
      </c>
      <c r="H173" s="341">
        <f t="shared" si="27"/>
        <v>51.275416527165802</v>
      </c>
      <c r="I173" s="341">
        <f t="shared" si="28"/>
        <v>30.553479196787936</v>
      </c>
      <c r="J173" s="341">
        <f t="shared" si="29"/>
        <v>71.997353857543672</v>
      </c>
      <c r="K173" s="341">
        <f t="shared" si="30"/>
        <v>30.55347919678794</v>
      </c>
      <c r="L173" s="341">
        <f t="shared" si="25"/>
        <v>41.443874660755732</v>
      </c>
      <c r="N173" s="82"/>
      <c r="O173" s="82"/>
    </row>
    <row r="174" spans="1:15" x14ac:dyDescent="0.35">
      <c r="A174" s="338">
        <v>46874</v>
      </c>
      <c r="B174" s="339"/>
      <c r="C174" s="340"/>
      <c r="D174" s="424">
        <f>N5</f>
        <v>1.0535078872629693</v>
      </c>
      <c r="E174" s="341">
        <f>'Growth Projection'!L$18/12</f>
        <v>46.266666666666424</v>
      </c>
      <c r="F174" s="341">
        <f t="shared" si="23"/>
        <v>48.74229825069979</v>
      </c>
      <c r="G174" s="340" t="str">
        <f t="shared" si="26"/>
        <v/>
      </c>
      <c r="H174" s="341">
        <f t="shared" si="27"/>
        <v>60.305211946377469</v>
      </c>
      <c r="I174" s="341">
        <f t="shared" si="28"/>
        <v>35.934062821027574</v>
      </c>
      <c r="J174" s="341">
        <f t="shared" si="29"/>
        <v>84.676361071727371</v>
      </c>
      <c r="K174" s="341">
        <f t="shared" si="30"/>
        <v>30.55347919678794</v>
      </c>
      <c r="L174" s="341">
        <f t="shared" si="25"/>
        <v>54.122881874939431</v>
      </c>
      <c r="N174" s="82"/>
      <c r="O174" s="82"/>
    </row>
    <row r="175" spans="1:15" x14ac:dyDescent="0.35">
      <c r="A175" s="338">
        <v>46905</v>
      </c>
      <c r="B175" s="339"/>
      <c r="C175" s="340"/>
      <c r="D175" s="424">
        <f>N7</f>
        <v>1.1344907639187414</v>
      </c>
      <c r="E175" s="341">
        <f>'Growth Projection'!L$18/12</f>
        <v>46.266666666666424</v>
      </c>
      <c r="F175" s="341">
        <f t="shared" si="23"/>
        <v>52.489106010640157</v>
      </c>
      <c r="G175" s="340" t="str">
        <f t="shared" si="26"/>
        <v/>
      </c>
      <c r="H175" s="341">
        <f t="shared" si="27"/>
        <v>64.940857867777808</v>
      </c>
      <c r="I175" s="341">
        <f t="shared" si="28"/>
        <v>38.69630486245773</v>
      </c>
      <c r="J175" s="341">
        <f t="shared" si="29"/>
        <v>91.185410873097879</v>
      </c>
      <c r="K175" s="341">
        <f t="shared" si="30"/>
        <v>35.934062821027581</v>
      </c>
      <c r="L175" s="341">
        <f t="shared" si="25"/>
        <v>55.251348052070298</v>
      </c>
      <c r="N175" s="82"/>
      <c r="O175" s="82"/>
    </row>
    <row r="176" spans="1:15" x14ac:dyDescent="0.35">
      <c r="A176" s="338">
        <v>46935</v>
      </c>
      <c r="B176" s="339"/>
      <c r="C176" s="340"/>
      <c r="D176" s="424">
        <f>N9</f>
        <v>0.8957609796993361</v>
      </c>
      <c r="E176" s="341">
        <f>'Growth Projection'!L$18/12</f>
        <v>46.266666666666424</v>
      </c>
      <c r="F176" s="341">
        <f t="shared" si="23"/>
        <v>41.443874660755732</v>
      </c>
      <c r="G176" s="340" t="str">
        <f t="shared" si="26"/>
        <v/>
      </c>
      <c r="H176" s="341">
        <f t="shared" si="27"/>
        <v>51.275416527165802</v>
      </c>
      <c r="I176" s="341">
        <f t="shared" si="28"/>
        <v>30.553479196787936</v>
      </c>
      <c r="J176" s="341">
        <f t="shared" si="29"/>
        <v>71.997353857543672</v>
      </c>
      <c r="K176" s="341">
        <f t="shared" si="30"/>
        <v>38.696304862457723</v>
      </c>
      <c r="L176" s="341">
        <f t="shared" si="25"/>
        <v>33.301048995085949</v>
      </c>
      <c r="N176" s="82"/>
      <c r="O176" s="82"/>
    </row>
    <row r="177" spans="1:15" x14ac:dyDescent="0.35">
      <c r="A177" s="338">
        <v>46966</v>
      </c>
      <c r="B177" s="339"/>
      <c r="C177" s="340"/>
      <c r="D177" s="424">
        <f>N9</f>
        <v>0.8957609796993361</v>
      </c>
      <c r="E177" s="341">
        <f>'Growth Projection'!L$18/12</f>
        <v>46.266666666666424</v>
      </c>
      <c r="F177" s="341">
        <f t="shared" si="23"/>
        <v>41.443874660755732</v>
      </c>
      <c r="G177" s="340" t="str">
        <f t="shared" si="26"/>
        <v/>
      </c>
      <c r="H177" s="341">
        <f t="shared" si="27"/>
        <v>51.275416527165802</v>
      </c>
      <c r="I177" s="341">
        <f t="shared" si="28"/>
        <v>30.553479196787936</v>
      </c>
      <c r="J177" s="341">
        <f t="shared" si="29"/>
        <v>71.997353857543672</v>
      </c>
      <c r="K177" s="341">
        <f t="shared" si="30"/>
        <v>30.55347919678794</v>
      </c>
      <c r="L177" s="341">
        <f t="shared" si="25"/>
        <v>41.443874660755732</v>
      </c>
      <c r="N177" s="82"/>
      <c r="O177" s="82"/>
    </row>
    <row r="178" spans="1:15" x14ac:dyDescent="0.35">
      <c r="A178" s="338">
        <v>46997</v>
      </c>
      <c r="B178" s="339"/>
      <c r="C178" s="340"/>
      <c r="D178" s="424">
        <f>N9</f>
        <v>0.8957609796993361</v>
      </c>
      <c r="E178" s="341">
        <f>'Growth Projection'!L$18/12</f>
        <v>46.266666666666424</v>
      </c>
      <c r="F178" s="341">
        <f t="shared" si="23"/>
        <v>41.443874660755732</v>
      </c>
      <c r="G178" s="340" t="str">
        <f t="shared" si="26"/>
        <v/>
      </c>
      <c r="H178" s="341">
        <f t="shared" si="27"/>
        <v>51.275416527165802</v>
      </c>
      <c r="I178" s="341">
        <f t="shared" si="28"/>
        <v>30.553479196787936</v>
      </c>
      <c r="J178" s="341">
        <f t="shared" si="29"/>
        <v>71.997353857543672</v>
      </c>
      <c r="K178" s="341">
        <f t="shared" si="30"/>
        <v>30.55347919678794</v>
      </c>
      <c r="L178" s="341">
        <f t="shared" si="25"/>
        <v>41.443874660755732</v>
      </c>
      <c r="N178" s="82"/>
      <c r="O178" s="82"/>
    </row>
    <row r="179" spans="1:15" x14ac:dyDescent="0.35">
      <c r="A179" s="338">
        <v>47027</v>
      </c>
      <c r="B179" s="339"/>
      <c r="C179" s="340"/>
      <c r="D179" s="424">
        <f>N9</f>
        <v>0.8957609796993361</v>
      </c>
      <c r="E179" s="341">
        <f>'Growth Projection'!L$18/12</f>
        <v>46.266666666666424</v>
      </c>
      <c r="F179" s="341">
        <f t="shared" si="23"/>
        <v>41.443874660755732</v>
      </c>
      <c r="G179" s="340" t="str">
        <f t="shared" si="26"/>
        <v/>
      </c>
      <c r="H179" s="341">
        <f t="shared" si="27"/>
        <v>51.275416527165802</v>
      </c>
      <c r="I179" s="341">
        <f t="shared" si="28"/>
        <v>30.553479196787936</v>
      </c>
      <c r="J179" s="341">
        <f t="shared" si="29"/>
        <v>71.997353857543672</v>
      </c>
      <c r="K179" s="341">
        <f t="shared" si="30"/>
        <v>30.55347919678794</v>
      </c>
      <c r="L179" s="341">
        <f t="shared" si="25"/>
        <v>41.443874660755732</v>
      </c>
      <c r="N179" s="82"/>
      <c r="O179" s="82"/>
    </row>
    <row r="180" spans="1:15" x14ac:dyDescent="0.35">
      <c r="A180" s="338">
        <v>47058</v>
      </c>
      <c r="B180" s="339"/>
      <c r="C180" s="340"/>
      <c r="D180" s="424">
        <f>N9</f>
        <v>0.8957609796993361</v>
      </c>
      <c r="E180" s="341">
        <f>'Growth Projection'!L$18/12</f>
        <v>46.266666666666424</v>
      </c>
      <c r="F180" s="341">
        <f t="shared" si="23"/>
        <v>41.443874660755732</v>
      </c>
      <c r="G180" s="340" t="str">
        <f t="shared" si="26"/>
        <v/>
      </c>
      <c r="H180" s="341">
        <f t="shared" si="27"/>
        <v>51.275416527165802</v>
      </c>
      <c r="I180" s="341">
        <f t="shared" si="28"/>
        <v>30.553479196787936</v>
      </c>
      <c r="J180" s="341">
        <f t="shared" si="29"/>
        <v>71.997353857543672</v>
      </c>
      <c r="K180" s="341">
        <f t="shared" si="30"/>
        <v>30.55347919678794</v>
      </c>
      <c r="L180" s="341">
        <f t="shared" si="25"/>
        <v>41.443874660755732</v>
      </c>
      <c r="N180" s="82"/>
      <c r="O180" s="82"/>
    </row>
    <row r="181" spans="1:15" x14ac:dyDescent="0.35">
      <c r="A181" s="338">
        <v>47088</v>
      </c>
      <c r="B181" s="339"/>
      <c r="C181" s="340"/>
      <c r="D181" s="424">
        <f>N8</f>
        <v>1.7350486713019757</v>
      </c>
      <c r="E181" s="341">
        <f>'Growth Projection'!L$18/12</f>
        <v>46.266666666666424</v>
      </c>
      <c r="F181" s="341">
        <f t="shared" si="23"/>
        <v>80.274918525570982</v>
      </c>
      <c r="G181" s="340" t="str">
        <f t="shared" si="26"/>
        <v/>
      </c>
      <c r="H181" s="341">
        <f t="shared" si="27"/>
        <v>99.318172293881091</v>
      </c>
      <c r="I181" s="341">
        <f t="shared" si="28"/>
        <v>59.1807130310956</v>
      </c>
      <c r="J181" s="341">
        <f t="shared" si="29"/>
        <v>139.45563155666659</v>
      </c>
      <c r="K181" s="341">
        <f t="shared" si="30"/>
        <v>30.55347919678794</v>
      </c>
      <c r="L181" s="341">
        <f t="shared" si="25"/>
        <v>108.90215235987864</v>
      </c>
      <c r="N181" s="82"/>
      <c r="O181" s="82"/>
    </row>
    <row r="182" spans="1:15" x14ac:dyDescent="0.35">
      <c r="A182" s="171">
        <v>47119</v>
      </c>
      <c r="E182" s="109" t="str">
        <f>IFERROR(ROUND(TREND(D$14:D$181,A$14:A$181,A182),0),"")</f>
        <v/>
      </c>
      <c r="F182" s="109" t="str">
        <f>IFERROR(E182*N3,"")</f>
        <v/>
      </c>
      <c r="G182" s="108" t="str">
        <f>IF(C182="","",C182-N9)</f>
        <v/>
      </c>
      <c r="H182" s="109" t="str">
        <f t="shared" si="27"/>
        <v/>
      </c>
      <c r="I182" s="109" t="str">
        <f t="shared" si="28"/>
        <v/>
      </c>
      <c r="J182" s="109" t="str">
        <f t="shared" si="29"/>
        <v/>
      </c>
      <c r="K182" s="109"/>
      <c r="L182" s="109" t="str">
        <f t="shared" si="25"/>
        <v/>
      </c>
    </row>
    <row r="183" spans="1:15" x14ac:dyDescent="0.35">
      <c r="A183" s="171">
        <v>47150</v>
      </c>
      <c r="E183" s="109" t="str">
        <f t="shared" ref="E183:E193" si="31">IFERROR(ROUND(TREND(D$14:D$181,A$14:A$181,A183),0),"")</f>
        <v/>
      </c>
      <c r="F183" s="109" t="str">
        <f>IFERROR(E183*(N4+N3+N6-200%),"")</f>
        <v/>
      </c>
      <c r="G183" s="108" t="str">
        <f>IF(C183="","",C183-((N3+N4+N6-200%)))</f>
        <v/>
      </c>
      <c r="H183" s="109" t="str">
        <f t="shared" si="27"/>
        <v/>
      </c>
      <c r="I183" s="109" t="str">
        <f t="shared" si="28"/>
        <v/>
      </c>
      <c r="J183" s="109" t="str">
        <f t="shared" si="29"/>
        <v/>
      </c>
      <c r="K183" s="109" t="str">
        <f t="shared" ref="K183:K205" si="32">IFERROR(K182+L182-F182,"")</f>
        <v/>
      </c>
      <c r="L183" s="109" t="str">
        <f t="shared" si="25"/>
        <v/>
      </c>
    </row>
    <row r="184" spans="1:15" x14ac:dyDescent="0.35">
      <c r="A184" s="171">
        <v>47178</v>
      </c>
      <c r="E184" s="109" t="str">
        <f t="shared" si="31"/>
        <v/>
      </c>
      <c r="F184" s="109" t="str">
        <f>IFERROR(E184*N9,"")</f>
        <v/>
      </c>
      <c r="G184" s="108" t="str">
        <f>IF(C184="","",C184-N9)</f>
        <v/>
      </c>
      <c r="H184" s="109" t="str">
        <f t="shared" si="27"/>
        <v/>
      </c>
      <c r="I184" s="109" t="str">
        <f t="shared" si="28"/>
        <v/>
      </c>
      <c r="J184" s="109" t="str">
        <f t="shared" si="29"/>
        <v/>
      </c>
      <c r="K184" s="109" t="str">
        <f t="shared" si="32"/>
        <v/>
      </c>
      <c r="L184" s="109" t="str">
        <f t="shared" si="25"/>
        <v/>
      </c>
    </row>
    <row r="185" spans="1:15" x14ac:dyDescent="0.35">
      <c r="A185" s="171">
        <v>47209</v>
      </c>
      <c r="E185" s="109" t="str">
        <f t="shared" si="31"/>
        <v/>
      </c>
      <c r="F185" s="109" t="str">
        <f>IFERROR(E185*N12,"")</f>
        <v/>
      </c>
      <c r="G185" s="108" t="str">
        <f>IF(C185="","",C185-N9)</f>
        <v/>
      </c>
      <c r="H185" s="109" t="str">
        <f t="shared" si="27"/>
        <v/>
      </c>
      <c r="I185" s="109" t="str">
        <f t="shared" si="28"/>
        <v/>
      </c>
      <c r="J185" s="109" t="str">
        <f t="shared" si="29"/>
        <v/>
      </c>
      <c r="K185" s="109" t="str">
        <f t="shared" si="32"/>
        <v/>
      </c>
      <c r="L185" s="109" t="str">
        <f t="shared" si="25"/>
        <v/>
      </c>
    </row>
    <row r="186" spans="1:15" x14ac:dyDescent="0.35">
      <c r="A186" s="171">
        <v>47239</v>
      </c>
      <c r="E186" s="109" t="str">
        <f t="shared" si="31"/>
        <v/>
      </c>
      <c r="F186" s="109" t="str">
        <f>IFERROR(E186*N5,"")</f>
        <v/>
      </c>
      <c r="G186" s="108" t="str">
        <f>IF(C186="","",C186-N5)</f>
        <v/>
      </c>
      <c r="H186" s="109" t="str">
        <f t="shared" si="27"/>
        <v/>
      </c>
      <c r="I186" s="109" t="str">
        <f t="shared" si="28"/>
        <v/>
      </c>
      <c r="J186" s="109" t="str">
        <f t="shared" si="29"/>
        <v/>
      </c>
      <c r="K186" s="109" t="str">
        <f t="shared" si="32"/>
        <v/>
      </c>
      <c r="L186" s="109" t="str">
        <f t="shared" si="25"/>
        <v/>
      </c>
    </row>
    <row r="187" spans="1:15" x14ac:dyDescent="0.35">
      <c r="A187" s="171">
        <v>47270</v>
      </c>
      <c r="E187" s="109" t="str">
        <f t="shared" si="31"/>
        <v/>
      </c>
      <c r="F187" s="109" t="str">
        <f>IFERROR(E187*N9,"")</f>
        <v/>
      </c>
      <c r="G187" s="108" t="str">
        <f>IF(C187="","",C187-N7)</f>
        <v/>
      </c>
      <c r="H187" s="109" t="str">
        <f t="shared" si="27"/>
        <v/>
      </c>
      <c r="I187" s="109" t="str">
        <f t="shared" si="28"/>
        <v/>
      </c>
      <c r="J187" s="109" t="str">
        <f t="shared" si="29"/>
        <v/>
      </c>
      <c r="K187" s="109" t="str">
        <f t="shared" si="32"/>
        <v/>
      </c>
      <c r="L187" s="109" t="str">
        <f t="shared" si="25"/>
        <v/>
      </c>
    </row>
    <row r="188" spans="1:15" x14ac:dyDescent="0.35">
      <c r="A188" s="171">
        <v>47300</v>
      </c>
      <c r="E188" s="109" t="str">
        <f t="shared" si="31"/>
        <v/>
      </c>
      <c r="F188" s="109" t="str">
        <f>IFERROR(E188*N9,"")</f>
        <v/>
      </c>
      <c r="G188" s="108" t="str">
        <f>IF(C188="","",C188-N9)</f>
        <v/>
      </c>
      <c r="H188" s="109" t="str">
        <f t="shared" si="27"/>
        <v/>
      </c>
      <c r="I188" s="109" t="str">
        <f t="shared" si="28"/>
        <v/>
      </c>
      <c r="J188" s="109" t="str">
        <f t="shared" si="29"/>
        <v/>
      </c>
      <c r="K188" s="109" t="str">
        <f t="shared" si="32"/>
        <v/>
      </c>
      <c r="L188" s="109" t="str">
        <f t="shared" si="25"/>
        <v/>
      </c>
    </row>
    <row r="189" spans="1:15" x14ac:dyDescent="0.35">
      <c r="A189" s="171">
        <v>47331</v>
      </c>
      <c r="E189" s="109" t="str">
        <f t="shared" si="31"/>
        <v/>
      </c>
      <c r="F189" s="109" t="str">
        <f>IFERROR(E189*N9,"")</f>
        <v/>
      </c>
      <c r="G189" s="108" t="str">
        <f>IF(C189="","",C189-N9)</f>
        <v/>
      </c>
      <c r="H189" s="109" t="str">
        <f t="shared" si="27"/>
        <v/>
      </c>
      <c r="I189" s="109" t="str">
        <f t="shared" si="28"/>
        <v/>
      </c>
      <c r="J189" s="109" t="str">
        <f t="shared" si="29"/>
        <v/>
      </c>
      <c r="K189" s="109" t="str">
        <f t="shared" si="32"/>
        <v/>
      </c>
      <c r="L189" s="109" t="str">
        <f t="shared" si="25"/>
        <v/>
      </c>
    </row>
    <row r="190" spans="1:15" x14ac:dyDescent="0.35">
      <c r="A190" s="171">
        <v>47362</v>
      </c>
      <c r="E190" s="109" t="str">
        <f t="shared" si="31"/>
        <v/>
      </c>
      <c r="F190" s="109" t="str">
        <f>IFERROR(E190*N9,"")</f>
        <v/>
      </c>
      <c r="G190" s="108" t="str">
        <f>IF(C190="","",C190-N9)</f>
        <v/>
      </c>
      <c r="H190" s="109" t="str">
        <f t="shared" ref="H190:H205" si="33">IFERROR(F190+2*N$12*F190,"")</f>
        <v/>
      </c>
      <c r="I190" s="109" t="str">
        <f t="shared" ref="I190:I205" si="34">IFERROR(IF(OR(ISBLANK(H190),ISBLANK(F190)),"",(H190*N$14)-(N$13*F190)),"")</f>
        <v/>
      </c>
      <c r="J190" s="109" t="str">
        <f t="shared" ref="J190:J205" si="35">IFERROR(F190+I190,"")</f>
        <v/>
      </c>
      <c r="K190" s="109" t="str">
        <f t="shared" si="32"/>
        <v/>
      </c>
      <c r="L190" s="109" t="str">
        <f t="shared" si="25"/>
        <v/>
      </c>
    </row>
    <row r="191" spans="1:15" x14ac:dyDescent="0.35">
      <c r="A191" s="171">
        <v>47392</v>
      </c>
      <c r="E191" s="109" t="str">
        <f t="shared" si="31"/>
        <v/>
      </c>
      <c r="F191" s="109" t="str">
        <f>IFERROR(E191*N9,"")</f>
        <v/>
      </c>
      <c r="G191" s="108" t="str">
        <f>IF(C191="","",C191-N9)</f>
        <v/>
      </c>
      <c r="H191" s="109" t="str">
        <f t="shared" si="33"/>
        <v/>
      </c>
      <c r="I191" s="109" t="str">
        <f t="shared" si="34"/>
        <v/>
      </c>
      <c r="J191" s="109" t="str">
        <f t="shared" si="35"/>
        <v/>
      </c>
      <c r="K191" s="109" t="str">
        <f t="shared" si="32"/>
        <v/>
      </c>
      <c r="L191" s="109" t="str">
        <f t="shared" ref="L191:L205" si="36">IF(OR(J191="",K191=""),"",IF(J191&gt;K191,J191-K191,0))</f>
        <v/>
      </c>
    </row>
    <row r="192" spans="1:15" x14ac:dyDescent="0.35">
      <c r="A192" s="171">
        <v>47423</v>
      </c>
      <c r="E192" s="109" t="str">
        <f t="shared" si="31"/>
        <v/>
      </c>
      <c r="F192" s="109" t="str">
        <f>IFERROR(E192*N9,"")</f>
        <v/>
      </c>
      <c r="G192" s="108" t="str">
        <f>IF(C192="","",C192-N9)</f>
        <v/>
      </c>
      <c r="H192" s="109" t="str">
        <f t="shared" si="33"/>
        <v/>
      </c>
      <c r="I192" s="109" t="str">
        <f t="shared" si="34"/>
        <v/>
      </c>
      <c r="J192" s="109" t="str">
        <f t="shared" si="35"/>
        <v/>
      </c>
      <c r="K192" s="109" t="str">
        <f t="shared" si="32"/>
        <v/>
      </c>
      <c r="L192" s="109" t="str">
        <f t="shared" si="36"/>
        <v/>
      </c>
    </row>
    <row r="193" spans="1:12" x14ac:dyDescent="0.35">
      <c r="A193" s="171">
        <v>47453</v>
      </c>
      <c r="E193" s="109" t="str">
        <f t="shared" si="31"/>
        <v/>
      </c>
      <c r="F193" s="109" t="str">
        <f>IFERROR(E193*N8,"")</f>
        <v/>
      </c>
      <c r="G193" s="108" t="str">
        <f>IF(C193="","",C193-N8)</f>
        <v/>
      </c>
      <c r="H193" s="109" t="str">
        <f t="shared" si="33"/>
        <v/>
      </c>
      <c r="I193" s="109" t="str">
        <f t="shared" si="34"/>
        <v/>
      </c>
      <c r="J193" s="109" t="str">
        <f t="shared" si="35"/>
        <v/>
      </c>
      <c r="K193" s="109" t="str">
        <f t="shared" si="32"/>
        <v/>
      </c>
      <c r="L193" s="109" t="str">
        <f t="shared" si="36"/>
        <v/>
      </c>
    </row>
    <row r="194" spans="1:12" x14ac:dyDescent="0.35">
      <c r="A194" s="171">
        <v>47484</v>
      </c>
      <c r="E194" s="109" t="str">
        <f>IFERROR(ROUND(TREND(D$14:D$193,A$14:A$193,A194),0),"")</f>
        <v/>
      </c>
      <c r="F194" s="109" t="str">
        <f>IFERROR(E194*N9,"")</f>
        <v/>
      </c>
      <c r="G194" s="108" t="str">
        <f>IF(C194="","",C194-N9)</f>
        <v/>
      </c>
      <c r="H194" s="109" t="str">
        <f t="shared" si="33"/>
        <v/>
      </c>
      <c r="I194" s="109" t="str">
        <f t="shared" si="34"/>
        <v/>
      </c>
      <c r="J194" s="109" t="str">
        <f t="shared" si="35"/>
        <v/>
      </c>
      <c r="K194" s="109" t="str">
        <f t="shared" si="32"/>
        <v/>
      </c>
      <c r="L194" s="109" t="str">
        <f t="shared" si="36"/>
        <v/>
      </c>
    </row>
    <row r="195" spans="1:12" x14ac:dyDescent="0.35">
      <c r="A195" s="171">
        <v>47515</v>
      </c>
      <c r="E195" s="109" t="str">
        <f t="shared" ref="E195:E205" si="37">IFERROR(ROUND(TREND(D$14:D$193,A$14:A$193,A195),0),"")</f>
        <v/>
      </c>
      <c r="F195" s="109" t="str">
        <f>IFERROR(E195*(N3+N4+N6-200%),"")</f>
        <v/>
      </c>
      <c r="G195" s="108" t="str">
        <f>IF(C195="","",(C195-N3+N4+N6-200%))</f>
        <v/>
      </c>
      <c r="H195" s="109" t="str">
        <f t="shared" si="33"/>
        <v/>
      </c>
      <c r="I195" s="109" t="str">
        <f t="shared" si="34"/>
        <v/>
      </c>
      <c r="J195" s="109" t="str">
        <f t="shared" si="35"/>
        <v/>
      </c>
      <c r="K195" s="109" t="str">
        <f t="shared" si="32"/>
        <v/>
      </c>
      <c r="L195" s="109" t="str">
        <f t="shared" si="36"/>
        <v/>
      </c>
    </row>
    <row r="196" spans="1:12" x14ac:dyDescent="0.35">
      <c r="A196" s="171">
        <v>47543</v>
      </c>
      <c r="E196" s="109" t="str">
        <f t="shared" si="37"/>
        <v/>
      </c>
      <c r="F196" s="109" t="str">
        <f>IFERROR(E196*N9,"")</f>
        <v/>
      </c>
      <c r="G196" s="108" t="str">
        <f>IF(C196="","",C196-N9)</f>
        <v/>
      </c>
      <c r="H196" s="109" t="str">
        <f t="shared" si="33"/>
        <v/>
      </c>
      <c r="I196" s="109" t="str">
        <f t="shared" si="34"/>
        <v/>
      </c>
      <c r="J196" s="109" t="str">
        <f t="shared" si="35"/>
        <v/>
      </c>
      <c r="K196" s="109" t="str">
        <f t="shared" si="32"/>
        <v/>
      </c>
      <c r="L196" s="109" t="str">
        <f t="shared" si="36"/>
        <v/>
      </c>
    </row>
    <row r="197" spans="1:12" x14ac:dyDescent="0.35">
      <c r="A197" s="171">
        <v>47574</v>
      </c>
      <c r="E197" s="109" t="str">
        <f t="shared" si="37"/>
        <v/>
      </c>
      <c r="F197" s="109" t="str">
        <f>IFERROR(E197*N9,"")</f>
        <v/>
      </c>
      <c r="G197" s="108" t="str">
        <f>IF(C197="","",C197-N9)</f>
        <v/>
      </c>
      <c r="H197" s="109" t="str">
        <f t="shared" si="33"/>
        <v/>
      </c>
      <c r="I197" s="109" t="str">
        <f t="shared" si="34"/>
        <v/>
      </c>
      <c r="J197" s="109" t="str">
        <f t="shared" si="35"/>
        <v/>
      </c>
      <c r="K197" s="109" t="str">
        <f t="shared" si="32"/>
        <v/>
      </c>
      <c r="L197" s="109" t="str">
        <f t="shared" si="36"/>
        <v/>
      </c>
    </row>
    <row r="198" spans="1:12" x14ac:dyDescent="0.35">
      <c r="A198" s="171">
        <v>47604</v>
      </c>
      <c r="E198" s="109" t="str">
        <f t="shared" si="37"/>
        <v/>
      </c>
      <c r="F198" s="109" t="str">
        <f>IFERROR(E198*N5,"")</f>
        <v/>
      </c>
      <c r="G198" s="108" t="str">
        <f>IF(C198="","",C198-N5)</f>
        <v/>
      </c>
      <c r="H198" s="109" t="str">
        <f t="shared" si="33"/>
        <v/>
      </c>
      <c r="I198" s="109" t="str">
        <f t="shared" si="34"/>
        <v/>
      </c>
      <c r="J198" s="109" t="str">
        <f t="shared" si="35"/>
        <v/>
      </c>
      <c r="K198" s="109" t="str">
        <f t="shared" si="32"/>
        <v/>
      </c>
      <c r="L198" s="109" t="str">
        <f t="shared" si="36"/>
        <v/>
      </c>
    </row>
    <row r="199" spans="1:12" x14ac:dyDescent="0.35">
      <c r="A199" s="171">
        <v>47635</v>
      </c>
      <c r="E199" s="109" t="str">
        <f t="shared" si="37"/>
        <v/>
      </c>
      <c r="F199" s="109" t="str">
        <f>IFERROR(E199*N7,"")</f>
        <v/>
      </c>
      <c r="G199" s="108" t="str">
        <f>IF(C199="","",C199-N7)</f>
        <v/>
      </c>
      <c r="H199" s="109" t="str">
        <f t="shared" si="33"/>
        <v/>
      </c>
      <c r="I199" s="109" t="str">
        <f t="shared" si="34"/>
        <v/>
      </c>
      <c r="J199" s="109" t="str">
        <f t="shared" si="35"/>
        <v/>
      </c>
      <c r="K199" s="109" t="str">
        <f t="shared" si="32"/>
        <v/>
      </c>
      <c r="L199" s="109" t="str">
        <f t="shared" si="36"/>
        <v/>
      </c>
    </row>
    <row r="200" spans="1:12" x14ac:dyDescent="0.35">
      <c r="A200" s="171">
        <v>47665</v>
      </c>
      <c r="E200" s="109" t="str">
        <f t="shared" si="37"/>
        <v/>
      </c>
      <c r="F200" s="109" t="str">
        <f>IFERROR(E200*N9,"")</f>
        <v/>
      </c>
      <c r="G200" s="108" t="str">
        <f>IF(C200="","",C200-N9)</f>
        <v/>
      </c>
      <c r="H200" s="109" t="str">
        <f t="shared" si="33"/>
        <v/>
      </c>
      <c r="I200" s="109" t="str">
        <f t="shared" si="34"/>
        <v/>
      </c>
      <c r="J200" s="109" t="str">
        <f t="shared" si="35"/>
        <v/>
      </c>
      <c r="K200" s="109" t="str">
        <f t="shared" si="32"/>
        <v/>
      </c>
      <c r="L200" s="109" t="str">
        <f t="shared" si="36"/>
        <v/>
      </c>
    </row>
    <row r="201" spans="1:12" x14ac:dyDescent="0.35">
      <c r="A201" s="171">
        <v>47696</v>
      </c>
      <c r="E201" s="109" t="str">
        <f t="shared" si="37"/>
        <v/>
      </c>
      <c r="F201" s="109" t="str">
        <f>IFERROR(E201*N9,"")</f>
        <v/>
      </c>
      <c r="G201" s="108" t="str">
        <f>IF(C201="","",C201-N9)</f>
        <v/>
      </c>
      <c r="H201" s="109" t="str">
        <f t="shared" si="33"/>
        <v/>
      </c>
      <c r="I201" s="109" t="str">
        <f t="shared" si="34"/>
        <v/>
      </c>
      <c r="J201" s="109" t="str">
        <f t="shared" si="35"/>
        <v/>
      </c>
      <c r="K201" s="109" t="str">
        <f t="shared" si="32"/>
        <v/>
      </c>
      <c r="L201" s="109" t="str">
        <f t="shared" si="36"/>
        <v/>
      </c>
    </row>
    <row r="202" spans="1:12" x14ac:dyDescent="0.35">
      <c r="A202" s="171">
        <v>47727</v>
      </c>
      <c r="E202" s="109" t="str">
        <f t="shared" si="37"/>
        <v/>
      </c>
      <c r="F202" s="109" t="str">
        <f>IFERROR(E202*N9,"")</f>
        <v/>
      </c>
      <c r="G202" s="108" t="str">
        <f>IF(C202="","",C202-N9)</f>
        <v/>
      </c>
      <c r="H202" s="109" t="str">
        <f t="shared" si="33"/>
        <v/>
      </c>
      <c r="I202" s="109" t="str">
        <f t="shared" si="34"/>
        <v/>
      </c>
      <c r="J202" s="109" t="str">
        <f t="shared" si="35"/>
        <v/>
      </c>
      <c r="K202" s="109" t="str">
        <f t="shared" si="32"/>
        <v/>
      </c>
      <c r="L202" s="109" t="str">
        <f t="shared" si="36"/>
        <v/>
      </c>
    </row>
    <row r="203" spans="1:12" x14ac:dyDescent="0.35">
      <c r="A203" s="171">
        <v>47757</v>
      </c>
      <c r="E203" s="109" t="str">
        <f t="shared" si="37"/>
        <v/>
      </c>
      <c r="F203" s="109" t="str">
        <f>IFERROR(E203*N9,"")</f>
        <v/>
      </c>
      <c r="G203" s="108" t="str">
        <f>IF(C203="","",C203-N9)</f>
        <v/>
      </c>
      <c r="H203" s="109" t="str">
        <f t="shared" si="33"/>
        <v/>
      </c>
      <c r="I203" s="109" t="str">
        <f t="shared" si="34"/>
        <v/>
      </c>
      <c r="J203" s="109" t="str">
        <f t="shared" si="35"/>
        <v/>
      </c>
      <c r="K203" s="109" t="str">
        <f t="shared" si="32"/>
        <v/>
      </c>
      <c r="L203" s="109" t="str">
        <f t="shared" si="36"/>
        <v/>
      </c>
    </row>
    <row r="204" spans="1:12" x14ac:dyDescent="0.35">
      <c r="A204" s="171">
        <v>47788</v>
      </c>
      <c r="E204" s="109" t="str">
        <f t="shared" si="37"/>
        <v/>
      </c>
      <c r="F204" s="109" t="str">
        <f>IFERROR(E204*N9,"")</f>
        <v/>
      </c>
      <c r="G204" s="108" t="str">
        <f>IF(C204="","",C204-N9)</f>
        <v/>
      </c>
      <c r="H204" s="109" t="str">
        <f t="shared" si="33"/>
        <v/>
      </c>
      <c r="I204" s="109" t="str">
        <f t="shared" si="34"/>
        <v/>
      </c>
      <c r="J204" s="109" t="str">
        <f t="shared" si="35"/>
        <v/>
      </c>
      <c r="K204" s="109" t="str">
        <f t="shared" si="32"/>
        <v/>
      </c>
      <c r="L204" s="109" t="str">
        <f t="shared" si="36"/>
        <v/>
      </c>
    </row>
    <row r="205" spans="1:12" x14ac:dyDescent="0.35">
      <c r="A205" s="171">
        <v>47818</v>
      </c>
      <c r="E205" s="109" t="str">
        <f t="shared" si="37"/>
        <v/>
      </c>
      <c r="F205" s="109" t="str">
        <f>IFERROR(E205*N8,"")</f>
        <v/>
      </c>
      <c r="G205" s="108" t="str">
        <f>IF(C205="","",C205-N8)</f>
        <v/>
      </c>
      <c r="H205" s="109" t="str">
        <f t="shared" si="33"/>
        <v/>
      </c>
      <c r="I205" s="109" t="str">
        <f t="shared" si="34"/>
        <v/>
      </c>
      <c r="J205" s="109" t="str">
        <f t="shared" si="35"/>
        <v/>
      </c>
      <c r="K205" s="109" t="str">
        <f t="shared" si="32"/>
        <v/>
      </c>
      <c r="L205" s="109" t="str">
        <f t="shared" si="36"/>
        <v/>
      </c>
    </row>
  </sheetData>
  <sheetProtection algorithmName="SHA-512" hashValue="SMdaesstU2Gw+SSUBRAloGoERmJtFNvikl4mdn+L7FWRz1Czcm7bEf2Jhlm0ADjnq/T9Lf365coWycuc+ewCyw==" saltValue="4JwFARs5fGiUidfU+oUQmg==" spinCount="100000" sheet="1" objects="1" scenarios="1"/>
  <conditionalFormatting sqref="J206:J1048576">
    <cfRule type="expression" dxfId="3" priority="7">
      <formula>Formatformulas</formula>
    </cfRule>
  </conditionalFormatting>
  <conditionalFormatting sqref="K182:K205">
    <cfRule type="expression" dxfId="2" priority="6">
      <formula>Formatformulas</formula>
    </cfRule>
  </conditionalFormatting>
  <conditionalFormatting sqref="K1">
    <cfRule type="expression" dxfId="1" priority="4">
      <formula>Formatformulas</formula>
    </cfRule>
  </conditionalFormatting>
  <conditionalFormatting sqref="K62:K73">
    <cfRule type="expression" dxfId="0" priority="1">
      <formula>Formatformulas</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F4736-4A49-48C5-B15F-E7A843BCB269}">
  <sheetPr codeName="Sheet23">
    <tabColor rgb="FF002060"/>
  </sheetPr>
  <dimension ref="C1:AR44"/>
  <sheetViews>
    <sheetView showGridLines="0" topLeftCell="A3" zoomScale="49" zoomScaleNormal="100" workbookViewId="0">
      <selection activeCell="O35" sqref="O35"/>
    </sheetView>
  </sheetViews>
  <sheetFormatPr defaultColWidth="8.83203125" defaultRowHeight="14.5" x14ac:dyDescent="0.35"/>
  <cols>
    <col min="1" max="1" width="8.83203125" style="275"/>
    <col min="2" max="2" width="8.33203125" style="275" customWidth="1"/>
    <col min="3" max="3" width="6.83203125" style="275" bestFit="1" customWidth="1"/>
    <col min="4" max="4" width="8.58203125" style="275" bestFit="1" customWidth="1"/>
    <col min="5" max="5" width="9.33203125" style="275" bestFit="1" customWidth="1"/>
    <col min="6" max="6" width="13.08203125" style="275" bestFit="1" customWidth="1"/>
    <col min="7" max="7" width="12.5" style="275" bestFit="1" customWidth="1"/>
    <col min="8" max="8" width="12.33203125" style="275" bestFit="1" customWidth="1"/>
    <col min="9" max="9" width="9.83203125" style="275" customWidth="1"/>
    <col min="10" max="10" width="9" style="275" bestFit="1" customWidth="1"/>
    <col min="11" max="11" width="19" style="275" bestFit="1" customWidth="1"/>
    <col min="12" max="12" width="10.58203125" style="275" bestFit="1" customWidth="1"/>
    <col min="13" max="13" width="11.33203125" style="275" bestFit="1" customWidth="1"/>
    <col min="14" max="14" width="8.83203125" style="275" bestFit="1" customWidth="1"/>
    <col min="15" max="15" width="10.33203125" style="275" bestFit="1" customWidth="1"/>
    <col min="16" max="16" width="10.08203125" style="275" bestFit="1" customWidth="1"/>
    <col min="17" max="17" width="19" style="275" bestFit="1" customWidth="1"/>
    <col min="18" max="18" width="9.33203125" style="275" customWidth="1"/>
    <col min="19" max="19" width="13.08203125" style="275" bestFit="1" customWidth="1"/>
    <col min="20" max="20" width="12.5" style="275" bestFit="1" customWidth="1"/>
    <col min="21" max="21" width="12.33203125" style="275" bestFit="1" customWidth="1"/>
    <col min="22" max="22" width="9.83203125" style="275" customWidth="1"/>
    <col min="23" max="23" width="9" style="275" bestFit="1" customWidth="1"/>
    <col min="24" max="24" width="12.83203125" style="275" bestFit="1" customWidth="1"/>
    <col min="25" max="25" width="10.58203125" style="275" bestFit="1" customWidth="1"/>
    <col min="26" max="26" width="11.33203125" style="275" bestFit="1" customWidth="1"/>
    <col min="27" max="27" width="8.83203125" style="275" bestFit="1" customWidth="1"/>
    <col min="28" max="28" width="10.33203125" style="275" bestFit="1" customWidth="1"/>
    <col min="29" max="29" width="10.08203125" style="275" bestFit="1" customWidth="1"/>
    <col min="30" max="30" width="22.33203125" style="275" bestFit="1" customWidth="1"/>
    <col min="31" max="31" width="22.08203125" style="275" bestFit="1" customWidth="1"/>
    <col min="32" max="32" width="19.5" style="275" bestFit="1" customWidth="1"/>
    <col min="33" max="33" width="22.5" style="275" bestFit="1" customWidth="1"/>
    <col min="34" max="41" width="8.83203125" style="275"/>
    <col min="42" max="42" width="36.33203125" style="275" customWidth="1"/>
    <col min="43" max="43" width="58.33203125" style="275" customWidth="1"/>
    <col min="44" max="44" width="36.33203125" style="275" customWidth="1"/>
    <col min="45" max="16384" width="8.83203125" style="275"/>
  </cols>
  <sheetData>
    <row r="1" spans="3:44" ht="15.5" x14ac:dyDescent="0.35">
      <c r="AP1" s="299" t="s">
        <v>342</v>
      </c>
      <c r="AQ1" s="300"/>
      <c r="AR1" s="301"/>
    </row>
    <row r="2" spans="3:44" ht="15.5" x14ac:dyDescent="0.35">
      <c r="C2" s="276" t="s">
        <v>252</v>
      </c>
      <c r="D2" s="277"/>
      <c r="F2" s="549" t="s">
        <v>816</v>
      </c>
      <c r="G2" s="550"/>
      <c r="H2" s="550"/>
      <c r="I2" s="550"/>
      <c r="J2" s="550"/>
      <c r="K2" s="550"/>
      <c r="L2" s="550"/>
      <c r="M2" s="550"/>
      <c r="N2" s="550"/>
      <c r="O2" s="550"/>
      <c r="P2" s="550"/>
      <c r="Q2" s="550"/>
      <c r="R2" s="550"/>
      <c r="S2" s="550"/>
      <c r="T2" s="550"/>
      <c r="U2" s="550"/>
      <c r="V2" s="550"/>
      <c r="W2" s="550"/>
      <c r="X2" s="550"/>
      <c r="Y2" s="550"/>
      <c r="Z2" s="550"/>
      <c r="AA2" s="550"/>
      <c r="AB2" s="550"/>
      <c r="AC2" s="550"/>
      <c r="AD2" s="550"/>
      <c r="AE2" s="550"/>
      <c r="AF2" s="550"/>
      <c r="AG2" s="550"/>
      <c r="AI2" s="355" t="s">
        <v>253</v>
      </c>
      <c r="AP2" s="302" t="s">
        <v>105</v>
      </c>
      <c r="AQ2" s="303" t="s">
        <v>107</v>
      </c>
      <c r="AR2" s="304" t="s">
        <v>106</v>
      </c>
    </row>
    <row r="3" spans="3:44" ht="15.5" x14ac:dyDescent="0.35">
      <c r="C3" s="353" t="s">
        <v>88</v>
      </c>
      <c r="D3" s="169" t="s">
        <v>222</v>
      </c>
      <c r="E3" s="169" t="s">
        <v>223</v>
      </c>
      <c r="F3" s="169" t="s">
        <v>224</v>
      </c>
      <c r="G3" s="169" t="s">
        <v>225</v>
      </c>
      <c r="H3" s="169" t="s">
        <v>226</v>
      </c>
      <c r="I3" s="169" t="s">
        <v>227</v>
      </c>
      <c r="J3" s="169" t="s">
        <v>228</v>
      </c>
      <c r="K3" s="169" t="s">
        <v>229</v>
      </c>
      <c r="L3" s="169" t="s">
        <v>230</v>
      </c>
      <c r="M3" s="169" t="s">
        <v>231</v>
      </c>
      <c r="N3" s="169" t="s">
        <v>232</v>
      </c>
      <c r="O3" s="169" t="s">
        <v>233</v>
      </c>
      <c r="P3" s="169" t="s">
        <v>234</v>
      </c>
      <c r="Q3" s="169" t="s">
        <v>235</v>
      </c>
      <c r="R3" s="169" t="s">
        <v>236</v>
      </c>
      <c r="S3" s="169" t="s">
        <v>237</v>
      </c>
      <c r="T3" s="169" t="s">
        <v>238</v>
      </c>
      <c r="U3" s="169" t="s">
        <v>239</v>
      </c>
      <c r="V3" s="169" t="s">
        <v>240</v>
      </c>
      <c r="W3" s="169" t="s">
        <v>241</v>
      </c>
      <c r="X3" s="169" t="s">
        <v>242</v>
      </c>
      <c r="Y3" s="169" t="s">
        <v>243</v>
      </c>
      <c r="Z3" s="169" t="s">
        <v>244</v>
      </c>
      <c r="AA3" s="169" t="s">
        <v>245</v>
      </c>
      <c r="AB3" s="169" t="s">
        <v>246</v>
      </c>
      <c r="AC3" s="169" t="s">
        <v>247</v>
      </c>
      <c r="AD3" s="169" t="s">
        <v>248</v>
      </c>
      <c r="AE3" s="169" t="s">
        <v>249</v>
      </c>
      <c r="AF3" s="169" t="s">
        <v>250</v>
      </c>
      <c r="AG3" s="169" t="s">
        <v>251</v>
      </c>
      <c r="AI3" s="352" t="s">
        <v>88</v>
      </c>
      <c r="AJ3" s="169" t="s">
        <v>254</v>
      </c>
      <c r="AK3" s="169" t="s">
        <v>255</v>
      </c>
      <c r="AL3" s="169" t="s">
        <v>256</v>
      </c>
      <c r="AP3" s="381" t="s">
        <v>582</v>
      </c>
      <c r="AQ3" s="311" t="s">
        <v>724</v>
      </c>
      <c r="AR3" s="382" t="s">
        <v>344</v>
      </c>
    </row>
    <row r="4" spans="3:44" x14ac:dyDescent="0.35">
      <c r="C4" s="351">
        <v>2014</v>
      </c>
      <c r="D4" s="393">
        <v>23</v>
      </c>
      <c r="E4" s="393">
        <v>25</v>
      </c>
      <c r="F4" s="393">
        <v>14</v>
      </c>
      <c r="G4" s="393">
        <v>44</v>
      </c>
      <c r="H4" s="393">
        <v>18</v>
      </c>
      <c r="I4" s="393">
        <v>17</v>
      </c>
      <c r="J4" s="393">
        <v>17</v>
      </c>
      <c r="K4" s="393">
        <v>15</v>
      </c>
      <c r="L4" s="393">
        <v>14</v>
      </c>
      <c r="M4" s="393">
        <v>15</v>
      </c>
      <c r="N4" s="393">
        <v>56</v>
      </c>
      <c r="O4" s="393">
        <v>15</v>
      </c>
      <c r="P4" s="393">
        <v>10</v>
      </c>
      <c r="Q4" s="393">
        <v>16</v>
      </c>
      <c r="R4" s="393">
        <v>19</v>
      </c>
      <c r="S4" s="393">
        <v>12</v>
      </c>
      <c r="T4" s="393">
        <v>30</v>
      </c>
      <c r="U4" s="393">
        <v>15</v>
      </c>
      <c r="V4" s="393">
        <v>13</v>
      </c>
      <c r="W4" s="393">
        <v>10</v>
      </c>
      <c r="X4" s="393">
        <v>16</v>
      </c>
      <c r="Y4" s="393">
        <v>8</v>
      </c>
      <c r="Z4" s="393">
        <v>16</v>
      </c>
      <c r="AA4" s="393">
        <v>36</v>
      </c>
      <c r="AB4" s="393">
        <v>14</v>
      </c>
      <c r="AC4" s="393">
        <v>7</v>
      </c>
      <c r="AD4" s="393">
        <v>56</v>
      </c>
      <c r="AE4" s="393">
        <v>31</v>
      </c>
      <c r="AF4" s="393">
        <v>26</v>
      </c>
      <c r="AG4" s="393">
        <v>61</v>
      </c>
      <c r="AI4" s="351">
        <v>2014</v>
      </c>
      <c r="AJ4" s="392">
        <f>'Growth Projection'!C$3</f>
        <v>283</v>
      </c>
      <c r="AK4" s="392">
        <f>'Growth Projection'!C4</f>
        <v>212</v>
      </c>
      <c r="AL4" s="392">
        <f>'Growth Projection'!C5</f>
        <v>174</v>
      </c>
      <c r="AP4" s="381" t="s">
        <v>725</v>
      </c>
      <c r="AQ4" s="311" t="s">
        <v>726</v>
      </c>
      <c r="AR4" s="383" t="str">
        <f ca="1">_xlfn.FORMULATEXT(D13)</f>
        <v>=D4/$AJ$4</v>
      </c>
    </row>
    <row r="5" spans="3:44" x14ac:dyDescent="0.35">
      <c r="C5" s="351">
        <v>2015</v>
      </c>
      <c r="D5" s="393">
        <v>65</v>
      </c>
      <c r="E5" s="393">
        <v>68</v>
      </c>
      <c r="F5" s="393">
        <v>46</v>
      </c>
      <c r="G5" s="393">
        <v>102</v>
      </c>
      <c r="H5" s="393">
        <v>57</v>
      </c>
      <c r="I5" s="393">
        <v>44</v>
      </c>
      <c r="J5" s="393">
        <v>61</v>
      </c>
      <c r="K5" s="393">
        <v>56</v>
      </c>
      <c r="L5" s="393">
        <v>41</v>
      </c>
      <c r="M5" s="393">
        <v>62</v>
      </c>
      <c r="N5" s="393">
        <v>133</v>
      </c>
      <c r="O5" s="393">
        <v>55</v>
      </c>
      <c r="P5" s="393">
        <v>39</v>
      </c>
      <c r="Q5" s="393">
        <v>57</v>
      </c>
      <c r="R5" s="393">
        <v>61</v>
      </c>
      <c r="S5" s="393">
        <v>31</v>
      </c>
      <c r="T5" s="393">
        <v>78</v>
      </c>
      <c r="U5" s="393">
        <v>53</v>
      </c>
      <c r="V5" s="393">
        <v>46</v>
      </c>
      <c r="W5" s="393">
        <v>38</v>
      </c>
      <c r="X5" s="393">
        <v>53</v>
      </c>
      <c r="Y5" s="393">
        <v>26</v>
      </c>
      <c r="Z5" s="393">
        <v>55</v>
      </c>
      <c r="AA5" s="393">
        <v>94</v>
      </c>
      <c r="AB5" s="393">
        <v>42</v>
      </c>
      <c r="AC5" s="393">
        <v>25</v>
      </c>
      <c r="AD5" s="393">
        <v>85</v>
      </c>
      <c r="AE5" s="393">
        <v>59</v>
      </c>
      <c r="AF5" s="393">
        <v>45</v>
      </c>
      <c r="AG5" s="393">
        <v>92</v>
      </c>
      <c r="AI5" s="351">
        <v>2015</v>
      </c>
      <c r="AJ5" s="392">
        <f>'Growth Projection'!D$3</f>
        <v>769</v>
      </c>
      <c r="AK5" s="392">
        <f>'Growth Projection'!D4</f>
        <v>647</v>
      </c>
      <c r="AL5" s="392">
        <f>'Growth Projection'!D5</f>
        <v>281</v>
      </c>
      <c r="AP5" s="381" t="s">
        <v>727</v>
      </c>
      <c r="AQ5" s="311" t="s">
        <v>728</v>
      </c>
      <c r="AR5" s="383" t="str">
        <f ca="1">_xlfn.FORMULATEXT(D18)</f>
        <v>=AVERAGE(D13:D17)</v>
      </c>
    </row>
    <row r="6" spans="3:44" x14ac:dyDescent="0.35">
      <c r="C6" s="351">
        <v>2016</v>
      </c>
      <c r="D6" s="393">
        <v>73</v>
      </c>
      <c r="E6" s="393">
        <v>69</v>
      </c>
      <c r="F6" s="393">
        <v>42</v>
      </c>
      <c r="G6" s="393">
        <v>117</v>
      </c>
      <c r="H6" s="393">
        <v>62</v>
      </c>
      <c r="I6" s="393">
        <v>51</v>
      </c>
      <c r="J6" s="393">
        <v>65</v>
      </c>
      <c r="K6" s="393">
        <v>59</v>
      </c>
      <c r="L6" s="393">
        <v>39</v>
      </c>
      <c r="M6" s="393">
        <v>59</v>
      </c>
      <c r="N6" s="393">
        <v>145</v>
      </c>
      <c r="O6" s="393">
        <v>59</v>
      </c>
      <c r="P6" s="393">
        <v>37</v>
      </c>
      <c r="Q6" s="393">
        <v>61</v>
      </c>
      <c r="R6" s="393">
        <v>59</v>
      </c>
      <c r="S6" s="393">
        <v>29</v>
      </c>
      <c r="T6" s="393">
        <v>95</v>
      </c>
      <c r="U6" s="393">
        <v>49</v>
      </c>
      <c r="V6" s="393">
        <v>49</v>
      </c>
      <c r="W6" s="393">
        <v>36</v>
      </c>
      <c r="X6" s="393">
        <v>49</v>
      </c>
      <c r="Y6" s="393">
        <v>35</v>
      </c>
      <c r="Z6" s="393">
        <v>53</v>
      </c>
      <c r="AA6" s="393">
        <v>115</v>
      </c>
      <c r="AB6" s="393">
        <v>60</v>
      </c>
      <c r="AC6" s="393">
        <v>38</v>
      </c>
      <c r="AD6" s="393">
        <v>81</v>
      </c>
      <c r="AE6" s="393">
        <v>64</v>
      </c>
      <c r="AF6" s="393">
        <v>48</v>
      </c>
      <c r="AG6" s="393">
        <v>93</v>
      </c>
      <c r="AI6" s="351">
        <v>2016</v>
      </c>
      <c r="AJ6" s="392">
        <f>'Growth Projection'!E$3</f>
        <v>758</v>
      </c>
      <c r="AK6" s="392">
        <f>'Growth Projection'!E4</f>
        <v>652</v>
      </c>
      <c r="AL6" s="392">
        <f>'Growth Projection'!E5</f>
        <v>286</v>
      </c>
      <c r="AP6" s="381" t="s">
        <v>729</v>
      </c>
      <c r="AQ6" s="311" t="s">
        <v>730</v>
      </c>
      <c r="AR6" s="382" t="str">
        <f ca="1">_xlfn.FORMULATEXT(AJ4)</f>
        <v>='Growth Projection'!C$3</v>
      </c>
    </row>
    <row r="7" spans="3:44" x14ac:dyDescent="0.35">
      <c r="C7" s="351">
        <v>2017</v>
      </c>
      <c r="D7" s="393">
        <v>64</v>
      </c>
      <c r="E7" s="393">
        <v>63</v>
      </c>
      <c r="F7" s="393">
        <v>39</v>
      </c>
      <c r="G7" s="393">
        <v>98</v>
      </c>
      <c r="H7" s="393">
        <v>55</v>
      </c>
      <c r="I7" s="393">
        <v>52</v>
      </c>
      <c r="J7" s="393">
        <v>56</v>
      </c>
      <c r="K7" s="393">
        <v>49</v>
      </c>
      <c r="L7" s="393">
        <v>38</v>
      </c>
      <c r="M7" s="393">
        <v>57</v>
      </c>
      <c r="N7" s="393">
        <v>126</v>
      </c>
      <c r="O7" s="393">
        <v>49</v>
      </c>
      <c r="P7" s="393">
        <v>35</v>
      </c>
      <c r="Q7" s="393">
        <v>65</v>
      </c>
      <c r="R7" s="393">
        <v>63</v>
      </c>
      <c r="S7" s="393">
        <v>35</v>
      </c>
      <c r="T7" s="393">
        <v>98</v>
      </c>
      <c r="U7" s="393">
        <v>62</v>
      </c>
      <c r="V7" s="393">
        <v>55</v>
      </c>
      <c r="W7" s="393">
        <v>47</v>
      </c>
      <c r="X7" s="393">
        <v>62</v>
      </c>
      <c r="Y7" s="393">
        <v>37</v>
      </c>
      <c r="Z7" s="393">
        <v>61</v>
      </c>
      <c r="AA7" s="393">
        <v>120</v>
      </c>
      <c r="AB7" s="393">
        <v>64</v>
      </c>
      <c r="AC7" s="393">
        <v>40</v>
      </c>
      <c r="AD7" s="393">
        <v>93</v>
      </c>
      <c r="AE7" s="393">
        <v>75</v>
      </c>
      <c r="AF7" s="393">
        <v>53</v>
      </c>
      <c r="AG7" s="393">
        <v>109</v>
      </c>
      <c r="AI7" s="351">
        <v>2017</v>
      </c>
      <c r="AJ7" s="392">
        <f>'Growth Projection'!F$3</f>
        <v>760</v>
      </c>
      <c r="AK7" s="392">
        <f>'Growth Projection'!F4</f>
        <v>839</v>
      </c>
      <c r="AL7" s="392">
        <f>'Growth Projection'!F5</f>
        <v>282</v>
      </c>
      <c r="AP7" s="381" t="s">
        <v>732</v>
      </c>
      <c r="AQ7" s="311" t="s">
        <v>731</v>
      </c>
      <c r="AR7" s="382" t="str">
        <f ca="1">_xlfn.FORMULATEXT(AK4)</f>
        <v>='Growth Projection'!C4</v>
      </c>
    </row>
    <row r="8" spans="3:44" x14ac:dyDescent="0.35">
      <c r="C8" s="351">
        <v>2018</v>
      </c>
      <c r="D8" s="393">
        <v>63</v>
      </c>
      <c r="E8" s="393">
        <v>61</v>
      </c>
      <c r="F8" s="393">
        <v>42</v>
      </c>
      <c r="G8" s="393">
        <v>88</v>
      </c>
      <c r="H8" s="393">
        <v>53</v>
      </c>
      <c r="I8" s="393">
        <v>49</v>
      </c>
      <c r="J8" s="393">
        <v>55</v>
      </c>
      <c r="K8" s="393">
        <v>53</v>
      </c>
      <c r="L8" s="393">
        <v>35</v>
      </c>
      <c r="M8" s="393">
        <v>56</v>
      </c>
      <c r="N8" s="393">
        <v>115</v>
      </c>
      <c r="O8" s="393">
        <v>56</v>
      </c>
      <c r="P8" s="393">
        <v>36</v>
      </c>
      <c r="Q8" s="393">
        <v>68</v>
      </c>
      <c r="R8" s="393">
        <v>71</v>
      </c>
      <c r="S8" s="393">
        <v>45</v>
      </c>
      <c r="T8" s="393">
        <v>94</v>
      </c>
      <c r="U8" s="393">
        <v>60</v>
      </c>
      <c r="V8" s="393">
        <v>51</v>
      </c>
      <c r="W8" s="393">
        <v>51</v>
      </c>
      <c r="X8" s="393">
        <v>58</v>
      </c>
      <c r="Y8" s="393">
        <v>40</v>
      </c>
      <c r="Z8" s="393">
        <v>66</v>
      </c>
      <c r="AA8" s="393">
        <v>116</v>
      </c>
      <c r="AB8" s="393">
        <v>65</v>
      </c>
      <c r="AC8" s="393">
        <v>42</v>
      </c>
      <c r="AD8" s="393">
        <v>67</v>
      </c>
      <c r="AE8" s="393">
        <v>56</v>
      </c>
      <c r="AF8" s="393">
        <v>43</v>
      </c>
      <c r="AG8" s="393">
        <v>81</v>
      </c>
      <c r="AI8" s="351">
        <v>2018</v>
      </c>
      <c r="AJ8" s="392">
        <f>'Growth Projection'!G$3</f>
        <v>762</v>
      </c>
      <c r="AK8" s="392">
        <f>'Growth Projection'!G4</f>
        <v>827</v>
      </c>
      <c r="AL8" s="392">
        <f>'Growth Projection'!G5</f>
        <v>295</v>
      </c>
      <c r="AP8" s="381" t="s">
        <v>733</v>
      </c>
      <c r="AQ8" s="311" t="s">
        <v>734</v>
      </c>
      <c r="AR8" s="382" t="str">
        <f ca="1">_xlfn.FORMULATEXT(AL4)</f>
        <v>='Growth Projection'!C5</v>
      </c>
    </row>
    <row r="9" spans="3:44" x14ac:dyDescent="0.35">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c r="AE9" s="326"/>
      <c r="AF9" s="326"/>
      <c r="AG9" s="326"/>
      <c r="AP9" s="384"/>
      <c r="AR9" s="383"/>
    </row>
    <row r="10" spans="3:44" x14ac:dyDescent="0.35">
      <c r="C10" s="326"/>
      <c r="D10" s="326"/>
      <c r="E10" s="326"/>
      <c r="F10" s="326"/>
      <c r="G10" s="326"/>
      <c r="H10" s="326"/>
      <c r="I10" s="326"/>
      <c r="J10" s="326"/>
      <c r="K10" s="326"/>
      <c r="L10" s="326"/>
      <c r="M10" s="326"/>
      <c r="N10" s="326"/>
      <c r="O10" s="326"/>
      <c r="P10" s="326"/>
      <c r="Q10" s="326"/>
      <c r="R10" s="326"/>
      <c r="S10" s="326"/>
      <c r="T10" s="326"/>
      <c r="U10" s="326"/>
      <c r="V10" s="326"/>
      <c r="W10" s="326"/>
      <c r="X10" s="326"/>
      <c r="Y10" s="326"/>
      <c r="Z10" s="326"/>
      <c r="AA10" s="326"/>
      <c r="AB10" s="326"/>
      <c r="AC10" s="326"/>
      <c r="AD10" s="326"/>
      <c r="AE10" s="326"/>
      <c r="AF10" s="326"/>
      <c r="AG10" s="326"/>
      <c r="AP10" s="384"/>
      <c r="AR10" s="383"/>
    </row>
    <row r="11" spans="3:44" x14ac:dyDescent="0.35">
      <c r="C11" s="276" t="s">
        <v>257</v>
      </c>
      <c r="D11" s="354"/>
      <c r="E11" s="326"/>
      <c r="F11" s="551"/>
      <c r="G11" s="551"/>
      <c r="H11" s="551"/>
      <c r="I11" s="551"/>
      <c r="J11" s="551"/>
      <c r="K11" s="551"/>
      <c r="L11" s="551"/>
      <c r="M11" s="551"/>
      <c r="N11" s="551"/>
      <c r="O11" s="551"/>
      <c r="P11" s="551"/>
      <c r="Q11" s="551"/>
      <c r="R11" s="551"/>
      <c r="S11" s="551"/>
      <c r="T11" s="551"/>
      <c r="U11" s="551"/>
      <c r="V11" s="551"/>
      <c r="W11" s="551"/>
      <c r="X11" s="551"/>
      <c r="Y11" s="551"/>
      <c r="Z11" s="551"/>
      <c r="AA11" s="551"/>
      <c r="AB11" s="551"/>
      <c r="AC11" s="551"/>
      <c r="AD11" s="551"/>
      <c r="AE11" s="551"/>
      <c r="AF11" s="551"/>
      <c r="AG11" s="551"/>
      <c r="AP11" s="384"/>
      <c r="AR11" s="383"/>
    </row>
    <row r="12" spans="3:44" ht="15.5" x14ac:dyDescent="0.35">
      <c r="C12" s="351" t="s">
        <v>88</v>
      </c>
      <c r="D12" s="169" t="s">
        <v>222</v>
      </c>
      <c r="E12" s="169" t="s">
        <v>223</v>
      </c>
      <c r="F12" s="169" t="s">
        <v>224</v>
      </c>
      <c r="G12" s="169" t="s">
        <v>225</v>
      </c>
      <c r="H12" s="169" t="s">
        <v>226</v>
      </c>
      <c r="I12" s="169" t="s">
        <v>227</v>
      </c>
      <c r="J12" s="169" t="s">
        <v>228</v>
      </c>
      <c r="K12" s="169" t="s">
        <v>229</v>
      </c>
      <c r="L12" s="169" t="s">
        <v>230</v>
      </c>
      <c r="M12" s="169" t="s">
        <v>231</v>
      </c>
      <c r="N12" s="169" t="s">
        <v>232</v>
      </c>
      <c r="O12" s="169" t="s">
        <v>233</v>
      </c>
      <c r="P12" s="169" t="s">
        <v>234</v>
      </c>
      <c r="Q12" s="169" t="s">
        <v>235</v>
      </c>
      <c r="R12" s="169" t="s">
        <v>236</v>
      </c>
      <c r="S12" s="169" t="s">
        <v>237</v>
      </c>
      <c r="T12" s="169" t="s">
        <v>238</v>
      </c>
      <c r="U12" s="169" t="s">
        <v>239</v>
      </c>
      <c r="V12" s="169" t="s">
        <v>240</v>
      </c>
      <c r="W12" s="169" t="s">
        <v>241</v>
      </c>
      <c r="X12" s="169" t="s">
        <v>242</v>
      </c>
      <c r="Y12" s="169" t="s">
        <v>243</v>
      </c>
      <c r="Z12" s="169" t="s">
        <v>244</v>
      </c>
      <c r="AA12" s="169" t="s">
        <v>245</v>
      </c>
      <c r="AB12" s="169" t="s">
        <v>246</v>
      </c>
      <c r="AC12" s="169" t="s">
        <v>247</v>
      </c>
      <c r="AD12" s="169" t="s">
        <v>248</v>
      </c>
      <c r="AE12" s="169" t="s">
        <v>249</v>
      </c>
      <c r="AF12" s="169" t="s">
        <v>250</v>
      </c>
      <c r="AG12" s="169" t="s">
        <v>251</v>
      </c>
      <c r="AP12" s="384"/>
      <c r="AR12" s="383"/>
    </row>
    <row r="13" spans="3:44" x14ac:dyDescent="0.35">
      <c r="C13" s="351">
        <v>2014</v>
      </c>
      <c r="D13" s="356">
        <f t="shared" ref="D13:P13" si="0">D4/$AJ$4</f>
        <v>8.1272084805653705E-2</v>
      </c>
      <c r="E13" s="356">
        <f t="shared" si="0"/>
        <v>8.8339222614840993E-2</v>
      </c>
      <c r="F13" s="356">
        <f t="shared" si="0"/>
        <v>4.9469964664310952E-2</v>
      </c>
      <c r="G13" s="356">
        <f t="shared" si="0"/>
        <v>0.15547703180212014</v>
      </c>
      <c r="H13" s="356">
        <f t="shared" si="0"/>
        <v>6.3604240282685506E-2</v>
      </c>
      <c r="I13" s="356">
        <f t="shared" si="0"/>
        <v>6.0070671378091869E-2</v>
      </c>
      <c r="J13" s="356">
        <f t="shared" si="0"/>
        <v>6.0070671378091869E-2</v>
      </c>
      <c r="K13" s="356">
        <f t="shared" si="0"/>
        <v>5.3003533568904596E-2</v>
      </c>
      <c r="L13" s="356">
        <f t="shared" si="0"/>
        <v>4.9469964664310952E-2</v>
      </c>
      <c r="M13" s="356">
        <f t="shared" si="0"/>
        <v>5.3003533568904596E-2</v>
      </c>
      <c r="N13" s="356">
        <f t="shared" si="0"/>
        <v>0.19787985865724381</v>
      </c>
      <c r="O13" s="356">
        <f t="shared" si="0"/>
        <v>5.3003533568904596E-2</v>
      </c>
      <c r="P13" s="356">
        <f t="shared" si="0"/>
        <v>3.5335689045936397E-2</v>
      </c>
      <c r="Q13" s="356">
        <f t="shared" ref="Q13:AC13" si="1">Q4/$AK$4</f>
        <v>7.5471698113207544E-2</v>
      </c>
      <c r="R13" s="356">
        <f t="shared" si="1"/>
        <v>8.9622641509433956E-2</v>
      </c>
      <c r="S13" s="356">
        <f t="shared" si="1"/>
        <v>5.6603773584905662E-2</v>
      </c>
      <c r="T13" s="356">
        <f t="shared" si="1"/>
        <v>0.14150943396226415</v>
      </c>
      <c r="U13" s="356">
        <f t="shared" si="1"/>
        <v>7.0754716981132074E-2</v>
      </c>
      <c r="V13" s="356">
        <f t="shared" si="1"/>
        <v>6.1320754716981132E-2</v>
      </c>
      <c r="W13" s="356">
        <f t="shared" si="1"/>
        <v>4.716981132075472E-2</v>
      </c>
      <c r="X13" s="356">
        <f t="shared" si="1"/>
        <v>7.5471698113207544E-2</v>
      </c>
      <c r="Y13" s="356">
        <f t="shared" si="1"/>
        <v>3.7735849056603772E-2</v>
      </c>
      <c r="Z13" s="356">
        <f t="shared" si="1"/>
        <v>7.5471698113207544E-2</v>
      </c>
      <c r="AA13" s="356">
        <f t="shared" si="1"/>
        <v>0.16981132075471697</v>
      </c>
      <c r="AB13" s="356">
        <f t="shared" si="1"/>
        <v>6.6037735849056603E-2</v>
      </c>
      <c r="AC13" s="356">
        <f t="shared" si="1"/>
        <v>3.3018867924528301E-2</v>
      </c>
      <c r="AD13" s="356">
        <f>AD4/$AL$4</f>
        <v>0.32183908045977011</v>
      </c>
      <c r="AE13" s="356">
        <f>AE4/$AL$4</f>
        <v>0.17816091954022989</v>
      </c>
      <c r="AF13" s="356">
        <f>AF4/$AL$4</f>
        <v>0.14942528735632185</v>
      </c>
      <c r="AG13" s="356">
        <f>AG4/$AL$4</f>
        <v>0.35057471264367818</v>
      </c>
      <c r="AP13" s="384"/>
      <c r="AR13" s="383"/>
    </row>
    <row r="14" spans="3:44" x14ac:dyDescent="0.35">
      <c r="C14" s="351">
        <v>2015</v>
      </c>
      <c r="D14" s="356">
        <f t="shared" ref="D14:P14" si="2">D5/$AJ$5</f>
        <v>8.4525357607282178E-2</v>
      </c>
      <c r="E14" s="356">
        <f t="shared" si="2"/>
        <v>8.8426527958387513E-2</v>
      </c>
      <c r="F14" s="356">
        <f t="shared" si="2"/>
        <v>5.9817945383615082E-2</v>
      </c>
      <c r="G14" s="356">
        <f t="shared" si="2"/>
        <v>0.13263979193758127</v>
      </c>
      <c r="H14" s="356">
        <f t="shared" si="2"/>
        <v>7.4122236671001304E-2</v>
      </c>
      <c r="I14" s="356">
        <f t="shared" si="2"/>
        <v>5.7217165149544863E-2</v>
      </c>
      <c r="J14" s="356">
        <f t="shared" si="2"/>
        <v>7.9323797139141741E-2</v>
      </c>
      <c r="K14" s="356">
        <f t="shared" si="2"/>
        <v>7.2821846553966188E-2</v>
      </c>
      <c r="L14" s="356">
        <f t="shared" si="2"/>
        <v>5.3315994798439535E-2</v>
      </c>
      <c r="M14" s="356">
        <f t="shared" si="2"/>
        <v>8.0624187256176857E-2</v>
      </c>
      <c r="N14" s="356">
        <f t="shared" si="2"/>
        <v>0.17295188556566971</v>
      </c>
      <c r="O14" s="356">
        <f t="shared" si="2"/>
        <v>7.1521456436931086E-2</v>
      </c>
      <c r="P14" s="356">
        <f t="shared" si="2"/>
        <v>5.071521456436931E-2</v>
      </c>
      <c r="Q14" s="356">
        <f t="shared" ref="Q14:AC14" si="3">Q5/$AK$5</f>
        <v>8.8098918083462138E-2</v>
      </c>
      <c r="R14" s="356">
        <f t="shared" si="3"/>
        <v>9.428129829984544E-2</v>
      </c>
      <c r="S14" s="356">
        <f t="shared" si="3"/>
        <v>4.7913446676970631E-2</v>
      </c>
      <c r="T14" s="356">
        <f t="shared" si="3"/>
        <v>0.12055641421947449</v>
      </c>
      <c r="U14" s="356">
        <f t="shared" si="3"/>
        <v>8.1916537867078823E-2</v>
      </c>
      <c r="V14" s="356">
        <f t="shared" si="3"/>
        <v>7.1097372488408042E-2</v>
      </c>
      <c r="W14" s="356">
        <f t="shared" si="3"/>
        <v>5.8732612055641419E-2</v>
      </c>
      <c r="X14" s="356">
        <f t="shared" si="3"/>
        <v>8.1916537867078823E-2</v>
      </c>
      <c r="Y14" s="356">
        <f t="shared" si="3"/>
        <v>4.0185471406491501E-2</v>
      </c>
      <c r="Z14" s="356">
        <f t="shared" si="3"/>
        <v>8.5007727975270481E-2</v>
      </c>
      <c r="AA14" s="356">
        <f t="shared" si="3"/>
        <v>0.14528593508500773</v>
      </c>
      <c r="AB14" s="356">
        <f t="shared" si="3"/>
        <v>6.4914992272024727E-2</v>
      </c>
      <c r="AC14" s="356">
        <f t="shared" si="3"/>
        <v>3.8639876352395672E-2</v>
      </c>
      <c r="AD14" s="356">
        <f>AD5/$AL$5</f>
        <v>0.302491103202847</v>
      </c>
      <c r="AE14" s="356">
        <f>AE5/$AL$5</f>
        <v>0.20996441281138789</v>
      </c>
      <c r="AF14" s="356">
        <f>AF5/$AL$5</f>
        <v>0.16014234875444841</v>
      </c>
      <c r="AG14" s="356">
        <f>AG5/$AL$5</f>
        <v>0.32740213523131673</v>
      </c>
      <c r="AP14" s="385"/>
      <c r="AQ14" s="386"/>
      <c r="AR14" s="387"/>
    </row>
    <row r="15" spans="3:44" x14ac:dyDescent="0.35">
      <c r="C15" s="351">
        <v>2016</v>
      </c>
      <c r="D15" s="356">
        <f t="shared" ref="D15:P15" si="4">D6/$AJ$6</f>
        <v>9.6306068601583111E-2</v>
      </c>
      <c r="E15" s="356">
        <f t="shared" si="4"/>
        <v>9.1029023746701854E-2</v>
      </c>
      <c r="F15" s="356">
        <f t="shared" si="4"/>
        <v>5.5408970976253295E-2</v>
      </c>
      <c r="G15" s="356">
        <f t="shared" si="4"/>
        <v>0.15435356200527706</v>
      </c>
      <c r="H15" s="356">
        <f t="shared" si="4"/>
        <v>8.1794195250659632E-2</v>
      </c>
      <c r="I15" s="356">
        <f t="shared" si="4"/>
        <v>6.7282321899736153E-2</v>
      </c>
      <c r="J15" s="356">
        <f t="shared" si="4"/>
        <v>8.5751978891820582E-2</v>
      </c>
      <c r="K15" s="356">
        <f t="shared" si="4"/>
        <v>7.7836411609498682E-2</v>
      </c>
      <c r="L15" s="356">
        <f t="shared" si="4"/>
        <v>5.1451187335092345E-2</v>
      </c>
      <c r="M15" s="356">
        <f t="shared" si="4"/>
        <v>7.7836411609498682E-2</v>
      </c>
      <c r="N15" s="356">
        <f t="shared" si="4"/>
        <v>0.19129287598944592</v>
      </c>
      <c r="O15" s="356">
        <f t="shared" si="4"/>
        <v>7.7836411609498682E-2</v>
      </c>
      <c r="P15" s="356">
        <f t="shared" si="4"/>
        <v>4.8812664907651716E-2</v>
      </c>
      <c r="Q15" s="356">
        <f t="shared" ref="Q15:AC15" si="5">Q6/$AK$6</f>
        <v>9.3558282208588958E-2</v>
      </c>
      <c r="R15" s="356">
        <f t="shared" si="5"/>
        <v>9.0490797546012275E-2</v>
      </c>
      <c r="S15" s="356">
        <f t="shared" si="5"/>
        <v>4.4478527607361963E-2</v>
      </c>
      <c r="T15" s="356">
        <f t="shared" si="5"/>
        <v>0.14570552147239263</v>
      </c>
      <c r="U15" s="356">
        <f t="shared" si="5"/>
        <v>7.5153374233128831E-2</v>
      </c>
      <c r="V15" s="356">
        <f t="shared" si="5"/>
        <v>7.5153374233128831E-2</v>
      </c>
      <c r="W15" s="356">
        <f t="shared" si="5"/>
        <v>5.5214723926380369E-2</v>
      </c>
      <c r="X15" s="356">
        <f t="shared" si="5"/>
        <v>7.5153374233128831E-2</v>
      </c>
      <c r="Y15" s="356">
        <f t="shared" si="5"/>
        <v>5.3680981595092027E-2</v>
      </c>
      <c r="Z15" s="356">
        <f t="shared" si="5"/>
        <v>8.1288343558282211E-2</v>
      </c>
      <c r="AA15" s="356">
        <f t="shared" si="5"/>
        <v>0.17638036809815952</v>
      </c>
      <c r="AB15" s="356">
        <f t="shared" si="5"/>
        <v>9.202453987730061E-2</v>
      </c>
      <c r="AC15" s="356">
        <f t="shared" si="5"/>
        <v>5.8282208588957052E-2</v>
      </c>
      <c r="AD15" s="356">
        <f>AD6/$AL$6</f>
        <v>0.28321678321678323</v>
      </c>
      <c r="AE15" s="356">
        <f>AE6/$AL$6</f>
        <v>0.22377622377622378</v>
      </c>
      <c r="AF15" s="356">
        <f>AF6/$AL$6</f>
        <v>0.16783216783216784</v>
      </c>
      <c r="AG15" s="356">
        <f>AG6/$AL$6</f>
        <v>0.32517482517482516</v>
      </c>
    </row>
    <row r="16" spans="3:44" x14ac:dyDescent="0.35">
      <c r="C16" s="351">
        <v>2017</v>
      </c>
      <c r="D16" s="356">
        <f t="shared" ref="D16:P16" si="6">D7/$AJ$7</f>
        <v>8.4210526315789472E-2</v>
      </c>
      <c r="E16" s="356">
        <f t="shared" si="6"/>
        <v>8.2894736842105257E-2</v>
      </c>
      <c r="F16" s="356">
        <f t="shared" si="6"/>
        <v>5.131578947368421E-2</v>
      </c>
      <c r="G16" s="356">
        <f t="shared" si="6"/>
        <v>0.12894736842105264</v>
      </c>
      <c r="H16" s="356">
        <f t="shared" si="6"/>
        <v>7.2368421052631582E-2</v>
      </c>
      <c r="I16" s="356">
        <f t="shared" si="6"/>
        <v>6.8421052631578952E-2</v>
      </c>
      <c r="J16" s="356">
        <f t="shared" si="6"/>
        <v>7.3684210526315783E-2</v>
      </c>
      <c r="K16" s="356">
        <f t="shared" si="6"/>
        <v>6.4473684210526322E-2</v>
      </c>
      <c r="L16" s="356">
        <f t="shared" si="6"/>
        <v>0.05</v>
      </c>
      <c r="M16" s="356">
        <f t="shared" si="6"/>
        <v>7.4999999999999997E-2</v>
      </c>
      <c r="N16" s="356">
        <f t="shared" si="6"/>
        <v>0.16578947368421051</v>
      </c>
      <c r="O16" s="356">
        <f t="shared" si="6"/>
        <v>6.4473684210526322E-2</v>
      </c>
      <c r="P16" s="356">
        <f t="shared" si="6"/>
        <v>4.6052631578947366E-2</v>
      </c>
      <c r="Q16" s="356">
        <f t="shared" ref="Q16:AC16" si="7">Q7/$AK$7</f>
        <v>7.7473182359952319E-2</v>
      </c>
      <c r="R16" s="356">
        <f t="shared" si="7"/>
        <v>7.508939213349225E-2</v>
      </c>
      <c r="S16" s="356">
        <f t="shared" si="7"/>
        <v>4.1716328963051254E-2</v>
      </c>
      <c r="T16" s="356">
        <f t="shared" si="7"/>
        <v>0.11680572109654351</v>
      </c>
      <c r="U16" s="356">
        <f t="shared" si="7"/>
        <v>7.3897497020262215E-2</v>
      </c>
      <c r="V16" s="356">
        <f t="shared" si="7"/>
        <v>6.5554231227651971E-2</v>
      </c>
      <c r="W16" s="356">
        <f t="shared" si="7"/>
        <v>5.6019070321811679E-2</v>
      </c>
      <c r="X16" s="356">
        <f t="shared" si="7"/>
        <v>7.3897497020262215E-2</v>
      </c>
      <c r="Y16" s="356">
        <f t="shared" si="7"/>
        <v>4.4100119189511323E-2</v>
      </c>
      <c r="Z16" s="356">
        <f t="shared" si="7"/>
        <v>7.270560190703218E-2</v>
      </c>
      <c r="AA16" s="356">
        <f t="shared" si="7"/>
        <v>0.14302741358760429</v>
      </c>
      <c r="AB16" s="356">
        <f t="shared" si="7"/>
        <v>7.6281287246722285E-2</v>
      </c>
      <c r="AC16" s="356">
        <f t="shared" si="7"/>
        <v>4.7675804529201428E-2</v>
      </c>
      <c r="AD16" s="356">
        <f>AD7/$AL$7</f>
        <v>0.32978723404255317</v>
      </c>
      <c r="AE16" s="356">
        <f>AE7/$AL$7</f>
        <v>0.26595744680851063</v>
      </c>
      <c r="AF16" s="356">
        <f>AF7/$AL$7</f>
        <v>0.18794326241134751</v>
      </c>
      <c r="AG16" s="356">
        <f>AG7/$AL$7</f>
        <v>0.38652482269503546</v>
      </c>
    </row>
    <row r="17" spans="3:33" x14ac:dyDescent="0.35">
      <c r="C17" s="351">
        <v>2018</v>
      </c>
      <c r="D17" s="356">
        <f t="shared" ref="D17:P17" si="8">D8/$AJ$8</f>
        <v>8.2677165354330714E-2</v>
      </c>
      <c r="E17" s="356">
        <f t="shared" si="8"/>
        <v>8.0052493438320216E-2</v>
      </c>
      <c r="F17" s="356">
        <f t="shared" si="8"/>
        <v>5.5118110236220472E-2</v>
      </c>
      <c r="G17" s="356">
        <f t="shared" si="8"/>
        <v>0.11548556430446194</v>
      </c>
      <c r="H17" s="356">
        <f t="shared" si="8"/>
        <v>6.9553805774278221E-2</v>
      </c>
      <c r="I17" s="356">
        <f t="shared" si="8"/>
        <v>6.4304461942257224E-2</v>
      </c>
      <c r="J17" s="356">
        <f t="shared" si="8"/>
        <v>7.217847769028872E-2</v>
      </c>
      <c r="K17" s="356">
        <f t="shared" si="8"/>
        <v>6.9553805774278221E-2</v>
      </c>
      <c r="L17" s="356">
        <f t="shared" si="8"/>
        <v>4.5931758530183726E-2</v>
      </c>
      <c r="M17" s="356">
        <f t="shared" si="8"/>
        <v>7.3490813648293962E-2</v>
      </c>
      <c r="N17" s="356">
        <f t="shared" si="8"/>
        <v>0.15091863517060367</v>
      </c>
      <c r="O17" s="356">
        <f t="shared" si="8"/>
        <v>7.3490813648293962E-2</v>
      </c>
      <c r="P17" s="356">
        <f t="shared" si="8"/>
        <v>4.7244094488188976E-2</v>
      </c>
      <c r="Q17" s="356">
        <f t="shared" ref="Q17:AC17" si="9">Q8/$AK$8</f>
        <v>8.222490931076179E-2</v>
      </c>
      <c r="R17" s="356">
        <f t="shared" si="9"/>
        <v>8.5852478839177751E-2</v>
      </c>
      <c r="S17" s="356">
        <f t="shared" si="9"/>
        <v>5.4413542926239421E-2</v>
      </c>
      <c r="T17" s="356">
        <f t="shared" si="9"/>
        <v>0.11366384522370013</v>
      </c>
      <c r="U17" s="356">
        <f t="shared" si="9"/>
        <v>7.2551390568319232E-2</v>
      </c>
      <c r="V17" s="356">
        <f t="shared" si="9"/>
        <v>6.1668681983071343E-2</v>
      </c>
      <c r="W17" s="356">
        <f t="shared" si="9"/>
        <v>6.1668681983071343E-2</v>
      </c>
      <c r="X17" s="356">
        <f t="shared" si="9"/>
        <v>7.0133010882708582E-2</v>
      </c>
      <c r="Y17" s="356">
        <f t="shared" si="9"/>
        <v>4.8367593712212817E-2</v>
      </c>
      <c r="Z17" s="356">
        <f t="shared" si="9"/>
        <v>7.9806529625151154E-2</v>
      </c>
      <c r="AA17" s="356">
        <f t="shared" si="9"/>
        <v>0.14026602176541716</v>
      </c>
      <c r="AB17" s="356">
        <f t="shared" si="9"/>
        <v>7.8597339782345829E-2</v>
      </c>
      <c r="AC17" s="356">
        <f t="shared" si="9"/>
        <v>5.078597339782346E-2</v>
      </c>
      <c r="AD17" s="356">
        <f>AD8/$AL$8</f>
        <v>0.22711864406779661</v>
      </c>
      <c r="AE17" s="356">
        <f>AE8/$AL$8</f>
        <v>0.18983050847457628</v>
      </c>
      <c r="AF17" s="356">
        <f>AF8/$AL$8</f>
        <v>0.14576271186440679</v>
      </c>
      <c r="AG17" s="356">
        <f>AG8/$AL$8</f>
        <v>0.27457627118644068</v>
      </c>
    </row>
    <row r="18" spans="3:33" x14ac:dyDescent="0.35">
      <c r="C18" s="352" t="s">
        <v>258</v>
      </c>
      <c r="D18" s="357">
        <f>AVERAGE(D13:D17)</f>
        <v>8.5798240536927833E-2</v>
      </c>
      <c r="E18" s="357">
        <f t="shared" ref="E18:AG18" si="10">AVERAGE(E13:E17)</f>
        <v>8.6148400920071172E-2</v>
      </c>
      <c r="F18" s="357">
        <f t="shared" si="10"/>
        <v>5.4226156146816806E-2</v>
      </c>
      <c r="G18" s="357">
        <f t="shared" si="10"/>
        <v>0.13738066369409857</v>
      </c>
      <c r="H18" s="357">
        <f t="shared" si="10"/>
        <v>7.2288579806251252E-2</v>
      </c>
      <c r="I18" s="357">
        <f t="shared" si="10"/>
        <v>6.3459134600241815E-2</v>
      </c>
      <c r="J18" s="357">
        <f t="shared" si="10"/>
        <v>7.420182712513175E-2</v>
      </c>
      <c r="K18" s="357">
        <f t="shared" si="10"/>
        <v>6.7537856343434802E-2</v>
      </c>
      <c r="L18" s="357">
        <f t="shared" si="10"/>
        <v>5.0033781065605312E-2</v>
      </c>
      <c r="M18" s="357">
        <f t="shared" si="10"/>
        <v>7.1990989216574819E-2</v>
      </c>
      <c r="N18" s="357">
        <f t="shared" si="10"/>
        <v>0.1757665458134347</v>
      </c>
      <c r="O18" s="357">
        <f t="shared" si="10"/>
        <v>6.8065179894830935E-2</v>
      </c>
      <c r="P18" s="357">
        <f t="shared" si="10"/>
        <v>4.5632058917018756E-2</v>
      </c>
      <c r="Q18" s="357">
        <f t="shared" si="10"/>
        <v>8.3365398015194561E-2</v>
      </c>
      <c r="R18" s="357">
        <f t="shared" si="10"/>
        <v>8.706732166559232E-2</v>
      </c>
      <c r="S18" s="357">
        <f t="shared" si="10"/>
        <v>4.9025123951705787E-2</v>
      </c>
      <c r="T18" s="357">
        <f t="shared" si="10"/>
        <v>0.12764818719487497</v>
      </c>
      <c r="U18" s="357">
        <f t="shared" si="10"/>
        <v>7.4854703333984224E-2</v>
      </c>
      <c r="V18" s="357">
        <f t="shared" si="10"/>
        <v>6.6958882929848265E-2</v>
      </c>
      <c r="W18" s="357">
        <f t="shared" si="10"/>
        <v>5.5760979921531909E-2</v>
      </c>
      <c r="X18" s="357">
        <f t="shared" si="10"/>
        <v>7.5314423623277199E-2</v>
      </c>
      <c r="Y18" s="357">
        <f t="shared" si="10"/>
        <v>4.481400299198228E-2</v>
      </c>
      <c r="Z18" s="357">
        <f t="shared" si="10"/>
        <v>7.8855980235788714E-2</v>
      </c>
      <c r="AA18" s="357">
        <f t="shared" si="10"/>
        <v>0.15495421185818112</v>
      </c>
      <c r="AB18" s="357">
        <f t="shared" si="10"/>
        <v>7.5571179005490013E-2</v>
      </c>
      <c r="AC18" s="357">
        <f t="shared" si="10"/>
        <v>4.5680546158581178E-2</v>
      </c>
      <c r="AD18" s="357">
        <f t="shared" si="10"/>
        <v>0.29289056899795002</v>
      </c>
      <c r="AE18" s="357">
        <f t="shared" si="10"/>
        <v>0.21353790228218567</v>
      </c>
      <c r="AF18" s="357">
        <f t="shared" si="10"/>
        <v>0.16222115564373848</v>
      </c>
      <c r="AG18" s="357">
        <f t="shared" si="10"/>
        <v>0.33285055338625924</v>
      </c>
    </row>
    <row r="42" spans="3:3" x14ac:dyDescent="0.35">
      <c r="C42" s="30" t="s">
        <v>278</v>
      </c>
    </row>
    <row r="43" spans="3:3" x14ac:dyDescent="0.35">
      <c r="C43" s="311" t="s">
        <v>539</v>
      </c>
    </row>
    <row r="44" spans="3:3" x14ac:dyDescent="0.35">
      <c r="C44" s="311" t="s">
        <v>540</v>
      </c>
    </row>
  </sheetData>
  <sheetProtection algorithmName="SHA-512" hashValue="u09CIlHSuwUyZ4PgvF4kPkhckjooz+z11YYaep92EcXNbv6G0nIEq05OWF3cSa5I5hRW03NmZITpiKeahBJpoQ==" saltValue="x73FB9A+2FGD9h3/yDsgCA==" spinCount="100000" sheet="1" objects="1" scenarios="1"/>
  <mergeCells count="2">
    <mergeCell ref="F2:AG2"/>
    <mergeCell ref="F11:AG11"/>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11D8F-0A7F-4758-B3EC-E2ACE80EF646}">
  <sheetPr codeName="Sheet24">
    <tabColor rgb="FF7030A0"/>
  </sheetPr>
  <dimension ref="A1:BB145"/>
  <sheetViews>
    <sheetView showGridLines="0" zoomScale="51" zoomScaleNormal="70" workbookViewId="0">
      <selection activeCell="B38" sqref="B38"/>
    </sheetView>
  </sheetViews>
  <sheetFormatPr defaultColWidth="8.83203125" defaultRowHeight="15.5" x14ac:dyDescent="0.35"/>
  <cols>
    <col min="2" max="2" width="8.58203125" bestFit="1" customWidth="1"/>
    <col min="3" max="3" width="9.33203125" bestFit="1" customWidth="1"/>
    <col min="4" max="4" width="13.08203125" bestFit="1" customWidth="1"/>
    <col min="5" max="5" width="12.5" bestFit="1" customWidth="1"/>
    <col min="6" max="6" width="12.33203125" bestFit="1" customWidth="1"/>
    <col min="7" max="7" width="9.83203125" bestFit="1" customWidth="1"/>
    <col min="8" max="8" width="8.83203125" bestFit="1" customWidth="1"/>
    <col min="9" max="9" width="12.83203125" bestFit="1" customWidth="1"/>
    <col min="10" max="10" width="10.58203125" bestFit="1" customWidth="1"/>
    <col min="11" max="11" width="11.33203125" bestFit="1" customWidth="1"/>
    <col min="12" max="12" width="8.83203125" bestFit="1" customWidth="1"/>
    <col min="13" max="13" width="10.33203125" bestFit="1" customWidth="1"/>
    <col min="14" max="14" width="10.08203125" bestFit="1" customWidth="1"/>
    <col min="15" max="15" width="8.58203125" bestFit="1" customWidth="1"/>
    <col min="16" max="16" width="9.33203125" bestFit="1" customWidth="1"/>
    <col min="17" max="17" width="13.08203125" bestFit="1" customWidth="1"/>
    <col min="18" max="18" width="12.5" bestFit="1" customWidth="1"/>
    <col min="19" max="19" width="12.33203125" bestFit="1" customWidth="1"/>
    <col min="20" max="20" width="9.83203125" bestFit="1" customWidth="1"/>
    <col min="21" max="21" width="8.83203125" bestFit="1" customWidth="1"/>
    <col min="22" max="22" width="12.83203125" bestFit="1" customWidth="1"/>
    <col min="23" max="23" width="10.58203125" bestFit="1" customWidth="1"/>
    <col min="24" max="24" width="11.33203125" bestFit="1" customWidth="1"/>
    <col min="25" max="25" width="8.83203125" bestFit="1" customWidth="1"/>
    <col min="26" max="26" width="10.33203125" bestFit="1" customWidth="1"/>
    <col min="27" max="27" width="10.08203125" bestFit="1" customWidth="1"/>
    <col min="28" max="28" width="22.33203125" bestFit="1" customWidth="1"/>
    <col min="29" max="29" width="22.08203125" bestFit="1" customWidth="1"/>
    <col min="30" max="30" width="19.5" bestFit="1" customWidth="1"/>
    <col min="31" max="31" width="22.5" bestFit="1" customWidth="1"/>
    <col min="46" max="46" width="24.08203125" customWidth="1"/>
    <col min="47" max="47" width="50.58203125" customWidth="1"/>
    <col min="48" max="48" width="24.08203125" customWidth="1"/>
  </cols>
  <sheetData>
    <row r="1" spans="1:54" x14ac:dyDescent="0.35">
      <c r="A1" s="86" t="s">
        <v>112</v>
      </c>
      <c r="B1" s="86" t="s">
        <v>222</v>
      </c>
      <c r="C1" s="86" t="s">
        <v>223</v>
      </c>
      <c r="D1" s="86" t="s">
        <v>224</v>
      </c>
      <c r="E1" s="86" t="s">
        <v>225</v>
      </c>
      <c r="F1" s="86" t="s">
        <v>226</v>
      </c>
      <c r="G1" s="86" t="s">
        <v>227</v>
      </c>
      <c r="H1" s="86" t="s">
        <v>228</v>
      </c>
      <c r="I1" s="86" t="s">
        <v>229</v>
      </c>
      <c r="J1" s="86" t="s">
        <v>230</v>
      </c>
      <c r="K1" s="86" t="s">
        <v>231</v>
      </c>
      <c r="L1" s="86" t="s">
        <v>232</v>
      </c>
      <c r="M1" s="86" t="s">
        <v>233</v>
      </c>
      <c r="N1" s="86" t="s">
        <v>234</v>
      </c>
      <c r="O1" s="86" t="s">
        <v>235</v>
      </c>
      <c r="P1" s="86" t="s">
        <v>236</v>
      </c>
      <c r="Q1" s="86" t="s">
        <v>237</v>
      </c>
      <c r="R1" s="86" t="s">
        <v>238</v>
      </c>
      <c r="S1" s="86" t="s">
        <v>239</v>
      </c>
      <c r="T1" s="86" t="s">
        <v>240</v>
      </c>
      <c r="U1" s="86" t="s">
        <v>241</v>
      </c>
      <c r="V1" s="86" t="s">
        <v>242</v>
      </c>
      <c r="W1" s="86" t="s">
        <v>243</v>
      </c>
      <c r="X1" s="86" t="s">
        <v>244</v>
      </c>
      <c r="Y1" s="86" t="s">
        <v>245</v>
      </c>
      <c r="Z1" s="86" t="s">
        <v>246</v>
      </c>
      <c r="AA1" s="86" t="s">
        <v>247</v>
      </c>
      <c r="AB1" s="86" t="s">
        <v>248</v>
      </c>
      <c r="AC1" s="86" t="s">
        <v>249</v>
      </c>
      <c r="AD1" s="86" t="s">
        <v>250</v>
      </c>
      <c r="AE1" s="86" t="s">
        <v>251</v>
      </c>
      <c r="AT1" s="299" t="s">
        <v>342</v>
      </c>
      <c r="AU1" s="300"/>
      <c r="AV1" s="300"/>
      <c r="AW1" s="359"/>
      <c r="AX1" s="359"/>
      <c r="AY1" s="359"/>
      <c r="AZ1" s="359"/>
      <c r="BA1" s="359"/>
      <c r="BB1" s="358"/>
    </row>
    <row r="2" spans="1:54" x14ac:dyDescent="0.35">
      <c r="A2" s="394">
        <v>43466</v>
      </c>
      <c r="B2" s="342">
        <f>ROUNDUP('Forecasting for Perfume 30ml '!$L62*Fractions!D$18,0)</f>
        <v>1</v>
      </c>
      <c r="C2" s="342">
        <f>ROUNDUP('Forecasting for Perfume 30ml '!$L62*Fractions!E$18,0)</f>
        <v>1</v>
      </c>
      <c r="D2" s="342">
        <f>ROUNDUP('Forecasting for Perfume 30ml '!$L62*Fractions!F$18,0)</f>
        <v>1</v>
      </c>
      <c r="E2" s="342">
        <f>ROUNDUP('Forecasting for Perfume 30ml '!$L62*Fractions!G$18,0)</f>
        <v>1</v>
      </c>
      <c r="F2" s="342">
        <f>ROUNDUP('Forecasting for Perfume 30ml '!$L62*Fractions!H$18,0)</f>
        <v>1</v>
      </c>
      <c r="G2" s="342">
        <f>ROUNDUP('Forecasting for Perfume 30ml '!$L62*Fractions!I$18,0)</f>
        <v>1</v>
      </c>
      <c r="H2" s="342">
        <f>ROUNDUP('Forecasting for Perfume 30ml '!$L62*Fractions!J$18,0)</f>
        <v>1</v>
      </c>
      <c r="I2" s="342">
        <f>ROUNDUP('Forecasting for Perfume 30ml '!$L62*Fractions!K$18,0)</f>
        <v>1</v>
      </c>
      <c r="J2" s="342">
        <f>ROUNDUP('Forecasting for Perfume 30ml '!$L62*Fractions!L$18,0)</f>
        <v>1</v>
      </c>
      <c r="K2" s="342">
        <f>ROUNDUP('Forecasting for Perfume 30ml '!$L62*Fractions!M$18,0)</f>
        <v>1</v>
      </c>
      <c r="L2" s="342">
        <f>ROUNDUP('Forecasting for Perfume 30ml '!$L62*Fractions!N$18,0)</f>
        <v>1</v>
      </c>
      <c r="M2" s="342">
        <f>ROUNDUP('Forecasting for Perfume 30ml '!$L62*Fractions!O$18,0)</f>
        <v>1</v>
      </c>
      <c r="N2" s="342">
        <f>ROUNDUP('Forecasting for Perfume 30ml '!$L62*Fractions!P$18,0)</f>
        <v>1</v>
      </c>
      <c r="O2" s="342">
        <f>ROUNDUP('Forecasting for Perfume 50ml'!$L62*Fractions!Q$18,0)</f>
        <v>0</v>
      </c>
      <c r="P2" s="342">
        <f>ROUNDUP('Forecasting for Perfume 50ml'!$L62*Fractions!R$18,0)</f>
        <v>0</v>
      </c>
      <c r="Q2" s="342">
        <f>ROUNDUP('Forecasting for Perfume 50ml'!$L62*Fractions!S$18,0)</f>
        <v>0</v>
      </c>
      <c r="R2" s="342">
        <f>ROUNDUP('Forecasting for Perfume 50ml'!$L62*Fractions!T$18,0)</f>
        <v>0</v>
      </c>
      <c r="S2" s="342">
        <f>ROUNDUP('Forecasting for Perfume 50ml'!$L62*Fractions!U$18,0)</f>
        <v>0</v>
      </c>
      <c r="T2" s="342">
        <f>ROUNDUP('Forecasting for Perfume 50ml'!$L62*Fractions!V$18,0)</f>
        <v>0</v>
      </c>
      <c r="U2" s="342">
        <f>ROUNDUP('Forecasting for Perfume 50ml'!$L62*Fractions!W$18,0)</f>
        <v>0</v>
      </c>
      <c r="V2" s="342">
        <f>ROUNDUP('Forecasting for Perfume 50ml'!$L62*Fractions!X$18,0)</f>
        <v>0</v>
      </c>
      <c r="W2" s="342">
        <f>ROUNDUP('Forecasting for Perfume 50ml'!$L62*Fractions!Y$18,0)</f>
        <v>0</v>
      </c>
      <c r="X2" s="342">
        <f>ROUNDUP('Forecasting for Perfume 50ml'!$L62*Fractions!Z$18,0)</f>
        <v>0</v>
      </c>
      <c r="Y2" s="342">
        <f>ROUNDUP('Forecasting for Perfume 50ml'!$L62*Fractions!AA$18,0)</f>
        <v>0</v>
      </c>
      <c r="Z2" s="342">
        <f>ROUNDUP('Forecasting for Perfume 50ml'!$L62*Fractions!AB$18,0)</f>
        <v>0</v>
      </c>
      <c r="AA2" s="342">
        <f>ROUNDUP('Forecasting for Perfume 50ml'!$L62*Fractions!AC$18,0)</f>
        <v>0</v>
      </c>
      <c r="AB2" s="342">
        <f>ROUNDUP('Forecasting for Bodymist 100ml'!$L62*Fractions!AD$18,0)</f>
        <v>0</v>
      </c>
      <c r="AC2" s="342">
        <f>ROUNDUP('Forecasting for Bodymist 100ml'!$L62*Fractions!AE$18,0)</f>
        <v>0</v>
      </c>
      <c r="AD2" s="342">
        <f>ROUNDUP('Forecasting for Bodymist 100ml'!$L62*Fractions!AF$18,0)</f>
        <v>0</v>
      </c>
      <c r="AE2" s="342">
        <f>ROUNDUP('Forecasting for Bodymist 100ml'!$L62*Fractions!AG$18,0)</f>
        <v>0</v>
      </c>
      <c r="AT2" s="302" t="s">
        <v>105</v>
      </c>
      <c r="AU2" s="303" t="s">
        <v>107</v>
      </c>
      <c r="AV2" s="303" t="s">
        <v>106</v>
      </c>
      <c r="BB2" s="318"/>
    </row>
    <row r="3" spans="1:54" x14ac:dyDescent="0.35">
      <c r="A3" s="394">
        <v>43497</v>
      </c>
      <c r="B3" s="342">
        <f>ROUNDUP('Forecasting for Perfume 30ml '!$L63*Fractions!D$18,0)</f>
        <v>16</v>
      </c>
      <c r="C3" s="342">
        <f>ROUNDUP('Forecasting for Perfume 30ml '!$L63*Fractions!E$18,0)</f>
        <v>16</v>
      </c>
      <c r="D3" s="342">
        <f>ROUNDUP('Forecasting for Perfume 30ml '!$L63*Fractions!F$18,0)</f>
        <v>10</v>
      </c>
      <c r="E3" s="342">
        <f>ROUNDUP('Forecasting for Perfume 30ml '!$L63*Fractions!G$18,0)</f>
        <v>25</v>
      </c>
      <c r="F3" s="342">
        <f>ROUNDUP('Forecasting for Perfume 30ml '!$L63*Fractions!H$18,0)</f>
        <v>14</v>
      </c>
      <c r="G3" s="342">
        <f>ROUNDUP('Forecasting for Perfume 30ml '!$L63*Fractions!I$18,0)</f>
        <v>12</v>
      </c>
      <c r="H3" s="342">
        <f>ROUNDUP('Forecasting for Perfume 30ml '!$L63*Fractions!J$18,0)</f>
        <v>14</v>
      </c>
      <c r="I3" s="342">
        <f>ROUNDUP('Forecasting for Perfume 30ml '!$L63*Fractions!K$18,0)</f>
        <v>13</v>
      </c>
      <c r="J3" s="342">
        <f>ROUNDUP('Forecasting for Perfume 30ml '!$L63*Fractions!L$18,0)</f>
        <v>10</v>
      </c>
      <c r="K3" s="342">
        <f>ROUNDUP('Forecasting for Perfume 30ml '!$L63*Fractions!M$18,0)</f>
        <v>14</v>
      </c>
      <c r="L3" s="342">
        <f>ROUNDUP('Forecasting for Perfume 30ml '!$L63*Fractions!N$18,0)</f>
        <v>32</v>
      </c>
      <c r="M3" s="342">
        <f>ROUNDUP('Forecasting for Perfume 30ml '!$L63*Fractions!O$18,0)</f>
        <v>13</v>
      </c>
      <c r="N3" s="342">
        <f>ROUNDUP('Forecasting for Perfume 30ml '!$L63*Fractions!P$18,0)</f>
        <v>9</v>
      </c>
      <c r="O3" s="342">
        <f>ROUNDUP('Forecasting for Perfume 50ml'!$L63*Fractions!Q$18,0)</f>
        <v>11</v>
      </c>
      <c r="P3" s="342">
        <f>ROUNDUP('Forecasting for Perfume 50ml'!$L63*Fractions!R$18,0)</f>
        <v>11</v>
      </c>
      <c r="Q3" s="342">
        <f>ROUNDUP('Forecasting for Perfume 50ml'!$L63*Fractions!S$18,0)</f>
        <v>7</v>
      </c>
      <c r="R3" s="342">
        <f>ROUNDUP('Forecasting for Perfume 50ml'!$L63*Fractions!T$18,0)</f>
        <v>16</v>
      </c>
      <c r="S3" s="342">
        <f>ROUNDUP('Forecasting for Perfume 50ml'!$L63*Fractions!U$18,0)</f>
        <v>10</v>
      </c>
      <c r="T3" s="342">
        <f>ROUNDUP('Forecasting for Perfume 50ml'!$L63*Fractions!V$18,0)</f>
        <v>9</v>
      </c>
      <c r="U3" s="342">
        <f>ROUNDUP('Forecasting for Perfume 50ml'!$L63*Fractions!W$18,0)</f>
        <v>7</v>
      </c>
      <c r="V3" s="342">
        <f>ROUNDUP('Forecasting for Perfume 50ml'!$L63*Fractions!X$18,0)</f>
        <v>10</v>
      </c>
      <c r="W3" s="342">
        <f>ROUNDUP('Forecasting for Perfume 50ml'!$L63*Fractions!Y$18,0)</f>
        <v>6</v>
      </c>
      <c r="X3" s="342">
        <f>ROUNDUP('Forecasting for Perfume 50ml'!$L63*Fractions!Z$18,0)</f>
        <v>10</v>
      </c>
      <c r="Y3" s="342">
        <f>ROUNDUP('Forecasting for Perfume 50ml'!$L63*Fractions!AA$18,0)</f>
        <v>20</v>
      </c>
      <c r="Z3" s="342">
        <f>ROUNDUP('Forecasting for Perfume 50ml'!$L63*Fractions!AB$18,0)</f>
        <v>10</v>
      </c>
      <c r="AA3" s="342">
        <f>ROUNDUP('Forecasting for Perfume 50ml'!$L63*Fractions!AC$18,0)</f>
        <v>6</v>
      </c>
      <c r="AB3" s="342">
        <f>ROUNDUP('Forecasting for Bodymist 100ml'!$L63*Fractions!AD$18,0)</f>
        <v>0</v>
      </c>
      <c r="AC3" s="342">
        <f>ROUNDUP('Forecasting for Bodymist 100ml'!$L63*Fractions!AE$18,0)</f>
        <v>0</v>
      </c>
      <c r="AD3" s="342">
        <f>ROUNDUP('Forecasting for Bodymist 100ml'!$L63*Fractions!AF$18,0)</f>
        <v>0</v>
      </c>
      <c r="AE3" s="342">
        <f>ROUNDUP('Forecasting for Bodymist 100ml'!$L63*Fractions!AG$18,0)</f>
        <v>0</v>
      </c>
      <c r="AH3" s="30" t="s">
        <v>278</v>
      </c>
      <c r="AT3" s="319" t="s">
        <v>718</v>
      </c>
      <c r="AU3" t="s">
        <v>719</v>
      </c>
      <c r="AV3" t="str">
        <f ca="1">_xlfn.FORMULATEXT(B2)</f>
        <v>=ROUNDUP('Forecasting for Perfume 30ml '!$L62*Fractions!D$18,0)</v>
      </c>
      <c r="BB3" s="318"/>
    </row>
    <row r="4" spans="1:54" x14ac:dyDescent="0.35">
      <c r="A4" s="394">
        <v>43525</v>
      </c>
      <c r="B4" s="342">
        <f>ROUNDUP('Forecasting for Perfume 30ml '!$L64*Fractions!D$18,0)</f>
        <v>5</v>
      </c>
      <c r="C4" s="342">
        <f>ROUNDUP('Forecasting for Perfume 30ml '!$L64*Fractions!E$18,0)</f>
        <v>5</v>
      </c>
      <c r="D4" s="342">
        <f>ROUNDUP('Forecasting for Perfume 30ml '!$L64*Fractions!F$18,0)</f>
        <v>3</v>
      </c>
      <c r="E4" s="342">
        <f>ROUNDUP('Forecasting for Perfume 30ml '!$L64*Fractions!G$18,0)</f>
        <v>7</v>
      </c>
      <c r="F4" s="342">
        <f>ROUNDUP('Forecasting for Perfume 30ml '!$L64*Fractions!H$18,0)</f>
        <v>4</v>
      </c>
      <c r="G4" s="342">
        <f>ROUNDUP('Forecasting for Perfume 30ml '!$L64*Fractions!I$18,0)</f>
        <v>3</v>
      </c>
      <c r="H4" s="342">
        <f>ROUNDUP('Forecasting for Perfume 30ml '!$L64*Fractions!J$18,0)</f>
        <v>4</v>
      </c>
      <c r="I4" s="342">
        <f>ROUNDUP('Forecasting for Perfume 30ml '!$L64*Fractions!K$18,0)</f>
        <v>4</v>
      </c>
      <c r="J4" s="342">
        <f>ROUNDUP('Forecasting for Perfume 30ml '!$L64*Fractions!L$18,0)</f>
        <v>3</v>
      </c>
      <c r="K4" s="342">
        <f>ROUNDUP('Forecasting for Perfume 30ml '!$L64*Fractions!M$18,0)</f>
        <v>4</v>
      </c>
      <c r="L4" s="342">
        <f>ROUNDUP('Forecasting for Perfume 30ml '!$L64*Fractions!N$18,0)</f>
        <v>9</v>
      </c>
      <c r="M4" s="342">
        <f>ROUNDUP('Forecasting for Perfume 30ml '!$L64*Fractions!O$18,0)</f>
        <v>4</v>
      </c>
      <c r="N4" s="342">
        <f>ROUNDUP('Forecasting for Perfume 30ml '!$L64*Fractions!P$18,0)</f>
        <v>3</v>
      </c>
      <c r="O4" s="342">
        <f>ROUNDUP('Forecasting for Perfume 50ml'!$L64*Fractions!Q$18,0)</f>
        <v>6</v>
      </c>
      <c r="P4" s="342">
        <f>ROUNDUP('Forecasting for Perfume 50ml'!$L64*Fractions!R$18,0)</f>
        <v>6</v>
      </c>
      <c r="Q4" s="342">
        <f>ROUNDUP('Forecasting for Perfume 50ml'!$L64*Fractions!S$18,0)</f>
        <v>4</v>
      </c>
      <c r="R4" s="342">
        <f>ROUNDUP('Forecasting for Perfume 50ml'!$L64*Fractions!T$18,0)</f>
        <v>8</v>
      </c>
      <c r="S4" s="342">
        <f>ROUNDUP('Forecasting for Perfume 50ml'!$L64*Fractions!U$18,0)</f>
        <v>5</v>
      </c>
      <c r="T4" s="342">
        <f>ROUNDUP('Forecasting for Perfume 50ml'!$L64*Fractions!V$18,0)</f>
        <v>5</v>
      </c>
      <c r="U4" s="342">
        <f>ROUNDUP('Forecasting for Perfume 50ml'!$L64*Fractions!W$18,0)</f>
        <v>4</v>
      </c>
      <c r="V4" s="342">
        <f>ROUNDUP('Forecasting for Perfume 50ml'!$L64*Fractions!X$18,0)</f>
        <v>5</v>
      </c>
      <c r="W4" s="342">
        <f>ROUNDUP('Forecasting for Perfume 50ml'!$L64*Fractions!Y$18,0)</f>
        <v>3</v>
      </c>
      <c r="X4" s="342">
        <f>ROUNDUP('Forecasting for Perfume 50ml'!$L64*Fractions!Z$18,0)</f>
        <v>5</v>
      </c>
      <c r="Y4" s="342">
        <f>ROUNDUP('Forecasting for Perfume 50ml'!$L64*Fractions!AA$18,0)</f>
        <v>10</v>
      </c>
      <c r="Z4" s="342">
        <f>ROUNDUP('Forecasting for Perfume 50ml'!$L64*Fractions!AB$18,0)</f>
        <v>5</v>
      </c>
      <c r="AA4" s="342">
        <f>ROUNDUP('Forecasting for Perfume 50ml'!$L64*Fractions!AC$18,0)</f>
        <v>3</v>
      </c>
      <c r="AB4" s="342">
        <f>ROUNDUP('Forecasting for Bodymist 100ml'!$L64*Fractions!AD$18,0)</f>
        <v>0</v>
      </c>
      <c r="AC4" s="342">
        <f>ROUNDUP('Forecasting for Bodymist 100ml'!$L64*Fractions!AE$18,0)</f>
        <v>0</v>
      </c>
      <c r="AD4" s="342">
        <f>ROUNDUP('Forecasting for Bodymist 100ml'!$L64*Fractions!AF$18,0)</f>
        <v>0</v>
      </c>
      <c r="AE4" s="342">
        <f>ROUNDUP('Forecasting for Bodymist 100ml'!$L64*Fractions!AG$18,0)</f>
        <v>0</v>
      </c>
      <c r="AH4" s="311" t="s">
        <v>398</v>
      </c>
      <c r="AT4" s="319" t="s">
        <v>465</v>
      </c>
      <c r="AU4" t="s">
        <v>720</v>
      </c>
      <c r="AV4" t="str">
        <f ca="1">_xlfn.FORMULATEXT(B3)</f>
        <v>=ROUNDUP('Forecasting for Perfume 30ml '!$L63*Fractions!D$18,0)</v>
      </c>
      <c r="BB4" s="318"/>
    </row>
    <row r="5" spans="1:54" x14ac:dyDescent="0.35">
      <c r="A5" s="394">
        <v>43556</v>
      </c>
      <c r="B5" s="342">
        <f>ROUNDUP('Forecasting for Perfume 30ml '!$L65*Fractions!D$18,0)</f>
        <v>8</v>
      </c>
      <c r="C5" s="342">
        <f>ROUNDUP('Forecasting for Perfume 30ml '!$L65*Fractions!E$18,0)</f>
        <v>8</v>
      </c>
      <c r="D5" s="342">
        <f>ROUNDUP('Forecasting for Perfume 30ml '!$L65*Fractions!F$18,0)</f>
        <v>5</v>
      </c>
      <c r="E5" s="342">
        <f>ROUNDUP('Forecasting for Perfume 30ml '!$L65*Fractions!G$18,0)</f>
        <v>13</v>
      </c>
      <c r="F5" s="342">
        <f>ROUNDUP('Forecasting for Perfume 30ml '!$L65*Fractions!H$18,0)</f>
        <v>7</v>
      </c>
      <c r="G5" s="342">
        <f>ROUNDUP('Forecasting for Perfume 30ml '!$L65*Fractions!I$18,0)</f>
        <v>6</v>
      </c>
      <c r="H5" s="342">
        <f>ROUNDUP('Forecasting for Perfume 30ml '!$L65*Fractions!J$18,0)</f>
        <v>7</v>
      </c>
      <c r="I5" s="342">
        <f>ROUNDUP('Forecasting for Perfume 30ml '!$L65*Fractions!K$18,0)</f>
        <v>6</v>
      </c>
      <c r="J5" s="342">
        <f>ROUNDUP('Forecasting for Perfume 30ml '!$L65*Fractions!L$18,0)</f>
        <v>5</v>
      </c>
      <c r="K5" s="342">
        <f>ROUNDUP('Forecasting for Perfume 30ml '!$L65*Fractions!M$18,0)</f>
        <v>7</v>
      </c>
      <c r="L5" s="342">
        <f>ROUNDUP('Forecasting for Perfume 30ml '!$L65*Fractions!N$18,0)</f>
        <v>16</v>
      </c>
      <c r="M5" s="342">
        <f>ROUNDUP('Forecasting for Perfume 30ml '!$L65*Fractions!O$18,0)</f>
        <v>6</v>
      </c>
      <c r="N5" s="342">
        <f>ROUNDUP('Forecasting for Perfume 30ml '!$L65*Fractions!P$18,0)</f>
        <v>4</v>
      </c>
      <c r="O5" s="342">
        <f>ROUNDUP('Forecasting for Perfume 50ml'!$L65*Fractions!Q$18,0)</f>
        <v>8</v>
      </c>
      <c r="P5" s="342">
        <f>ROUNDUP('Forecasting for Perfume 50ml'!$L65*Fractions!R$18,0)</f>
        <v>9</v>
      </c>
      <c r="Q5" s="342">
        <f>ROUNDUP('Forecasting for Perfume 50ml'!$L65*Fractions!S$18,0)</f>
        <v>5</v>
      </c>
      <c r="R5" s="342">
        <f>ROUNDUP('Forecasting for Perfume 50ml'!$L65*Fractions!T$18,0)</f>
        <v>12</v>
      </c>
      <c r="S5" s="342">
        <f>ROUNDUP('Forecasting for Perfume 50ml'!$L65*Fractions!U$18,0)</f>
        <v>7</v>
      </c>
      <c r="T5" s="342">
        <f>ROUNDUP('Forecasting for Perfume 50ml'!$L65*Fractions!V$18,0)</f>
        <v>7</v>
      </c>
      <c r="U5" s="342">
        <f>ROUNDUP('Forecasting for Perfume 50ml'!$L65*Fractions!W$18,0)</f>
        <v>6</v>
      </c>
      <c r="V5" s="342">
        <f>ROUNDUP('Forecasting for Perfume 50ml'!$L65*Fractions!X$18,0)</f>
        <v>7</v>
      </c>
      <c r="W5" s="342">
        <f>ROUNDUP('Forecasting for Perfume 50ml'!$L65*Fractions!Y$18,0)</f>
        <v>5</v>
      </c>
      <c r="X5" s="342">
        <f>ROUNDUP('Forecasting for Perfume 50ml'!$L65*Fractions!Z$18,0)</f>
        <v>8</v>
      </c>
      <c r="Y5" s="342">
        <f>ROUNDUP('Forecasting for Perfume 50ml'!$L65*Fractions!AA$18,0)</f>
        <v>15</v>
      </c>
      <c r="Z5" s="342">
        <f>ROUNDUP('Forecasting for Perfume 50ml'!$L65*Fractions!AB$18,0)</f>
        <v>8</v>
      </c>
      <c r="AA5" s="342">
        <f>ROUNDUP('Forecasting for Perfume 50ml'!$L65*Fractions!AC$18,0)</f>
        <v>5</v>
      </c>
      <c r="AB5" s="342">
        <f>ROUNDUP('Forecasting for Bodymist 100ml'!$L65*Fractions!AD$18,0)</f>
        <v>2</v>
      </c>
      <c r="AC5" s="342">
        <f>ROUNDUP('Forecasting for Bodymist 100ml'!$L65*Fractions!AE$18,0)</f>
        <v>2</v>
      </c>
      <c r="AD5" s="342">
        <f>ROUNDUP('Forecasting for Bodymist 100ml'!$L65*Fractions!AF$18,0)</f>
        <v>2</v>
      </c>
      <c r="AE5" s="342">
        <f>ROUNDUP('Forecasting for Bodymist 100ml'!$L65*Fractions!AG$18,0)</f>
        <v>3</v>
      </c>
      <c r="AT5" s="319" t="s">
        <v>721</v>
      </c>
      <c r="AU5" t="s">
        <v>722</v>
      </c>
      <c r="AV5" t="str">
        <f ca="1">_xlfn.FORMULATEXT(C2)</f>
        <v>=ROUNDUP('Forecasting for Perfume 30ml '!$L62*Fractions!E$18,0)</v>
      </c>
      <c r="BB5" s="318"/>
    </row>
    <row r="6" spans="1:54" x14ac:dyDescent="0.35">
      <c r="A6" s="394">
        <v>43586</v>
      </c>
      <c r="B6" s="342">
        <f>ROUNDUP('Forecasting for Perfume 30ml '!$L66*Fractions!D$18,0)</f>
        <v>10</v>
      </c>
      <c r="C6" s="342">
        <f>ROUNDUP('Forecasting for Perfume 30ml '!$L66*Fractions!E$18,0)</f>
        <v>10</v>
      </c>
      <c r="D6" s="342">
        <f>ROUNDUP('Forecasting for Perfume 30ml '!$L66*Fractions!F$18,0)</f>
        <v>6</v>
      </c>
      <c r="E6" s="342">
        <f>ROUNDUP('Forecasting for Perfume 30ml '!$L66*Fractions!G$18,0)</f>
        <v>16</v>
      </c>
      <c r="F6" s="342">
        <f>ROUNDUP('Forecasting for Perfume 30ml '!$L66*Fractions!H$18,0)</f>
        <v>8</v>
      </c>
      <c r="G6" s="342">
        <f>ROUNDUP('Forecasting for Perfume 30ml '!$L66*Fractions!I$18,0)</f>
        <v>7</v>
      </c>
      <c r="H6" s="342">
        <f>ROUNDUP('Forecasting for Perfume 30ml '!$L66*Fractions!J$18,0)</f>
        <v>9</v>
      </c>
      <c r="I6" s="342">
        <f>ROUNDUP('Forecasting for Perfume 30ml '!$L66*Fractions!K$18,0)</f>
        <v>8</v>
      </c>
      <c r="J6" s="342">
        <f>ROUNDUP('Forecasting for Perfume 30ml '!$L66*Fractions!L$18,0)</f>
        <v>6</v>
      </c>
      <c r="K6" s="342">
        <f>ROUNDUP('Forecasting for Perfume 30ml '!$L66*Fractions!M$18,0)</f>
        <v>8</v>
      </c>
      <c r="L6" s="342">
        <f>ROUNDUP('Forecasting for Perfume 30ml '!$L66*Fractions!N$18,0)</f>
        <v>20</v>
      </c>
      <c r="M6" s="342">
        <f>ROUNDUP('Forecasting for Perfume 30ml '!$L66*Fractions!O$18,0)</f>
        <v>8</v>
      </c>
      <c r="N6" s="342">
        <f>ROUNDUP('Forecasting for Perfume 30ml '!$L66*Fractions!P$18,0)</f>
        <v>6</v>
      </c>
      <c r="O6" s="342">
        <f>ROUNDUP('Forecasting for Perfume 50ml'!$L66*Fractions!Q$18,0)</f>
        <v>11</v>
      </c>
      <c r="P6" s="342">
        <f>ROUNDUP('Forecasting for Perfume 50ml'!$L66*Fractions!R$18,0)</f>
        <v>11</v>
      </c>
      <c r="Q6" s="342">
        <f>ROUNDUP('Forecasting for Perfume 50ml'!$L66*Fractions!S$18,0)</f>
        <v>7</v>
      </c>
      <c r="R6" s="342">
        <f>ROUNDUP('Forecasting for Perfume 50ml'!$L66*Fractions!T$18,0)</f>
        <v>17</v>
      </c>
      <c r="S6" s="342">
        <f>ROUNDUP('Forecasting for Perfume 50ml'!$L66*Fractions!U$18,0)</f>
        <v>10</v>
      </c>
      <c r="T6" s="342">
        <f>ROUNDUP('Forecasting for Perfume 50ml'!$L66*Fractions!V$18,0)</f>
        <v>9</v>
      </c>
      <c r="U6" s="342">
        <f>ROUNDUP('Forecasting for Perfume 50ml'!$L66*Fractions!W$18,0)</f>
        <v>8</v>
      </c>
      <c r="V6" s="342">
        <f>ROUNDUP('Forecasting for Perfume 50ml'!$L66*Fractions!X$18,0)</f>
        <v>10</v>
      </c>
      <c r="W6" s="342">
        <f>ROUNDUP('Forecasting for Perfume 50ml'!$L66*Fractions!Y$18,0)</f>
        <v>6</v>
      </c>
      <c r="X6" s="342">
        <f>ROUNDUP('Forecasting for Perfume 50ml'!$L66*Fractions!Z$18,0)</f>
        <v>10</v>
      </c>
      <c r="Y6" s="342">
        <f>ROUNDUP('Forecasting for Perfume 50ml'!$L66*Fractions!AA$18,0)</f>
        <v>20</v>
      </c>
      <c r="Z6" s="342">
        <f>ROUNDUP('Forecasting for Perfume 50ml'!$L66*Fractions!AB$18,0)</f>
        <v>10</v>
      </c>
      <c r="AA6" s="342">
        <f>ROUNDUP('Forecasting for Perfume 50ml'!$L66*Fractions!AC$18,0)</f>
        <v>6</v>
      </c>
      <c r="AB6" s="342">
        <f>ROUNDUP('Forecasting for Bodymist 100ml'!$L66*Fractions!AD$18,0)</f>
        <v>10</v>
      </c>
      <c r="AC6" s="342">
        <f>ROUNDUP('Forecasting for Bodymist 100ml'!$L66*Fractions!AE$18,0)</f>
        <v>8</v>
      </c>
      <c r="AD6" s="342">
        <f>ROUNDUP('Forecasting for Bodymist 100ml'!$L66*Fractions!AF$18,0)</f>
        <v>6</v>
      </c>
      <c r="AE6" s="342">
        <f>ROUNDUP('Forecasting for Bodymist 100ml'!$L66*Fractions!AG$18,0)</f>
        <v>11</v>
      </c>
      <c r="AH6" s="30" t="s">
        <v>51</v>
      </c>
      <c r="AT6" s="319" t="s">
        <v>467</v>
      </c>
      <c r="AU6" t="s">
        <v>723</v>
      </c>
      <c r="AV6" t="str">
        <f ca="1">_xlfn.FORMULATEXT(C3)</f>
        <v>=ROUNDUP('Forecasting for Perfume 30ml '!$L63*Fractions!E$18,0)</v>
      </c>
      <c r="BB6" s="318"/>
    </row>
    <row r="7" spans="1:54" x14ac:dyDescent="0.35">
      <c r="A7" s="394">
        <v>43617</v>
      </c>
      <c r="B7" s="342">
        <f>ROUNDUP('Forecasting for Perfume 30ml '!$L67*Fractions!D$18,0)</f>
        <v>10</v>
      </c>
      <c r="C7" s="342">
        <f>ROUNDUP('Forecasting for Perfume 30ml '!$L67*Fractions!E$18,0)</f>
        <v>10</v>
      </c>
      <c r="D7" s="342">
        <f>ROUNDUP('Forecasting for Perfume 30ml '!$L67*Fractions!F$18,0)</f>
        <v>6</v>
      </c>
      <c r="E7" s="342">
        <f>ROUNDUP('Forecasting for Perfume 30ml '!$L67*Fractions!G$18,0)</f>
        <v>15</v>
      </c>
      <c r="F7" s="342">
        <f>ROUNDUP('Forecasting for Perfume 30ml '!$L67*Fractions!H$18,0)</f>
        <v>8</v>
      </c>
      <c r="G7" s="342">
        <f>ROUNDUP('Forecasting for Perfume 30ml '!$L67*Fractions!I$18,0)</f>
        <v>7</v>
      </c>
      <c r="H7" s="342">
        <f>ROUNDUP('Forecasting for Perfume 30ml '!$L67*Fractions!J$18,0)</f>
        <v>8</v>
      </c>
      <c r="I7" s="342">
        <f>ROUNDUP('Forecasting for Perfume 30ml '!$L67*Fractions!K$18,0)</f>
        <v>8</v>
      </c>
      <c r="J7" s="342">
        <f>ROUNDUP('Forecasting for Perfume 30ml '!$L67*Fractions!L$18,0)</f>
        <v>6</v>
      </c>
      <c r="K7" s="342">
        <f>ROUNDUP('Forecasting for Perfume 30ml '!$L67*Fractions!M$18,0)</f>
        <v>8</v>
      </c>
      <c r="L7" s="342">
        <f>ROUNDUP('Forecasting for Perfume 30ml '!$L67*Fractions!N$18,0)</f>
        <v>19</v>
      </c>
      <c r="M7" s="342">
        <f>ROUNDUP('Forecasting for Perfume 30ml '!$L67*Fractions!O$18,0)</f>
        <v>8</v>
      </c>
      <c r="N7" s="342">
        <f>ROUNDUP('Forecasting for Perfume 30ml '!$L67*Fractions!P$18,0)</f>
        <v>5</v>
      </c>
      <c r="O7" s="342">
        <f>ROUNDUP('Forecasting for Perfume 50ml'!$L67*Fractions!Q$18,0)</f>
        <v>10</v>
      </c>
      <c r="P7" s="342">
        <f>ROUNDUP('Forecasting for Perfume 50ml'!$L67*Fractions!R$18,0)</f>
        <v>11</v>
      </c>
      <c r="Q7" s="342">
        <f>ROUNDUP('Forecasting for Perfume 50ml'!$L67*Fractions!S$18,0)</f>
        <v>6</v>
      </c>
      <c r="R7" s="342">
        <f>ROUNDUP('Forecasting for Perfume 50ml'!$L67*Fractions!T$18,0)</f>
        <v>16</v>
      </c>
      <c r="S7" s="342">
        <f>ROUNDUP('Forecasting for Perfume 50ml'!$L67*Fractions!U$18,0)</f>
        <v>9</v>
      </c>
      <c r="T7" s="342">
        <f>ROUNDUP('Forecasting for Perfume 50ml'!$L67*Fractions!V$18,0)</f>
        <v>8</v>
      </c>
      <c r="U7" s="342">
        <f>ROUNDUP('Forecasting for Perfume 50ml'!$L67*Fractions!W$18,0)</f>
        <v>7</v>
      </c>
      <c r="V7" s="342">
        <f>ROUNDUP('Forecasting for Perfume 50ml'!$L67*Fractions!X$18,0)</f>
        <v>9</v>
      </c>
      <c r="W7" s="342">
        <f>ROUNDUP('Forecasting for Perfume 50ml'!$L67*Fractions!Y$18,0)</f>
        <v>6</v>
      </c>
      <c r="X7" s="342">
        <f>ROUNDUP('Forecasting for Perfume 50ml'!$L67*Fractions!Z$18,0)</f>
        <v>10</v>
      </c>
      <c r="Y7" s="342">
        <f>ROUNDUP('Forecasting for Perfume 50ml'!$L67*Fractions!AA$18,0)</f>
        <v>19</v>
      </c>
      <c r="Z7" s="342">
        <f>ROUNDUP('Forecasting for Perfume 50ml'!$L67*Fractions!AB$18,0)</f>
        <v>9</v>
      </c>
      <c r="AA7" s="342">
        <f>ROUNDUP('Forecasting for Perfume 50ml'!$L67*Fractions!AC$18,0)</f>
        <v>6</v>
      </c>
      <c r="AB7" s="342">
        <f>ROUNDUP('Forecasting for Bodymist 100ml'!$L67*Fractions!AD$18,0)</f>
        <v>13</v>
      </c>
      <c r="AC7" s="342">
        <f>ROUNDUP('Forecasting for Bodymist 100ml'!$L67*Fractions!AE$18,0)</f>
        <v>10</v>
      </c>
      <c r="AD7" s="342">
        <f>ROUNDUP('Forecasting for Bodymist 100ml'!$L67*Fractions!AF$18,0)</f>
        <v>8</v>
      </c>
      <c r="AE7" s="342">
        <f>ROUNDUP('Forecasting for Bodymist 100ml'!$L67*Fractions!AG$18,0)</f>
        <v>15</v>
      </c>
      <c r="AH7" s="311" t="s">
        <v>397</v>
      </c>
      <c r="AT7" s="319"/>
      <c r="BB7" s="318"/>
    </row>
    <row r="8" spans="1:54" x14ac:dyDescent="0.35">
      <c r="A8" s="394">
        <v>43647</v>
      </c>
      <c r="B8" s="342">
        <f>ROUNDUP('Forecasting for Perfume 30ml '!$L68*Fractions!D$18,0)</f>
        <v>7</v>
      </c>
      <c r="C8" s="342">
        <f>ROUNDUP('Forecasting for Perfume 30ml '!$L68*Fractions!E$18,0)</f>
        <v>7</v>
      </c>
      <c r="D8" s="342">
        <f>ROUNDUP('Forecasting for Perfume 30ml '!$L68*Fractions!F$18,0)</f>
        <v>5</v>
      </c>
      <c r="E8" s="342">
        <f>ROUNDUP('Forecasting for Perfume 30ml '!$L68*Fractions!G$18,0)</f>
        <v>11</v>
      </c>
      <c r="F8" s="342">
        <f>ROUNDUP('Forecasting for Perfume 30ml '!$L68*Fractions!H$18,0)</f>
        <v>6</v>
      </c>
      <c r="G8" s="342">
        <f>ROUNDUP('Forecasting for Perfume 30ml '!$L68*Fractions!I$18,0)</f>
        <v>5</v>
      </c>
      <c r="H8" s="342">
        <f>ROUNDUP('Forecasting for Perfume 30ml '!$L68*Fractions!J$18,0)</f>
        <v>6</v>
      </c>
      <c r="I8" s="342">
        <f>ROUNDUP('Forecasting for Perfume 30ml '!$L68*Fractions!K$18,0)</f>
        <v>6</v>
      </c>
      <c r="J8" s="342">
        <f>ROUNDUP('Forecasting for Perfume 30ml '!$L68*Fractions!L$18,0)</f>
        <v>4</v>
      </c>
      <c r="K8" s="342">
        <f>ROUNDUP('Forecasting for Perfume 30ml '!$L68*Fractions!M$18,0)</f>
        <v>6</v>
      </c>
      <c r="L8" s="342">
        <f>ROUNDUP('Forecasting for Perfume 30ml '!$L68*Fractions!N$18,0)</f>
        <v>14</v>
      </c>
      <c r="M8" s="342">
        <f>ROUNDUP('Forecasting for Perfume 30ml '!$L68*Fractions!O$18,0)</f>
        <v>6</v>
      </c>
      <c r="N8" s="342">
        <f>ROUNDUP('Forecasting for Perfume 30ml '!$L68*Fractions!P$18,0)</f>
        <v>4</v>
      </c>
      <c r="O8" s="342">
        <f>ROUNDUP('Forecasting for Perfume 50ml'!$L68*Fractions!Q$18,0)</f>
        <v>7</v>
      </c>
      <c r="P8" s="342">
        <f>ROUNDUP('Forecasting for Perfume 50ml'!$L68*Fractions!R$18,0)</f>
        <v>7</v>
      </c>
      <c r="Q8" s="342">
        <f>ROUNDUP('Forecasting for Perfume 50ml'!$L68*Fractions!S$18,0)</f>
        <v>4</v>
      </c>
      <c r="R8" s="342">
        <f>ROUNDUP('Forecasting for Perfume 50ml'!$L68*Fractions!T$18,0)</f>
        <v>10</v>
      </c>
      <c r="S8" s="342">
        <f>ROUNDUP('Forecasting for Perfume 50ml'!$L68*Fractions!U$18,0)</f>
        <v>6</v>
      </c>
      <c r="T8" s="342">
        <f>ROUNDUP('Forecasting for Perfume 50ml'!$L68*Fractions!V$18,0)</f>
        <v>6</v>
      </c>
      <c r="U8" s="342">
        <f>ROUNDUP('Forecasting for Perfume 50ml'!$L68*Fractions!W$18,0)</f>
        <v>5</v>
      </c>
      <c r="V8" s="342">
        <f>ROUNDUP('Forecasting for Perfume 50ml'!$L68*Fractions!X$18,0)</f>
        <v>6</v>
      </c>
      <c r="W8" s="342">
        <f>ROUNDUP('Forecasting for Perfume 50ml'!$L68*Fractions!Y$18,0)</f>
        <v>4</v>
      </c>
      <c r="X8" s="342">
        <f>ROUNDUP('Forecasting for Perfume 50ml'!$L68*Fractions!Z$18,0)</f>
        <v>7</v>
      </c>
      <c r="Y8" s="342">
        <f>ROUNDUP('Forecasting for Perfume 50ml'!$L68*Fractions!AA$18,0)</f>
        <v>12</v>
      </c>
      <c r="Z8" s="342">
        <f>ROUNDUP('Forecasting for Perfume 50ml'!$L68*Fractions!AB$18,0)</f>
        <v>6</v>
      </c>
      <c r="AA8" s="342">
        <f>ROUNDUP('Forecasting for Perfume 50ml'!$L68*Fractions!AC$18,0)</f>
        <v>4</v>
      </c>
      <c r="AB8" s="342">
        <f>ROUNDUP('Forecasting for Bodymist 100ml'!$L68*Fractions!AD$18,0)</f>
        <v>5</v>
      </c>
      <c r="AC8" s="342">
        <f>ROUNDUP('Forecasting for Bodymist 100ml'!$L68*Fractions!AE$18,0)</f>
        <v>4</v>
      </c>
      <c r="AD8" s="342">
        <f>ROUNDUP('Forecasting for Bodymist 100ml'!$L68*Fractions!AF$18,0)</f>
        <v>3</v>
      </c>
      <c r="AE8" s="342">
        <f>ROUNDUP('Forecasting for Bodymist 100ml'!$L68*Fractions!AG$18,0)</f>
        <v>6</v>
      </c>
      <c r="AH8" s="311" t="s">
        <v>396</v>
      </c>
      <c r="AT8" s="319"/>
      <c r="BB8" s="318"/>
    </row>
    <row r="9" spans="1:54" x14ac:dyDescent="0.35">
      <c r="A9" s="394">
        <v>43678</v>
      </c>
      <c r="B9" s="342">
        <f>ROUNDUP('Forecasting for Perfume 30ml '!$L69*Fractions!D$18,0)</f>
        <v>8</v>
      </c>
      <c r="C9" s="342">
        <f>ROUNDUP('Forecasting for Perfume 30ml '!$L69*Fractions!E$18,0)</f>
        <v>8</v>
      </c>
      <c r="D9" s="342">
        <f>ROUNDUP('Forecasting for Perfume 30ml '!$L69*Fractions!F$18,0)</f>
        <v>5</v>
      </c>
      <c r="E9" s="342">
        <f>ROUNDUP('Forecasting for Perfume 30ml '!$L69*Fractions!G$18,0)</f>
        <v>13</v>
      </c>
      <c r="F9" s="342">
        <f>ROUNDUP('Forecasting for Perfume 30ml '!$L69*Fractions!H$18,0)</f>
        <v>7</v>
      </c>
      <c r="G9" s="342">
        <f>ROUNDUP('Forecasting for Perfume 30ml '!$L69*Fractions!I$18,0)</f>
        <v>6</v>
      </c>
      <c r="H9" s="342">
        <f>ROUNDUP('Forecasting for Perfume 30ml '!$L69*Fractions!J$18,0)</f>
        <v>7</v>
      </c>
      <c r="I9" s="342">
        <f>ROUNDUP('Forecasting for Perfume 30ml '!$L69*Fractions!K$18,0)</f>
        <v>6</v>
      </c>
      <c r="J9" s="342">
        <f>ROUNDUP('Forecasting for Perfume 30ml '!$L69*Fractions!L$18,0)</f>
        <v>5</v>
      </c>
      <c r="K9" s="342">
        <f>ROUNDUP('Forecasting for Perfume 30ml '!$L69*Fractions!M$18,0)</f>
        <v>7</v>
      </c>
      <c r="L9" s="342">
        <f>ROUNDUP('Forecasting for Perfume 30ml '!$L69*Fractions!N$18,0)</f>
        <v>16</v>
      </c>
      <c r="M9" s="342">
        <f>ROUNDUP('Forecasting for Perfume 30ml '!$L69*Fractions!O$18,0)</f>
        <v>6</v>
      </c>
      <c r="N9" s="342">
        <f>ROUNDUP('Forecasting for Perfume 30ml '!$L69*Fractions!P$18,0)</f>
        <v>4</v>
      </c>
      <c r="O9" s="342">
        <f>ROUNDUP('Forecasting for Perfume 50ml'!$L69*Fractions!Q$18,0)</f>
        <v>8</v>
      </c>
      <c r="P9" s="342">
        <f>ROUNDUP('Forecasting for Perfume 50ml'!$L69*Fractions!R$18,0)</f>
        <v>9</v>
      </c>
      <c r="Q9" s="342">
        <f>ROUNDUP('Forecasting for Perfume 50ml'!$L69*Fractions!S$18,0)</f>
        <v>5</v>
      </c>
      <c r="R9" s="342">
        <f>ROUNDUP('Forecasting for Perfume 50ml'!$L69*Fractions!T$18,0)</f>
        <v>12</v>
      </c>
      <c r="S9" s="342">
        <f>ROUNDUP('Forecasting for Perfume 50ml'!$L69*Fractions!U$18,0)</f>
        <v>7</v>
      </c>
      <c r="T9" s="342">
        <f>ROUNDUP('Forecasting for Perfume 50ml'!$L69*Fractions!V$18,0)</f>
        <v>7</v>
      </c>
      <c r="U9" s="342">
        <f>ROUNDUP('Forecasting for Perfume 50ml'!$L69*Fractions!W$18,0)</f>
        <v>6</v>
      </c>
      <c r="V9" s="342">
        <f>ROUNDUP('Forecasting for Perfume 50ml'!$L69*Fractions!X$18,0)</f>
        <v>7</v>
      </c>
      <c r="W9" s="342">
        <f>ROUNDUP('Forecasting for Perfume 50ml'!$L69*Fractions!Y$18,0)</f>
        <v>5</v>
      </c>
      <c r="X9" s="342">
        <f>ROUNDUP('Forecasting for Perfume 50ml'!$L69*Fractions!Z$18,0)</f>
        <v>8</v>
      </c>
      <c r="Y9" s="342">
        <f>ROUNDUP('Forecasting for Perfume 50ml'!$L69*Fractions!AA$18,0)</f>
        <v>15</v>
      </c>
      <c r="Z9" s="342">
        <f>ROUNDUP('Forecasting for Perfume 50ml'!$L69*Fractions!AB$18,0)</f>
        <v>8</v>
      </c>
      <c r="AA9" s="342">
        <f>ROUNDUP('Forecasting for Perfume 50ml'!$L69*Fractions!AC$18,0)</f>
        <v>5</v>
      </c>
      <c r="AB9" s="342">
        <f>ROUNDUP('Forecasting for Bodymist 100ml'!$L69*Fractions!AD$18,0)</f>
        <v>8</v>
      </c>
      <c r="AC9" s="342">
        <f>ROUNDUP('Forecasting for Bodymist 100ml'!$L69*Fractions!AE$18,0)</f>
        <v>6</v>
      </c>
      <c r="AD9" s="342">
        <f>ROUNDUP('Forecasting for Bodymist 100ml'!$L69*Fractions!AF$18,0)</f>
        <v>5</v>
      </c>
      <c r="AE9" s="342">
        <f>ROUNDUP('Forecasting for Bodymist 100ml'!$L69*Fractions!AG$18,0)</f>
        <v>9</v>
      </c>
      <c r="AT9" s="319"/>
      <c r="BB9" s="318"/>
    </row>
    <row r="10" spans="1:54" x14ac:dyDescent="0.35">
      <c r="A10" s="394">
        <v>43709</v>
      </c>
      <c r="B10" s="342">
        <f>ROUNDUP('Forecasting for Perfume 30ml '!$L70*Fractions!D$18,0)</f>
        <v>8</v>
      </c>
      <c r="C10" s="342">
        <f>ROUNDUP('Forecasting for Perfume 30ml '!$L70*Fractions!E$18,0)</f>
        <v>8</v>
      </c>
      <c r="D10" s="342">
        <f>ROUNDUP('Forecasting for Perfume 30ml '!$L70*Fractions!F$18,0)</f>
        <v>5</v>
      </c>
      <c r="E10" s="342">
        <f>ROUNDUP('Forecasting for Perfume 30ml '!$L70*Fractions!G$18,0)</f>
        <v>13</v>
      </c>
      <c r="F10" s="342">
        <f>ROUNDUP('Forecasting for Perfume 30ml '!$L70*Fractions!H$18,0)</f>
        <v>7</v>
      </c>
      <c r="G10" s="342">
        <f>ROUNDUP('Forecasting for Perfume 30ml '!$L70*Fractions!I$18,0)</f>
        <v>6</v>
      </c>
      <c r="H10" s="342">
        <f>ROUNDUP('Forecasting for Perfume 30ml '!$L70*Fractions!J$18,0)</f>
        <v>7</v>
      </c>
      <c r="I10" s="342">
        <f>ROUNDUP('Forecasting for Perfume 30ml '!$L70*Fractions!K$18,0)</f>
        <v>6</v>
      </c>
      <c r="J10" s="342">
        <f>ROUNDUP('Forecasting for Perfume 30ml '!$L70*Fractions!L$18,0)</f>
        <v>5</v>
      </c>
      <c r="K10" s="342">
        <f>ROUNDUP('Forecasting for Perfume 30ml '!$L70*Fractions!M$18,0)</f>
        <v>7</v>
      </c>
      <c r="L10" s="342">
        <f>ROUNDUP('Forecasting for Perfume 30ml '!$L70*Fractions!N$18,0)</f>
        <v>16</v>
      </c>
      <c r="M10" s="342">
        <f>ROUNDUP('Forecasting for Perfume 30ml '!$L70*Fractions!O$18,0)</f>
        <v>6</v>
      </c>
      <c r="N10" s="342">
        <f>ROUNDUP('Forecasting for Perfume 30ml '!$L70*Fractions!P$18,0)</f>
        <v>4</v>
      </c>
      <c r="O10" s="342">
        <f>ROUNDUP('Forecasting for Perfume 50ml'!$L70*Fractions!Q$18,0)</f>
        <v>8</v>
      </c>
      <c r="P10" s="342">
        <f>ROUNDUP('Forecasting for Perfume 50ml'!$L70*Fractions!R$18,0)</f>
        <v>9</v>
      </c>
      <c r="Q10" s="342">
        <f>ROUNDUP('Forecasting for Perfume 50ml'!$L70*Fractions!S$18,0)</f>
        <v>5</v>
      </c>
      <c r="R10" s="342">
        <f>ROUNDUP('Forecasting for Perfume 50ml'!$L70*Fractions!T$18,0)</f>
        <v>12</v>
      </c>
      <c r="S10" s="342">
        <f>ROUNDUP('Forecasting for Perfume 50ml'!$L70*Fractions!U$18,0)</f>
        <v>7</v>
      </c>
      <c r="T10" s="342">
        <f>ROUNDUP('Forecasting for Perfume 50ml'!$L70*Fractions!V$18,0)</f>
        <v>7</v>
      </c>
      <c r="U10" s="342">
        <f>ROUNDUP('Forecasting for Perfume 50ml'!$L70*Fractions!W$18,0)</f>
        <v>6</v>
      </c>
      <c r="V10" s="342">
        <f>ROUNDUP('Forecasting for Perfume 50ml'!$L70*Fractions!X$18,0)</f>
        <v>7</v>
      </c>
      <c r="W10" s="342">
        <f>ROUNDUP('Forecasting for Perfume 50ml'!$L70*Fractions!Y$18,0)</f>
        <v>5</v>
      </c>
      <c r="X10" s="342">
        <f>ROUNDUP('Forecasting for Perfume 50ml'!$L70*Fractions!Z$18,0)</f>
        <v>8</v>
      </c>
      <c r="Y10" s="342">
        <f>ROUNDUP('Forecasting for Perfume 50ml'!$L70*Fractions!AA$18,0)</f>
        <v>15</v>
      </c>
      <c r="Z10" s="342">
        <f>ROUNDUP('Forecasting for Perfume 50ml'!$L70*Fractions!AB$18,0)</f>
        <v>8</v>
      </c>
      <c r="AA10" s="342">
        <f>ROUNDUP('Forecasting for Perfume 50ml'!$L70*Fractions!AC$18,0)</f>
        <v>5</v>
      </c>
      <c r="AB10" s="342">
        <f>ROUNDUP('Forecasting for Bodymist 100ml'!$L70*Fractions!AD$18,0)</f>
        <v>8</v>
      </c>
      <c r="AC10" s="342">
        <f>ROUNDUP('Forecasting for Bodymist 100ml'!$L70*Fractions!AE$18,0)</f>
        <v>6</v>
      </c>
      <c r="AD10" s="342">
        <f>ROUNDUP('Forecasting for Bodymist 100ml'!$L70*Fractions!AF$18,0)</f>
        <v>5</v>
      </c>
      <c r="AE10" s="342">
        <f>ROUNDUP('Forecasting for Bodymist 100ml'!$L70*Fractions!AG$18,0)</f>
        <v>9</v>
      </c>
      <c r="AT10" s="319"/>
      <c r="BB10" s="318"/>
    </row>
    <row r="11" spans="1:54" x14ac:dyDescent="0.35">
      <c r="A11" s="394">
        <v>43739</v>
      </c>
      <c r="B11" s="342">
        <f>ROUNDUP('Forecasting for Perfume 30ml '!$L71*Fractions!D$18,0)</f>
        <v>8</v>
      </c>
      <c r="C11" s="342">
        <f>ROUNDUP('Forecasting for Perfume 30ml '!$L71*Fractions!E$18,0)</f>
        <v>8</v>
      </c>
      <c r="D11" s="342">
        <f>ROUNDUP('Forecasting for Perfume 30ml '!$L71*Fractions!F$18,0)</f>
        <v>5</v>
      </c>
      <c r="E11" s="342">
        <f>ROUNDUP('Forecasting for Perfume 30ml '!$L71*Fractions!G$18,0)</f>
        <v>13</v>
      </c>
      <c r="F11" s="342">
        <f>ROUNDUP('Forecasting for Perfume 30ml '!$L71*Fractions!H$18,0)</f>
        <v>7</v>
      </c>
      <c r="G11" s="342">
        <f>ROUNDUP('Forecasting for Perfume 30ml '!$L71*Fractions!I$18,0)</f>
        <v>6</v>
      </c>
      <c r="H11" s="342">
        <f>ROUNDUP('Forecasting for Perfume 30ml '!$L71*Fractions!J$18,0)</f>
        <v>7</v>
      </c>
      <c r="I11" s="342">
        <f>ROUNDUP('Forecasting for Perfume 30ml '!$L71*Fractions!K$18,0)</f>
        <v>6</v>
      </c>
      <c r="J11" s="342">
        <f>ROUNDUP('Forecasting for Perfume 30ml '!$L71*Fractions!L$18,0)</f>
        <v>5</v>
      </c>
      <c r="K11" s="342">
        <f>ROUNDUP('Forecasting for Perfume 30ml '!$L71*Fractions!M$18,0)</f>
        <v>7</v>
      </c>
      <c r="L11" s="342">
        <f>ROUNDUP('Forecasting for Perfume 30ml '!$L71*Fractions!N$18,0)</f>
        <v>16</v>
      </c>
      <c r="M11" s="342">
        <f>ROUNDUP('Forecasting for Perfume 30ml '!$L71*Fractions!O$18,0)</f>
        <v>6</v>
      </c>
      <c r="N11" s="342">
        <f>ROUNDUP('Forecasting for Perfume 30ml '!$L71*Fractions!P$18,0)</f>
        <v>4</v>
      </c>
      <c r="O11" s="342">
        <f>ROUNDUP('Forecasting for Perfume 50ml'!$L71*Fractions!Q$18,0)</f>
        <v>8</v>
      </c>
      <c r="P11" s="342">
        <f>ROUNDUP('Forecasting for Perfume 50ml'!$L71*Fractions!R$18,0)</f>
        <v>9</v>
      </c>
      <c r="Q11" s="342">
        <f>ROUNDUP('Forecasting for Perfume 50ml'!$L71*Fractions!S$18,0)</f>
        <v>5</v>
      </c>
      <c r="R11" s="342">
        <f>ROUNDUP('Forecasting for Perfume 50ml'!$L71*Fractions!T$18,0)</f>
        <v>12</v>
      </c>
      <c r="S11" s="342">
        <f>ROUNDUP('Forecasting for Perfume 50ml'!$L71*Fractions!U$18,0)</f>
        <v>7</v>
      </c>
      <c r="T11" s="342">
        <f>ROUNDUP('Forecasting for Perfume 50ml'!$L71*Fractions!V$18,0)</f>
        <v>7</v>
      </c>
      <c r="U11" s="342">
        <f>ROUNDUP('Forecasting for Perfume 50ml'!$L71*Fractions!W$18,0)</f>
        <v>6</v>
      </c>
      <c r="V11" s="342">
        <f>ROUNDUP('Forecasting for Perfume 50ml'!$L71*Fractions!X$18,0)</f>
        <v>7</v>
      </c>
      <c r="W11" s="342">
        <f>ROUNDUP('Forecasting for Perfume 50ml'!$L71*Fractions!Y$18,0)</f>
        <v>5</v>
      </c>
      <c r="X11" s="342">
        <f>ROUNDUP('Forecasting for Perfume 50ml'!$L71*Fractions!Z$18,0)</f>
        <v>8</v>
      </c>
      <c r="Y11" s="342">
        <f>ROUNDUP('Forecasting for Perfume 50ml'!$L71*Fractions!AA$18,0)</f>
        <v>15</v>
      </c>
      <c r="Z11" s="342">
        <f>ROUNDUP('Forecasting for Perfume 50ml'!$L71*Fractions!AB$18,0)</f>
        <v>8</v>
      </c>
      <c r="AA11" s="342">
        <f>ROUNDUP('Forecasting for Perfume 50ml'!$L71*Fractions!AC$18,0)</f>
        <v>5</v>
      </c>
      <c r="AB11" s="342">
        <f>ROUNDUP('Forecasting for Bodymist 100ml'!$L71*Fractions!AD$18,0)</f>
        <v>8</v>
      </c>
      <c r="AC11" s="342">
        <f>ROUNDUP('Forecasting for Bodymist 100ml'!$L71*Fractions!AE$18,0)</f>
        <v>6</v>
      </c>
      <c r="AD11" s="342">
        <f>ROUNDUP('Forecasting for Bodymist 100ml'!$L71*Fractions!AF$18,0)</f>
        <v>5</v>
      </c>
      <c r="AE11" s="342">
        <f>ROUNDUP('Forecasting for Bodymist 100ml'!$L71*Fractions!AG$18,0)</f>
        <v>9</v>
      </c>
      <c r="AT11" s="319"/>
      <c r="BB11" s="318"/>
    </row>
    <row r="12" spans="1:54" x14ac:dyDescent="0.35">
      <c r="A12" s="394">
        <v>43770</v>
      </c>
      <c r="B12" s="342">
        <f>ROUNDUP('Forecasting for Perfume 30ml '!$L72*Fractions!D$18,0)</f>
        <v>8</v>
      </c>
      <c r="C12" s="342">
        <f>ROUNDUP('Forecasting for Perfume 30ml '!$L72*Fractions!E$18,0)</f>
        <v>8</v>
      </c>
      <c r="D12" s="342">
        <f>ROUNDUP('Forecasting for Perfume 30ml '!$L72*Fractions!F$18,0)</f>
        <v>5</v>
      </c>
      <c r="E12" s="342">
        <f>ROUNDUP('Forecasting for Perfume 30ml '!$L72*Fractions!G$18,0)</f>
        <v>13</v>
      </c>
      <c r="F12" s="342">
        <f>ROUNDUP('Forecasting for Perfume 30ml '!$L72*Fractions!H$18,0)</f>
        <v>7</v>
      </c>
      <c r="G12" s="342">
        <f>ROUNDUP('Forecasting for Perfume 30ml '!$L72*Fractions!I$18,0)</f>
        <v>6</v>
      </c>
      <c r="H12" s="342">
        <f>ROUNDUP('Forecasting for Perfume 30ml '!$L72*Fractions!J$18,0)</f>
        <v>7</v>
      </c>
      <c r="I12" s="342">
        <f>ROUNDUP('Forecasting for Perfume 30ml '!$L72*Fractions!K$18,0)</f>
        <v>6</v>
      </c>
      <c r="J12" s="342">
        <f>ROUNDUP('Forecasting for Perfume 30ml '!$L72*Fractions!L$18,0)</f>
        <v>5</v>
      </c>
      <c r="K12" s="342">
        <f>ROUNDUP('Forecasting for Perfume 30ml '!$L72*Fractions!M$18,0)</f>
        <v>7</v>
      </c>
      <c r="L12" s="342">
        <f>ROUNDUP('Forecasting for Perfume 30ml '!$L72*Fractions!N$18,0)</f>
        <v>16</v>
      </c>
      <c r="M12" s="342">
        <f>ROUNDUP('Forecasting for Perfume 30ml '!$L72*Fractions!O$18,0)</f>
        <v>6</v>
      </c>
      <c r="N12" s="342">
        <f>ROUNDUP('Forecasting for Perfume 30ml '!$L72*Fractions!P$18,0)</f>
        <v>4</v>
      </c>
      <c r="O12" s="342">
        <f>ROUNDUP('Forecasting for Perfume 50ml'!$L72*Fractions!Q$18,0)</f>
        <v>8</v>
      </c>
      <c r="P12" s="342">
        <f>ROUNDUP('Forecasting for Perfume 50ml'!$L72*Fractions!R$18,0)</f>
        <v>9</v>
      </c>
      <c r="Q12" s="342">
        <f>ROUNDUP('Forecasting for Perfume 50ml'!$L72*Fractions!S$18,0)</f>
        <v>5</v>
      </c>
      <c r="R12" s="342">
        <f>ROUNDUP('Forecasting for Perfume 50ml'!$L72*Fractions!T$18,0)</f>
        <v>12</v>
      </c>
      <c r="S12" s="342">
        <f>ROUNDUP('Forecasting for Perfume 50ml'!$L72*Fractions!U$18,0)</f>
        <v>7</v>
      </c>
      <c r="T12" s="342">
        <f>ROUNDUP('Forecasting for Perfume 50ml'!$L72*Fractions!V$18,0)</f>
        <v>7</v>
      </c>
      <c r="U12" s="342">
        <f>ROUNDUP('Forecasting for Perfume 50ml'!$L72*Fractions!W$18,0)</f>
        <v>6</v>
      </c>
      <c r="V12" s="342">
        <f>ROUNDUP('Forecasting for Perfume 50ml'!$L72*Fractions!X$18,0)</f>
        <v>7</v>
      </c>
      <c r="W12" s="342">
        <f>ROUNDUP('Forecasting for Perfume 50ml'!$L72*Fractions!Y$18,0)</f>
        <v>5</v>
      </c>
      <c r="X12" s="342">
        <f>ROUNDUP('Forecasting for Perfume 50ml'!$L72*Fractions!Z$18,0)</f>
        <v>8</v>
      </c>
      <c r="Y12" s="342">
        <f>ROUNDUP('Forecasting for Perfume 50ml'!$L72*Fractions!AA$18,0)</f>
        <v>15</v>
      </c>
      <c r="Z12" s="342">
        <f>ROUNDUP('Forecasting for Perfume 50ml'!$L72*Fractions!AB$18,0)</f>
        <v>8</v>
      </c>
      <c r="AA12" s="342">
        <f>ROUNDUP('Forecasting for Perfume 50ml'!$L72*Fractions!AC$18,0)</f>
        <v>5</v>
      </c>
      <c r="AB12" s="342">
        <f>ROUNDUP('Forecasting for Bodymist 100ml'!$L72*Fractions!AD$18,0)</f>
        <v>8</v>
      </c>
      <c r="AC12" s="342">
        <f>ROUNDUP('Forecasting for Bodymist 100ml'!$L72*Fractions!AE$18,0)</f>
        <v>6</v>
      </c>
      <c r="AD12" s="342">
        <f>ROUNDUP('Forecasting for Bodymist 100ml'!$L72*Fractions!AF$18,0)</f>
        <v>5</v>
      </c>
      <c r="AE12" s="342">
        <f>ROUNDUP('Forecasting for Bodymist 100ml'!$L72*Fractions!AG$18,0)</f>
        <v>9</v>
      </c>
      <c r="AT12" s="319"/>
      <c r="BB12" s="318"/>
    </row>
    <row r="13" spans="1:54" x14ac:dyDescent="0.35">
      <c r="A13" s="394">
        <v>43800</v>
      </c>
      <c r="B13" s="342">
        <f>ROUNDUP('Forecasting for Perfume 30ml '!$L73*Fractions!D$18,0)</f>
        <v>16</v>
      </c>
      <c r="C13" s="342">
        <f>ROUNDUP('Forecasting for Perfume 30ml '!$L73*Fractions!E$18,0)</f>
        <v>16</v>
      </c>
      <c r="D13" s="342">
        <f>ROUNDUP('Forecasting for Perfume 30ml '!$L73*Fractions!F$18,0)</f>
        <v>10</v>
      </c>
      <c r="E13" s="342">
        <f>ROUNDUP('Forecasting for Perfume 30ml '!$L73*Fractions!G$18,0)</f>
        <v>25</v>
      </c>
      <c r="F13" s="342">
        <f>ROUNDUP('Forecasting for Perfume 30ml '!$L73*Fractions!H$18,0)</f>
        <v>14</v>
      </c>
      <c r="G13" s="342">
        <f>ROUNDUP('Forecasting for Perfume 30ml '!$L73*Fractions!I$18,0)</f>
        <v>12</v>
      </c>
      <c r="H13" s="342">
        <f>ROUNDUP('Forecasting for Perfume 30ml '!$L73*Fractions!J$18,0)</f>
        <v>14</v>
      </c>
      <c r="I13" s="342">
        <f>ROUNDUP('Forecasting for Perfume 30ml '!$L73*Fractions!K$18,0)</f>
        <v>13</v>
      </c>
      <c r="J13" s="342">
        <f>ROUNDUP('Forecasting for Perfume 30ml '!$L73*Fractions!L$18,0)</f>
        <v>10</v>
      </c>
      <c r="K13" s="342">
        <f>ROUNDUP('Forecasting for Perfume 30ml '!$L73*Fractions!M$18,0)</f>
        <v>14</v>
      </c>
      <c r="L13" s="342">
        <f>ROUNDUP('Forecasting for Perfume 30ml '!$L73*Fractions!N$18,0)</f>
        <v>32</v>
      </c>
      <c r="M13" s="342">
        <f>ROUNDUP('Forecasting for Perfume 30ml '!$L73*Fractions!O$18,0)</f>
        <v>13</v>
      </c>
      <c r="N13" s="342">
        <f>ROUNDUP('Forecasting for Perfume 30ml '!$L73*Fractions!P$18,0)</f>
        <v>9</v>
      </c>
      <c r="O13" s="342">
        <f>ROUNDUP('Forecasting for Perfume 50ml'!$L73*Fractions!Q$18,0)</f>
        <v>17</v>
      </c>
      <c r="P13" s="342">
        <f>ROUNDUP('Forecasting for Perfume 50ml'!$L73*Fractions!R$18,0)</f>
        <v>18</v>
      </c>
      <c r="Q13" s="342">
        <f>ROUNDUP('Forecasting for Perfume 50ml'!$L73*Fractions!S$18,0)</f>
        <v>10</v>
      </c>
      <c r="R13" s="342">
        <f>ROUNDUP('Forecasting for Perfume 50ml'!$L73*Fractions!T$18,0)</f>
        <v>26</v>
      </c>
      <c r="S13" s="342">
        <f>ROUNDUP('Forecasting for Perfume 50ml'!$L73*Fractions!U$18,0)</f>
        <v>15</v>
      </c>
      <c r="T13" s="342">
        <f>ROUNDUP('Forecasting for Perfume 50ml'!$L73*Fractions!V$18,0)</f>
        <v>14</v>
      </c>
      <c r="U13" s="342">
        <f>ROUNDUP('Forecasting for Perfume 50ml'!$L73*Fractions!W$18,0)</f>
        <v>12</v>
      </c>
      <c r="V13" s="342">
        <f>ROUNDUP('Forecasting for Perfume 50ml'!$L73*Fractions!X$18,0)</f>
        <v>15</v>
      </c>
      <c r="W13" s="342">
        <f>ROUNDUP('Forecasting for Perfume 50ml'!$L73*Fractions!Y$18,0)</f>
        <v>9</v>
      </c>
      <c r="X13" s="342">
        <f>ROUNDUP('Forecasting for Perfume 50ml'!$L73*Fractions!Z$18,0)</f>
        <v>16</v>
      </c>
      <c r="Y13" s="342">
        <f>ROUNDUP('Forecasting for Perfume 50ml'!$L73*Fractions!AA$18,0)</f>
        <v>31</v>
      </c>
      <c r="Z13" s="342">
        <f>ROUNDUP('Forecasting for Perfume 50ml'!$L73*Fractions!AB$18,0)</f>
        <v>15</v>
      </c>
      <c r="AA13" s="342">
        <f>ROUNDUP('Forecasting for Perfume 50ml'!$L73*Fractions!AC$18,0)</f>
        <v>10</v>
      </c>
      <c r="AB13" s="342">
        <f>ROUNDUP('Forecasting for Bodymist 100ml'!$L73*Fractions!AD$18,0)</f>
        <v>20</v>
      </c>
      <c r="AC13" s="342">
        <f>ROUNDUP('Forecasting for Bodymist 100ml'!$L73*Fractions!AE$18,0)</f>
        <v>15</v>
      </c>
      <c r="AD13" s="342">
        <f>ROUNDUP('Forecasting for Bodymist 100ml'!$L73*Fractions!AF$18,0)</f>
        <v>11</v>
      </c>
      <c r="AE13" s="342">
        <f>ROUNDUP('Forecasting for Bodymist 100ml'!$L73*Fractions!AG$18,0)</f>
        <v>22</v>
      </c>
      <c r="AT13" s="319"/>
      <c r="BB13" s="318"/>
    </row>
    <row r="14" spans="1:54" x14ac:dyDescent="0.35">
      <c r="A14" s="395">
        <v>43831</v>
      </c>
      <c r="B14" s="396">
        <f>ROUNDUP('Forecasting for Perfume 30ml '!$L74*Fractions!D$18,0)</f>
        <v>10</v>
      </c>
      <c r="C14" s="396">
        <f>ROUNDUP('Forecasting for Perfume 30ml '!$L74*Fractions!E$18,0)</f>
        <v>10</v>
      </c>
      <c r="D14" s="396">
        <f>ROUNDUP('Forecasting for Perfume 30ml '!$L74*Fractions!F$18,0)</f>
        <v>6</v>
      </c>
      <c r="E14" s="396">
        <f>ROUNDUP('Forecasting for Perfume 30ml '!$L74*Fractions!G$18,0)</f>
        <v>16</v>
      </c>
      <c r="F14" s="396">
        <f>ROUNDUP('Forecasting for Perfume 30ml '!$L74*Fractions!H$18,0)</f>
        <v>8</v>
      </c>
      <c r="G14" s="396">
        <f>ROUNDUP('Forecasting for Perfume 30ml '!$L74*Fractions!I$18,0)</f>
        <v>7</v>
      </c>
      <c r="H14" s="396">
        <f>ROUNDUP('Forecasting for Perfume 30ml '!$L74*Fractions!J$18,0)</f>
        <v>9</v>
      </c>
      <c r="I14" s="396">
        <f>ROUNDUP('Forecasting for Perfume 30ml '!$L74*Fractions!K$18,0)</f>
        <v>8</v>
      </c>
      <c r="J14" s="396">
        <f>ROUNDUP('Forecasting for Perfume 30ml '!$L74*Fractions!L$18,0)</f>
        <v>6</v>
      </c>
      <c r="K14" s="396">
        <f>ROUNDUP('Forecasting for Perfume 30ml '!$L74*Fractions!M$18,0)</f>
        <v>8</v>
      </c>
      <c r="L14" s="396">
        <f>ROUNDUP('Forecasting for Perfume 30ml '!$L74*Fractions!N$18,0)</f>
        <v>20</v>
      </c>
      <c r="M14" s="396">
        <f>ROUNDUP('Forecasting for Perfume 30ml '!$L74*Fractions!O$18,0)</f>
        <v>8</v>
      </c>
      <c r="N14" s="396">
        <f>ROUNDUP('Forecasting for Perfume 30ml '!$L74*Fractions!P$18,0)</f>
        <v>5</v>
      </c>
      <c r="O14" s="396">
        <f>ROUNDUP('Forecasting for Perfume 50ml'!$L74*Fractions!Q$18,0)</f>
        <v>10</v>
      </c>
      <c r="P14" s="396">
        <f>ROUNDUP('Forecasting for Perfume 50ml'!$L74*Fractions!R$18,0)</f>
        <v>10</v>
      </c>
      <c r="Q14" s="396">
        <f>ROUNDUP('Forecasting for Perfume 50ml'!$L74*Fractions!S$18,0)</f>
        <v>6</v>
      </c>
      <c r="R14" s="396">
        <f>ROUNDUP('Forecasting for Perfume 50ml'!$L74*Fractions!T$18,0)</f>
        <v>14</v>
      </c>
      <c r="S14" s="396">
        <f>ROUNDUP('Forecasting for Perfume 50ml'!$L74*Fractions!U$18,0)</f>
        <v>9</v>
      </c>
      <c r="T14" s="396">
        <f>ROUNDUP('Forecasting for Perfume 50ml'!$L74*Fractions!V$18,0)</f>
        <v>8</v>
      </c>
      <c r="U14" s="396">
        <f>ROUNDUP('Forecasting for Perfume 50ml'!$L74*Fractions!W$18,0)</f>
        <v>7</v>
      </c>
      <c r="V14" s="396">
        <f>ROUNDUP('Forecasting for Perfume 50ml'!$L74*Fractions!X$18,0)</f>
        <v>9</v>
      </c>
      <c r="W14" s="396">
        <f>ROUNDUP('Forecasting for Perfume 50ml'!$L74*Fractions!Y$18,0)</f>
        <v>5</v>
      </c>
      <c r="X14" s="396">
        <f>ROUNDUP('Forecasting for Perfume 50ml'!$L74*Fractions!Z$18,0)</f>
        <v>9</v>
      </c>
      <c r="Y14" s="396">
        <f>ROUNDUP('Forecasting for Perfume 50ml'!$L74*Fractions!AA$18,0)</f>
        <v>17</v>
      </c>
      <c r="Z14" s="396">
        <f>ROUNDUP('Forecasting for Perfume 50ml'!$L74*Fractions!AB$18,0)</f>
        <v>9</v>
      </c>
      <c r="AA14" s="396">
        <f>ROUNDUP('Forecasting for Perfume 50ml'!$L74*Fractions!AC$18,0)</f>
        <v>5</v>
      </c>
      <c r="AB14" s="396">
        <f>ROUNDUP('Forecasting for Bodymist 100ml'!$L74*Fractions!AD$18,0)</f>
        <v>4</v>
      </c>
      <c r="AC14" s="396">
        <f>ROUNDUP('Forecasting for Bodymist 100ml'!$L74*Fractions!AE$18,0)</f>
        <v>3</v>
      </c>
      <c r="AD14" s="396">
        <f>ROUNDUP('Forecasting for Bodymist 100ml'!$L74*Fractions!AF$18,0)</f>
        <v>2</v>
      </c>
      <c r="AE14" s="396">
        <f>ROUNDUP('Forecasting for Bodymist 100ml'!$L74*Fractions!AG$18,0)</f>
        <v>5</v>
      </c>
      <c r="AT14" s="319"/>
      <c r="BB14" s="318"/>
    </row>
    <row r="15" spans="1:54" x14ac:dyDescent="0.35">
      <c r="A15" s="395">
        <v>43862</v>
      </c>
      <c r="B15" s="396">
        <f>ROUNDUP('Forecasting for Perfume 30ml '!$L75*Fractions!D$18,0)</f>
        <v>13</v>
      </c>
      <c r="C15" s="396">
        <f>ROUNDUP('Forecasting for Perfume 30ml '!$L75*Fractions!E$18,0)</f>
        <v>14</v>
      </c>
      <c r="D15" s="396">
        <f>ROUNDUP('Forecasting for Perfume 30ml '!$L75*Fractions!F$18,0)</f>
        <v>9</v>
      </c>
      <c r="E15" s="396">
        <f>ROUNDUP('Forecasting for Perfume 30ml '!$L75*Fractions!G$18,0)</f>
        <v>21</v>
      </c>
      <c r="F15" s="396">
        <f>ROUNDUP('Forecasting for Perfume 30ml '!$L75*Fractions!H$18,0)</f>
        <v>11</v>
      </c>
      <c r="G15" s="396">
        <f>ROUNDUP('Forecasting for Perfume 30ml '!$L75*Fractions!I$18,0)</f>
        <v>10</v>
      </c>
      <c r="H15" s="396">
        <f>ROUNDUP('Forecasting for Perfume 30ml '!$L75*Fractions!J$18,0)</f>
        <v>12</v>
      </c>
      <c r="I15" s="396">
        <f>ROUNDUP('Forecasting for Perfume 30ml '!$L75*Fractions!K$18,0)</f>
        <v>11</v>
      </c>
      <c r="J15" s="396">
        <f>ROUNDUP('Forecasting for Perfume 30ml '!$L75*Fractions!L$18,0)</f>
        <v>8</v>
      </c>
      <c r="K15" s="396">
        <f>ROUNDUP('Forecasting for Perfume 30ml '!$L75*Fractions!M$18,0)</f>
        <v>11</v>
      </c>
      <c r="L15" s="396">
        <f>ROUNDUP('Forecasting for Perfume 30ml '!$L75*Fractions!N$18,0)</f>
        <v>27</v>
      </c>
      <c r="M15" s="396">
        <f>ROUNDUP('Forecasting for Perfume 30ml '!$L75*Fractions!O$18,0)</f>
        <v>11</v>
      </c>
      <c r="N15" s="396">
        <f>ROUNDUP('Forecasting for Perfume 30ml '!$L75*Fractions!P$18,0)</f>
        <v>7</v>
      </c>
      <c r="O15" s="396">
        <f>ROUNDUP('Forecasting for Perfume 50ml'!$L75*Fractions!Q$18,0)</f>
        <v>13</v>
      </c>
      <c r="P15" s="396">
        <f>ROUNDUP('Forecasting for Perfume 50ml'!$L75*Fractions!R$18,0)</f>
        <v>13</v>
      </c>
      <c r="Q15" s="396">
        <f>ROUNDUP('Forecasting for Perfume 50ml'!$L75*Fractions!S$18,0)</f>
        <v>8</v>
      </c>
      <c r="R15" s="396">
        <f>ROUNDUP('Forecasting for Perfume 50ml'!$L75*Fractions!T$18,0)</f>
        <v>19</v>
      </c>
      <c r="S15" s="396">
        <f>ROUNDUP('Forecasting for Perfume 50ml'!$L75*Fractions!U$18,0)</f>
        <v>12</v>
      </c>
      <c r="T15" s="396">
        <f>ROUNDUP('Forecasting for Perfume 50ml'!$L75*Fractions!V$18,0)</f>
        <v>10</v>
      </c>
      <c r="U15" s="396">
        <f>ROUNDUP('Forecasting for Perfume 50ml'!$L75*Fractions!W$18,0)</f>
        <v>9</v>
      </c>
      <c r="V15" s="396">
        <f>ROUNDUP('Forecasting for Perfume 50ml'!$L75*Fractions!X$18,0)</f>
        <v>12</v>
      </c>
      <c r="W15" s="396">
        <f>ROUNDUP('Forecasting for Perfume 50ml'!$L75*Fractions!Y$18,0)</f>
        <v>7</v>
      </c>
      <c r="X15" s="396">
        <f>ROUNDUP('Forecasting for Perfume 50ml'!$L75*Fractions!Z$18,0)</f>
        <v>12</v>
      </c>
      <c r="Y15" s="396">
        <f>ROUNDUP('Forecasting for Perfume 50ml'!$L75*Fractions!AA$18,0)</f>
        <v>24</v>
      </c>
      <c r="Z15" s="396">
        <f>ROUNDUP('Forecasting for Perfume 50ml'!$L75*Fractions!AB$18,0)</f>
        <v>12</v>
      </c>
      <c r="AA15" s="396">
        <f>ROUNDUP('Forecasting for Perfume 50ml'!$L75*Fractions!AC$18,0)</f>
        <v>7</v>
      </c>
      <c r="AB15" s="396">
        <f>ROUNDUP('Forecasting for Bodymist 100ml'!$L75*Fractions!AD$18,0)</f>
        <v>13</v>
      </c>
      <c r="AC15" s="396">
        <f>ROUNDUP('Forecasting for Bodymist 100ml'!$L75*Fractions!AE$18,0)</f>
        <v>10</v>
      </c>
      <c r="AD15" s="396">
        <f>ROUNDUP('Forecasting for Bodymist 100ml'!$L75*Fractions!AF$18,0)</f>
        <v>8</v>
      </c>
      <c r="AE15" s="396">
        <f>ROUNDUP('Forecasting for Bodymist 100ml'!$L75*Fractions!AG$18,0)</f>
        <v>15</v>
      </c>
      <c r="AT15" s="319"/>
      <c r="BB15" s="318"/>
    </row>
    <row r="16" spans="1:54" x14ac:dyDescent="0.35">
      <c r="A16" s="395">
        <v>43891</v>
      </c>
      <c r="B16" s="396">
        <f>ROUNDUP('Forecasting for Perfume 30ml '!$L76*Fractions!D$18,0)</f>
        <v>6</v>
      </c>
      <c r="C16" s="396">
        <f>ROUNDUP('Forecasting for Perfume 30ml '!$L76*Fractions!E$18,0)</f>
        <v>6</v>
      </c>
      <c r="D16" s="396">
        <f>ROUNDUP('Forecasting for Perfume 30ml '!$L76*Fractions!F$18,0)</f>
        <v>4</v>
      </c>
      <c r="E16" s="396">
        <f>ROUNDUP('Forecasting for Perfume 30ml '!$L76*Fractions!G$18,0)</f>
        <v>9</v>
      </c>
      <c r="F16" s="396">
        <f>ROUNDUP('Forecasting for Perfume 30ml '!$L76*Fractions!H$18,0)</f>
        <v>5</v>
      </c>
      <c r="G16" s="396">
        <f>ROUNDUP('Forecasting for Perfume 30ml '!$L76*Fractions!I$18,0)</f>
        <v>5</v>
      </c>
      <c r="H16" s="396">
        <f>ROUNDUP('Forecasting for Perfume 30ml '!$L76*Fractions!J$18,0)</f>
        <v>5</v>
      </c>
      <c r="I16" s="396">
        <f>ROUNDUP('Forecasting for Perfume 30ml '!$L76*Fractions!K$18,0)</f>
        <v>5</v>
      </c>
      <c r="J16" s="396">
        <f>ROUNDUP('Forecasting for Perfume 30ml '!$L76*Fractions!L$18,0)</f>
        <v>4</v>
      </c>
      <c r="K16" s="396">
        <f>ROUNDUP('Forecasting for Perfume 30ml '!$L76*Fractions!M$18,0)</f>
        <v>5</v>
      </c>
      <c r="L16" s="396">
        <f>ROUNDUP('Forecasting for Perfume 30ml '!$L76*Fractions!N$18,0)</f>
        <v>12</v>
      </c>
      <c r="M16" s="396">
        <f>ROUNDUP('Forecasting for Perfume 30ml '!$L76*Fractions!O$18,0)</f>
        <v>5</v>
      </c>
      <c r="N16" s="396">
        <f>ROUNDUP('Forecasting for Perfume 30ml '!$L76*Fractions!P$18,0)</f>
        <v>3</v>
      </c>
      <c r="O16" s="396">
        <f>ROUNDUP('Forecasting for Perfume 50ml'!$L76*Fractions!Q$18,0)</f>
        <v>7</v>
      </c>
      <c r="P16" s="396">
        <f>ROUNDUP('Forecasting for Perfume 50ml'!$L76*Fractions!R$18,0)</f>
        <v>7</v>
      </c>
      <c r="Q16" s="396">
        <f>ROUNDUP('Forecasting for Perfume 50ml'!$L76*Fractions!S$18,0)</f>
        <v>4</v>
      </c>
      <c r="R16" s="396">
        <f>ROUNDUP('Forecasting for Perfume 50ml'!$L76*Fractions!T$18,0)</f>
        <v>11</v>
      </c>
      <c r="S16" s="396">
        <f>ROUNDUP('Forecasting for Perfume 50ml'!$L76*Fractions!U$18,0)</f>
        <v>6</v>
      </c>
      <c r="T16" s="396">
        <f>ROUNDUP('Forecasting for Perfume 50ml'!$L76*Fractions!V$18,0)</f>
        <v>6</v>
      </c>
      <c r="U16" s="396">
        <f>ROUNDUP('Forecasting for Perfume 50ml'!$L76*Fractions!W$18,0)</f>
        <v>5</v>
      </c>
      <c r="V16" s="396">
        <f>ROUNDUP('Forecasting for Perfume 50ml'!$L76*Fractions!X$18,0)</f>
        <v>6</v>
      </c>
      <c r="W16" s="396">
        <f>ROUNDUP('Forecasting for Perfume 50ml'!$L76*Fractions!Y$18,0)</f>
        <v>4</v>
      </c>
      <c r="X16" s="396">
        <f>ROUNDUP('Forecasting for Perfume 50ml'!$L76*Fractions!Z$18,0)</f>
        <v>7</v>
      </c>
      <c r="Y16" s="396">
        <f>ROUNDUP('Forecasting for Perfume 50ml'!$L76*Fractions!AA$18,0)</f>
        <v>13</v>
      </c>
      <c r="Z16" s="396">
        <f>ROUNDUP('Forecasting for Perfume 50ml'!$L76*Fractions!AB$18,0)</f>
        <v>6</v>
      </c>
      <c r="AA16" s="396">
        <f>ROUNDUP('Forecasting for Perfume 50ml'!$L76*Fractions!AC$18,0)</f>
        <v>4</v>
      </c>
      <c r="AB16" s="396">
        <f>ROUNDUP('Forecasting for Bodymist 100ml'!$L76*Fractions!AD$18,0)</f>
        <v>6</v>
      </c>
      <c r="AC16" s="396">
        <f>ROUNDUP('Forecasting for Bodymist 100ml'!$L76*Fractions!AE$18,0)</f>
        <v>5</v>
      </c>
      <c r="AD16" s="396">
        <f>ROUNDUP('Forecasting for Bodymist 100ml'!$L76*Fractions!AF$18,0)</f>
        <v>4</v>
      </c>
      <c r="AE16" s="396">
        <f>ROUNDUP('Forecasting for Bodymist 100ml'!$L76*Fractions!AG$18,0)</f>
        <v>7</v>
      </c>
      <c r="AT16" s="319"/>
      <c r="BB16" s="318"/>
    </row>
    <row r="17" spans="1:54" x14ac:dyDescent="0.35">
      <c r="A17" s="395">
        <v>43922</v>
      </c>
      <c r="B17" s="396">
        <f>ROUNDUP('Forecasting for Perfume 30ml '!$L77*Fractions!D$18,0)</f>
        <v>9</v>
      </c>
      <c r="C17" s="396">
        <f>ROUNDUP('Forecasting for Perfume 30ml '!$L77*Fractions!E$18,0)</f>
        <v>9</v>
      </c>
      <c r="D17" s="396">
        <f>ROUNDUP('Forecasting for Perfume 30ml '!$L77*Fractions!F$18,0)</f>
        <v>6</v>
      </c>
      <c r="E17" s="396">
        <f>ROUNDUP('Forecasting for Perfume 30ml '!$L77*Fractions!G$18,0)</f>
        <v>14</v>
      </c>
      <c r="F17" s="396">
        <f>ROUNDUP('Forecasting for Perfume 30ml '!$L77*Fractions!H$18,0)</f>
        <v>8</v>
      </c>
      <c r="G17" s="396">
        <f>ROUNDUP('Forecasting for Perfume 30ml '!$L77*Fractions!I$18,0)</f>
        <v>7</v>
      </c>
      <c r="H17" s="396">
        <f>ROUNDUP('Forecasting for Perfume 30ml '!$L77*Fractions!J$18,0)</f>
        <v>8</v>
      </c>
      <c r="I17" s="396">
        <f>ROUNDUP('Forecasting for Perfume 30ml '!$L77*Fractions!K$18,0)</f>
        <v>7</v>
      </c>
      <c r="J17" s="396">
        <f>ROUNDUP('Forecasting for Perfume 30ml '!$L77*Fractions!L$18,0)</f>
        <v>5</v>
      </c>
      <c r="K17" s="396">
        <f>ROUNDUP('Forecasting for Perfume 30ml '!$L77*Fractions!M$18,0)</f>
        <v>7</v>
      </c>
      <c r="L17" s="396">
        <f>ROUNDUP('Forecasting for Perfume 30ml '!$L77*Fractions!N$18,0)</f>
        <v>18</v>
      </c>
      <c r="M17" s="396">
        <f>ROUNDUP('Forecasting for Perfume 30ml '!$L77*Fractions!O$18,0)</f>
        <v>7</v>
      </c>
      <c r="N17" s="396">
        <f>ROUNDUP('Forecasting for Perfume 30ml '!$L77*Fractions!P$18,0)</f>
        <v>5</v>
      </c>
      <c r="O17" s="396">
        <f>ROUNDUP('Forecasting for Perfume 50ml'!$L77*Fractions!Q$18,0)</f>
        <v>9</v>
      </c>
      <c r="P17" s="396">
        <f>ROUNDUP('Forecasting for Perfume 50ml'!$L77*Fractions!R$18,0)</f>
        <v>10</v>
      </c>
      <c r="Q17" s="396">
        <f>ROUNDUP('Forecasting for Perfume 50ml'!$L77*Fractions!S$18,0)</f>
        <v>6</v>
      </c>
      <c r="R17" s="396">
        <f>ROUNDUP('Forecasting for Perfume 50ml'!$L77*Fractions!T$18,0)</f>
        <v>14</v>
      </c>
      <c r="S17" s="396">
        <f>ROUNDUP('Forecasting for Perfume 50ml'!$L77*Fractions!U$18,0)</f>
        <v>8</v>
      </c>
      <c r="T17" s="396">
        <f>ROUNDUP('Forecasting for Perfume 50ml'!$L77*Fractions!V$18,0)</f>
        <v>7</v>
      </c>
      <c r="U17" s="396">
        <f>ROUNDUP('Forecasting for Perfume 50ml'!$L77*Fractions!W$18,0)</f>
        <v>6</v>
      </c>
      <c r="V17" s="396">
        <f>ROUNDUP('Forecasting for Perfume 50ml'!$L77*Fractions!X$18,0)</f>
        <v>8</v>
      </c>
      <c r="W17" s="396">
        <f>ROUNDUP('Forecasting for Perfume 50ml'!$L77*Fractions!Y$18,0)</f>
        <v>5</v>
      </c>
      <c r="X17" s="396">
        <f>ROUNDUP('Forecasting for Perfume 50ml'!$L77*Fractions!Z$18,0)</f>
        <v>9</v>
      </c>
      <c r="Y17" s="396">
        <f>ROUNDUP('Forecasting for Perfume 50ml'!$L77*Fractions!AA$18,0)</f>
        <v>17</v>
      </c>
      <c r="Z17" s="396">
        <f>ROUNDUP('Forecasting for Perfume 50ml'!$L77*Fractions!AB$18,0)</f>
        <v>8</v>
      </c>
      <c r="AA17" s="396">
        <f>ROUNDUP('Forecasting for Perfume 50ml'!$L77*Fractions!AC$18,0)</f>
        <v>5</v>
      </c>
      <c r="AB17" s="396">
        <f>ROUNDUP('Forecasting for Bodymist 100ml'!$L77*Fractions!AD$18,0)</f>
        <v>8</v>
      </c>
      <c r="AC17" s="396">
        <f>ROUNDUP('Forecasting for Bodymist 100ml'!$L77*Fractions!AE$18,0)</f>
        <v>6</v>
      </c>
      <c r="AD17" s="396">
        <f>ROUNDUP('Forecasting for Bodymist 100ml'!$L77*Fractions!AF$18,0)</f>
        <v>5</v>
      </c>
      <c r="AE17" s="396">
        <f>ROUNDUP('Forecasting for Bodymist 100ml'!$L77*Fractions!AG$18,0)</f>
        <v>9</v>
      </c>
      <c r="AT17" s="319"/>
      <c r="BB17" s="318"/>
    </row>
    <row r="18" spans="1:54" x14ac:dyDescent="0.35">
      <c r="A18" s="395">
        <v>43952</v>
      </c>
      <c r="B18" s="396">
        <f>ROUNDUP('Forecasting for Perfume 30ml '!$L78*Fractions!D$18,0)</f>
        <v>12</v>
      </c>
      <c r="C18" s="396">
        <f>ROUNDUP('Forecasting for Perfume 30ml '!$L78*Fractions!E$18,0)</f>
        <v>12</v>
      </c>
      <c r="D18" s="396">
        <f>ROUNDUP('Forecasting for Perfume 30ml '!$L78*Fractions!F$18,0)</f>
        <v>8</v>
      </c>
      <c r="E18" s="396">
        <f>ROUNDUP('Forecasting for Perfume 30ml '!$L78*Fractions!G$18,0)</f>
        <v>19</v>
      </c>
      <c r="F18" s="396">
        <f>ROUNDUP('Forecasting for Perfume 30ml '!$L78*Fractions!H$18,0)</f>
        <v>10</v>
      </c>
      <c r="G18" s="396">
        <f>ROUNDUP('Forecasting for Perfume 30ml '!$L78*Fractions!I$18,0)</f>
        <v>9</v>
      </c>
      <c r="H18" s="396">
        <f>ROUNDUP('Forecasting for Perfume 30ml '!$L78*Fractions!J$18,0)</f>
        <v>11</v>
      </c>
      <c r="I18" s="396">
        <f>ROUNDUP('Forecasting for Perfume 30ml '!$L78*Fractions!K$18,0)</f>
        <v>10</v>
      </c>
      <c r="J18" s="396">
        <f>ROUNDUP('Forecasting for Perfume 30ml '!$L78*Fractions!L$18,0)</f>
        <v>7</v>
      </c>
      <c r="K18" s="396">
        <f>ROUNDUP('Forecasting for Perfume 30ml '!$L78*Fractions!M$18,0)</f>
        <v>10</v>
      </c>
      <c r="L18" s="396">
        <f>ROUNDUP('Forecasting for Perfume 30ml '!$L78*Fractions!N$18,0)</f>
        <v>25</v>
      </c>
      <c r="M18" s="396">
        <f>ROUNDUP('Forecasting for Perfume 30ml '!$L78*Fractions!O$18,0)</f>
        <v>10</v>
      </c>
      <c r="N18" s="396">
        <f>ROUNDUP('Forecasting for Perfume 30ml '!$L78*Fractions!P$18,0)</f>
        <v>7</v>
      </c>
      <c r="O18" s="396">
        <f>ROUNDUP('Forecasting for Perfume 50ml'!$L78*Fractions!Q$18,0)</f>
        <v>15</v>
      </c>
      <c r="P18" s="396">
        <f>ROUNDUP('Forecasting for Perfume 50ml'!$L78*Fractions!R$18,0)</f>
        <v>15</v>
      </c>
      <c r="Q18" s="396">
        <f>ROUNDUP('Forecasting for Perfume 50ml'!$L78*Fractions!S$18,0)</f>
        <v>9</v>
      </c>
      <c r="R18" s="396">
        <f>ROUNDUP('Forecasting for Perfume 50ml'!$L78*Fractions!T$18,0)</f>
        <v>22</v>
      </c>
      <c r="S18" s="396">
        <f>ROUNDUP('Forecasting for Perfume 50ml'!$L78*Fractions!U$18,0)</f>
        <v>13</v>
      </c>
      <c r="T18" s="396">
        <f>ROUNDUP('Forecasting for Perfume 50ml'!$L78*Fractions!V$18,0)</f>
        <v>12</v>
      </c>
      <c r="U18" s="396">
        <f>ROUNDUP('Forecasting for Perfume 50ml'!$L78*Fractions!W$18,0)</f>
        <v>10</v>
      </c>
      <c r="V18" s="396">
        <f>ROUNDUP('Forecasting for Perfume 50ml'!$L78*Fractions!X$18,0)</f>
        <v>13</v>
      </c>
      <c r="W18" s="396">
        <f>ROUNDUP('Forecasting for Perfume 50ml'!$L78*Fractions!Y$18,0)</f>
        <v>8</v>
      </c>
      <c r="X18" s="396">
        <f>ROUNDUP('Forecasting for Perfume 50ml'!$L78*Fractions!Z$18,0)</f>
        <v>14</v>
      </c>
      <c r="Y18" s="396">
        <f>ROUNDUP('Forecasting for Perfume 50ml'!$L78*Fractions!AA$18,0)</f>
        <v>27</v>
      </c>
      <c r="Z18" s="396">
        <f>ROUNDUP('Forecasting for Perfume 50ml'!$L78*Fractions!AB$18,0)</f>
        <v>13</v>
      </c>
      <c r="AA18" s="396">
        <f>ROUNDUP('Forecasting for Perfume 50ml'!$L78*Fractions!AC$18,0)</f>
        <v>8</v>
      </c>
      <c r="AB18" s="396">
        <f>ROUNDUP('Forecasting for Bodymist 100ml'!$L78*Fractions!AD$18,0)</f>
        <v>14</v>
      </c>
      <c r="AC18" s="396">
        <f>ROUNDUP('Forecasting for Bodymist 100ml'!$L78*Fractions!AE$18,0)</f>
        <v>10</v>
      </c>
      <c r="AD18" s="396">
        <f>ROUNDUP('Forecasting for Bodymist 100ml'!$L78*Fractions!AF$18,0)</f>
        <v>8</v>
      </c>
      <c r="AE18" s="396">
        <f>ROUNDUP('Forecasting for Bodymist 100ml'!$L78*Fractions!AG$18,0)</f>
        <v>16</v>
      </c>
      <c r="AT18" s="380"/>
      <c r="AU18" s="320"/>
      <c r="AV18" s="320"/>
      <c r="AW18" s="320"/>
      <c r="AX18" s="320"/>
      <c r="AY18" s="320"/>
      <c r="AZ18" s="320"/>
      <c r="BA18" s="320"/>
      <c r="BB18" s="321"/>
    </row>
    <row r="19" spans="1:54" x14ac:dyDescent="0.35">
      <c r="A19" s="395">
        <v>43983</v>
      </c>
      <c r="B19" s="396">
        <f>ROUNDUP('Forecasting for Perfume 30ml '!$L79*Fractions!D$18,0)</f>
        <v>7</v>
      </c>
      <c r="C19" s="396">
        <f>ROUNDUP('Forecasting for Perfume 30ml '!$L79*Fractions!E$18,0)</f>
        <v>7</v>
      </c>
      <c r="D19" s="396">
        <f>ROUNDUP('Forecasting for Perfume 30ml '!$L79*Fractions!F$18,0)</f>
        <v>5</v>
      </c>
      <c r="E19" s="396">
        <f>ROUNDUP('Forecasting for Perfume 30ml '!$L79*Fractions!G$18,0)</f>
        <v>11</v>
      </c>
      <c r="F19" s="396">
        <f>ROUNDUP('Forecasting for Perfume 30ml '!$L79*Fractions!H$18,0)</f>
        <v>6</v>
      </c>
      <c r="G19" s="396">
        <f>ROUNDUP('Forecasting for Perfume 30ml '!$L79*Fractions!I$18,0)</f>
        <v>6</v>
      </c>
      <c r="H19" s="396">
        <f>ROUNDUP('Forecasting for Perfume 30ml '!$L79*Fractions!J$18,0)</f>
        <v>6</v>
      </c>
      <c r="I19" s="396">
        <f>ROUNDUP('Forecasting for Perfume 30ml '!$L79*Fractions!K$18,0)</f>
        <v>6</v>
      </c>
      <c r="J19" s="396">
        <f>ROUNDUP('Forecasting for Perfume 30ml '!$L79*Fractions!L$18,0)</f>
        <v>4</v>
      </c>
      <c r="K19" s="396">
        <f>ROUNDUP('Forecasting for Perfume 30ml '!$L79*Fractions!M$18,0)</f>
        <v>6</v>
      </c>
      <c r="L19" s="396">
        <f>ROUNDUP('Forecasting for Perfume 30ml '!$L79*Fractions!N$18,0)</f>
        <v>14</v>
      </c>
      <c r="M19" s="396">
        <f>ROUNDUP('Forecasting for Perfume 30ml '!$L79*Fractions!O$18,0)</f>
        <v>6</v>
      </c>
      <c r="N19" s="396">
        <f>ROUNDUP('Forecasting for Perfume 30ml '!$L79*Fractions!P$18,0)</f>
        <v>4</v>
      </c>
      <c r="O19" s="396">
        <f>ROUNDUP('Forecasting for Perfume 50ml'!$L79*Fractions!Q$18,0)</f>
        <v>7</v>
      </c>
      <c r="P19" s="396">
        <f>ROUNDUP('Forecasting for Perfume 50ml'!$L79*Fractions!R$18,0)</f>
        <v>7</v>
      </c>
      <c r="Q19" s="396">
        <f>ROUNDUP('Forecasting for Perfume 50ml'!$L79*Fractions!S$18,0)</f>
        <v>4</v>
      </c>
      <c r="R19" s="396">
        <f>ROUNDUP('Forecasting for Perfume 50ml'!$L79*Fractions!T$18,0)</f>
        <v>10</v>
      </c>
      <c r="S19" s="396">
        <f>ROUNDUP('Forecasting for Perfume 50ml'!$L79*Fractions!U$18,0)</f>
        <v>6</v>
      </c>
      <c r="T19" s="396">
        <f>ROUNDUP('Forecasting for Perfume 50ml'!$L79*Fractions!V$18,0)</f>
        <v>6</v>
      </c>
      <c r="U19" s="396">
        <f>ROUNDUP('Forecasting for Perfume 50ml'!$L79*Fractions!W$18,0)</f>
        <v>5</v>
      </c>
      <c r="V19" s="396">
        <f>ROUNDUP('Forecasting for Perfume 50ml'!$L79*Fractions!X$18,0)</f>
        <v>6</v>
      </c>
      <c r="W19" s="396">
        <f>ROUNDUP('Forecasting for Perfume 50ml'!$L79*Fractions!Y$18,0)</f>
        <v>4</v>
      </c>
      <c r="X19" s="396">
        <f>ROUNDUP('Forecasting for Perfume 50ml'!$L79*Fractions!Z$18,0)</f>
        <v>7</v>
      </c>
      <c r="Y19" s="396">
        <f>ROUNDUP('Forecasting for Perfume 50ml'!$L79*Fractions!AA$18,0)</f>
        <v>13</v>
      </c>
      <c r="Z19" s="396">
        <f>ROUNDUP('Forecasting for Perfume 50ml'!$L79*Fractions!AB$18,0)</f>
        <v>6</v>
      </c>
      <c r="AA19" s="396">
        <f>ROUNDUP('Forecasting for Perfume 50ml'!$L79*Fractions!AC$18,0)</f>
        <v>4</v>
      </c>
      <c r="AB19" s="396">
        <f>ROUNDUP('Forecasting for Bodymist 100ml'!$L79*Fractions!AD$18,0)</f>
        <v>6</v>
      </c>
      <c r="AC19" s="396">
        <f>ROUNDUP('Forecasting for Bodymist 100ml'!$L79*Fractions!AE$18,0)</f>
        <v>5</v>
      </c>
      <c r="AD19" s="396">
        <f>ROUNDUP('Forecasting for Bodymist 100ml'!$L79*Fractions!AF$18,0)</f>
        <v>4</v>
      </c>
      <c r="AE19" s="396">
        <f>ROUNDUP('Forecasting for Bodymist 100ml'!$L79*Fractions!AG$18,0)</f>
        <v>7</v>
      </c>
    </row>
    <row r="20" spans="1:54" x14ac:dyDescent="0.35">
      <c r="A20" s="395">
        <v>44013</v>
      </c>
      <c r="B20" s="396">
        <f>ROUNDUP('Forecasting for Perfume 30ml '!$L80*Fractions!D$18,0)</f>
        <v>9</v>
      </c>
      <c r="C20" s="396">
        <f>ROUNDUP('Forecasting for Perfume 30ml '!$L80*Fractions!E$18,0)</f>
        <v>9</v>
      </c>
      <c r="D20" s="396">
        <f>ROUNDUP('Forecasting for Perfume 30ml '!$L80*Fractions!F$18,0)</f>
        <v>6</v>
      </c>
      <c r="E20" s="396">
        <f>ROUNDUP('Forecasting for Perfume 30ml '!$L80*Fractions!G$18,0)</f>
        <v>14</v>
      </c>
      <c r="F20" s="396">
        <f>ROUNDUP('Forecasting for Perfume 30ml '!$L80*Fractions!H$18,0)</f>
        <v>8</v>
      </c>
      <c r="G20" s="396">
        <f>ROUNDUP('Forecasting for Perfume 30ml '!$L80*Fractions!I$18,0)</f>
        <v>7</v>
      </c>
      <c r="H20" s="396">
        <f>ROUNDUP('Forecasting for Perfume 30ml '!$L80*Fractions!J$18,0)</f>
        <v>8</v>
      </c>
      <c r="I20" s="396">
        <f>ROUNDUP('Forecasting for Perfume 30ml '!$L80*Fractions!K$18,0)</f>
        <v>7</v>
      </c>
      <c r="J20" s="396">
        <f>ROUNDUP('Forecasting for Perfume 30ml '!$L80*Fractions!L$18,0)</f>
        <v>5</v>
      </c>
      <c r="K20" s="396">
        <f>ROUNDUP('Forecasting for Perfume 30ml '!$L80*Fractions!M$18,0)</f>
        <v>7</v>
      </c>
      <c r="L20" s="396">
        <f>ROUNDUP('Forecasting for Perfume 30ml '!$L80*Fractions!N$18,0)</f>
        <v>18</v>
      </c>
      <c r="M20" s="396">
        <f>ROUNDUP('Forecasting for Perfume 30ml '!$L80*Fractions!O$18,0)</f>
        <v>7</v>
      </c>
      <c r="N20" s="396">
        <f>ROUNDUP('Forecasting for Perfume 30ml '!$L80*Fractions!P$18,0)</f>
        <v>5</v>
      </c>
      <c r="O20" s="396">
        <f>ROUNDUP('Forecasting for Perfume 50ml'!$L80*Fractions!Q$18,0)</f>
        <v>9</v>
      </c>
      <c r="P20" s="396">
        <f>ROUNDUP('Forecasting for Perfume 50ml'!$L80*Fractions!R$18,0)</f>
        <v>10</v>
      </c>
      <c r="Q20" s="396">
        <f>ROUNDUP('Forecasting for Perfume 50ml'!$L80*Fractions!S$18,0)</f>
        <v>6</v>
      </c>
      <c r="R20" s="396">
        <f>ROUNDUP('Forecasting for Perfume 50ml'!$L80*Fractions!T$18,0)</f>
        <v>14</v>
      </c>
      <c r="S20" s="396">
        <f>ROUNDUP('Forecasting for Perfume 50ml'!$L80*Fractions!U$18,0)</f>
        <v>8</v>
      </c>
      <c r="T20" s="396">
        <f>ROUNDUP('Forecasting for Perfume 50ml'!$L80*Fractions!V$18,0)</f>
        <v>7</v>
      </c>
      <c r="U20" s="396">
        <f>ROUNDUP('Forecasting for Perfume 50ml'!$L80*Fractions!W$18,0)</f>
        <v>6</v>
      </c>
      <c r="V20" s="396">
        <f>ROUNDUP('Forecasting for Perfume 50ml'!$L80*Fractions!X$18,0)</f>
        <v>8</v>
      </c>
      <c r="W20" s="396">
        <f>ROUNDUP('Forecasting for Perfume 50ml'!$L80*Fractions!Y$18,0)</f>
        <v>5</v>
      </c>
      <c r="X20" s="396">
        <f>ROUNDUP('Forecasting for Perfume 50ml'!$L80*Fractions!Z$18,0)</f>
        <v>9</v>
      </c>
      <c r="Y20" s="396">
        <f>ROUNDUP('Forecasting for Perfume 50ml'!$L80*Fractions!AA$18,0)</f>
        <v>17</v>
      </c>
      <c r="Z20" s="396">
        <f>ROUNDUP('Forecasting for Perfume 50ml'!$L80*Fractions!AB$18,0)</f>
        <v>8</v>
      </c>
      <c r="AA20" s="396">
        <f>ROUNDUP('Forecasting for Perfume 50ml'!$L80*Fractions!AC$18,0)</f>
        <v>5</v>
      </c>
      <c r="AB20" s="396">
        <f>ROUNDUP('Forecasting for Bodymist 100ml'!$L80*Fractions!AD$18,0)</f>
        <v>8</v>
      </c>
      <c r="AC20" s="396">
        <f>ROUNDUP('Forecasting for Bodymist 100ml'!$L80*Fractions!AE$18,0)</f>
        <v>6</v>
      </c>
      <c r="AD20" s="396">
        <f>ROUNDUP('Forecasting for Bodymist 100ml'!$L80*Fractions!AF$18,0)</f>
        <v>5</v>
      </c>
      <c r="AE20" s="396">
        <f>ROUNDUP('Forecasting for Bodymist 100ml'!$L80*Fractions!AG$18,0)</f>
        <v>9</v>
      </c>
    </row>
    <row r="21" spans="1:54" x14ac:dyDescent="0.35">
      <c r="A21" s="395">
        <v>44044</v>
      </c>
      <c r="B21" s="396">
        <f>ROUNDUP('Forecasting for Perfume 30ml '!$L81*Fractions!D$18,0)</f>
        <v>9</v>
      </c>
      <c r="C21" s="396">
        <f>ROUNDUP('Forecasting for Perfume 30ml '!$L81*Fractions!E$18,0)</f>
        <v>9</v>
      </c>
      <c r="D21" s="396">
        <f>ROUNDUP('Forecasting for Perfume 30ml '!$L81*Fractions!F$18,0)</f>
        <v>6</v>
      </c>
      <c r="E21" s="396">
        <f>ROUNDUP('Forecasting for Perfume 30ml '!$L81*Fractions!G$18,0)</f>
        <v>14</v>
      </c>
      <c r="F21" s="396">
        <f>ROUNDUP('Forecasting for Perfume 30ml '!$L81*Fractions!H$18,0)</f>
        <v>8</v>
      </c>
      <c r="G21" s="396">
        <f>ROUNDUP('Forecasting for Perfume 30ml '!$L81*Fractions!I$18,0)</f>
        <v>7</v>
      </c>
      <c r="H21" s="396">
        <f>ROUNDUP('Forecasting for Perfume 30ml '!$L81*Fractions!J$18,0)</f>
        <v>8</v>
      </c>
      <c r="I21" s="396">
        <f>ROUNDUP('Forecasting for Perfume 30ml '!$L81*Fractions!K$18,0)</f>
        <v>7</v>
      </c>
      <c r="J21" s="396">
        <f>ROUNDUP('Forecasting for Perfume 30ml '!$L81*Fractions!L$18,0)</f>
        <v>5</v>
      </c>
      <c r="K21" s="396">
        <f>ROUNDUP('Forecasting for Perfume 30ml '!$L81*Fractions!M$18,0)</f>
        <v>7</v>
      </c>
      <c r="L21" s="396">
        <f>ROUNDUP('Forecasting for Perfume 30ml '!$L81*Fractions!N$18,0)</f>
        <v>18</v>
      </c>
      <c r="M21" s="396">
        <f>ROUNDUP('Forecasting for Perfume 30ml '!$L81*Fractions!O$18,0)</f>
        <v>7</v>
      </c>
      <c r="N21" s="396">
        <f>ROUNDUP('Forecasting for Perfume 30ml '!$L81*Fractions!P$18,0)</f>
        <v>5</v>
      </c>
      <c r="O21" s="396">
        <f>ROUNDUP('Forecasting for Perfume 50ml'!$L81*Fractions!Q$18,0)</f>
        <v>9</v>
      </c>
      <c r="P21" s="396">
        <f>ROUNDUP('Forecasting for Perfume 50ml'!$L81*Fractions!R$18,0)</f>
        <v>10</v>
      </c>
      <c r="Q21" s="396">
        <f>ROUNDUP('Forecasting for Perfume 50ml'!$L81*Fractions!S$18,0)</f>
        <v>6</v>
      </c>
      <c r="R21" s="396">
        <f>ROUNDUP('Forecasting for Perfume 50ml'!$L81*Fractions!T$18,0)</f>
        <v>14</v>
      </c>
      <c r="S21" s="396">
        <f>ROUNDUP('Forecasting for Perfume 50ml'!$L81*Fractions!U$18,0)</f>
        <v>8</v>
      </c>
      <c r="T21" s="396">
        <f>ROUNDUP('Forecasting for Perfume 50ml'!$L81*Fractions!V$18,0)</f>
        <v>7</v>
      </c>
      <c r="U21" s="396">
        <f>ROUNDUP('Forecasting for Perfume 50ml'!$L81*Fractions!W$18,0)</f>
        <v>6</v>
      </c>
      <c r="V21" s="396">
        <f>ROUNDUP('Forecasting for Perfume 50ml'!$L81*Fractions!X$18,0)</f>
        <v>8</v>
      </c>
      <c r="W21" s="396">
        <f>ROUNDUP('Forecasting for Perfume 50ml'!$L81*Fractions!Y$18,0)</f>
        <v>5</v>
      </c>
      <c r="X21" s="396">
        <f>ROUNDUP('Forecasting for Perfume 50ml'!$L81*Fractions!Z$18,0)</f>
        <v>9</v>
      </c>
      <c r="Y21" s="396">
        <f>ROUNDUP('Forecasting for Perfume 50ml'!$L81*Fractions!AA$18,0)</f>
        <v>17</v>
      </c>
      <c r="Z21" s="396">
        <f>ROUNDUP('Forecasting for Perfume 50ml'!$L81*Fractions!AB$18,0)</f>
        <v>8</v>
      </c>
      <c r="AA21" s="396">
        <f>ROUNDUP('Forecasting for Perfume 50ml'!$L81*Fractions!AC$18,0)</f>
        <v>5</v>
      </c>
      <c r="AB21" s="396">
        <f>ROUNDUP('Forecasting for Bodymist 100ml'!$L81*Fractions!AD$18,0)</f>
        <v>8</v>
      </c>
      <c r="AC21" s="396">
        <f>ROUNDUP('Forecasting for Bodymist 100ml'!$L81*Fractions!AE$18,0)</f>
        <v>6</v>
      </c>
      <c r="AD21" s="396">
        <f>ROUNDUP('Forecasting for Bodymist 100ml'!$L81*Fractions!AF$18,0)</f>
        <v>5</v>
      </c>
      <c r="AE21" s="396">
        <f>ROUNDUP('Forecasting for Bodymist 100ml'!$L81*Fractions!AG$18,0)</f>
        <v>9</v>
      </c>
    </row>
    <row r="22" spans="1:54" x14ac:dyDescent="0.35">
      <c r="A22" s="395">
        <v>44075</v>
      </c>
      <c r="B22" s="396">
        <f>ROUNDUP('Forecasting for Perfume 30ml '!$L82*Fractions!D$18,0)</f>
        <v>9</v>
      </c>
      <c r="C22" s="396">
        <f>ROUNDUP('Forecasting for Perfume 30ml '!$L82*Fractions!E$18,0)</f>
        <v>9</v>
      </c>
      <c r="D22" s="396">
        <f>ROUNDUP('Forecasting for Perfume 30ml '!$L82*Fractions!F$18,0)</f>
        <v>6</v>
      </c>
      <c r="E22" s="396">
        <f>ROUNDUP('Forecasting for Perfume 30ml '!$L82*Fractions!G$18,0)</f>
        <v>14</v>
      </c>
      <c r="F22" s="396">
        <f>ROUNDUP('Forecasting for Perfume 30ml '!$L82*Fractions!H$18,0)</f>
        <v>8</v>
      </c>
      <c r="G22" s="396">
        <f>ROUNDUP('Forecasting for Perfume 30ml '!$L82*Fractions!I$18,0)</f>
        <v>7</v>
      </c>
      <c r="H22" s="396">
        <f>ROUNDUP('Forecasting for Perfume 30ml '!$L82*Fractions!J$18,0)</f>
        <v>8</v>
      </c>
      <c r="I22" s="396">
        <f>ROUNDUP('Forecasting for Perfume 30ml '!$L82*Fractions!K$18,0)</f>
        <v>7</v>
      </c>
      <c r="J22" s="396">
        <f>ROUNDUP('Forecasting for Perfume 30ml '!$L82*Fractions!L$18,0)</f>
        <v>5</v>
      </c>
      <c r="K22" s="396">
        <f>ROUNDUP('Forecasting for Perfume 30ml '!$L82*Fractions!M$18,0)</f>
        <v>7</v>
      </c>
      <c r="L22" s="396">
        <f>ROUNDUP('Forecasting for Perfume 30ml '!$L82*Fractions!N$18,0)</f>
        <v>18</v>
      </c>
      <c r="M22" s="396">
        <f>ROUNDUP('Forecasting for Perfume 30ml '!$L82*Fractions!O$18,0)</f>
        <v>7</v>
      </c>
      <c r="N22" s="396">
        <f>ROUNDUP('Forecasting for Perfume 30ml '!$L82*Fractions!P$18,0)</f>
        <v>5</v>
      </c>
      <c r="O22" s="396">
        <f>ROUNDUP('Forecasting for Perfume 50ml'!$L82*Fractions!Q$18,0)</f>
        <v>9</v>
      </c>
      <c r="P22" s="396">
        <f>ROUNDUP('Forecasting for Perfume 50ml'!$L82*Fractions!R$18,0)</f>
        <v>10</v>
      </c>
      <c r="Q22" s="396">
        <f>ROUNDUP('Forecasting for Perfume 50ml'!$L82*Fractions!S$18,0)</f>
        <v>6</v>
      </c>
      <c r="R22" s="396">
        <f>ROUNDUP('Forecasting for Perfume 50ml'!$L82*Fractions!T$18,0)</f>
        <v>14</v>
      </c>
      <c r="S22" s="396">
        <f>ROUNDUP('Forecasting for Perfume 50ml'!$L82*Fractions!U$18,0)</f>
        <v>8</v>
      </c>
      <c r="T22" s="396">
        <f>ROUNDUP('Forecasting for Perfume 50ml'!$L82*Fractions!V$18,0)</f>
        <v>7</v>
      </c>
      <c r="U22" s="396">
        <f>ROUNDUP('Forecasting for Perfume 50ml'!$L82*Fractions!W$18,0)</f>
        <v>6</v>
      </c>
      <c r="V22" s="396">
        <f>ROUNDUP('Forecasting for Perfume 50ml'!$L82*Fractions!X$18,0)</f>
        <v>8</v>
      </c>
      <c r="W22" s="396">
        <f>ROUNDUP('Forecasting for Perfume 50ml'!$L82*Fractions!Y$18,0)</f>
        <v>5</v>
      </c>
      <c r="X22" s="396">
        <f>ROUNDUP('Forecasting for Perfume 50ml'!$L82*Fractions!Z$18,0)</f>
        <v>9</v>
      </c>
      <c r="Y22" s="396">
        <f>ROUNDUP('Forecasting for Perfume 50ml'!$L82*Fractions!AA$18,0)</f>
        <v>17</v>
      </c>
      <c r="Z22" s="396">
        <f>ROUNDUP('Forecasting for Perfume 50ml'!$L82*Fractions!AB$18,0)</f>
        <v>8</v>
      </c>
      <c r="AA22" s="396">
        <f>ROUNDUP('Forecasting for Perfume 50ml'!$L82*Fractions!AC$18,0)</f>
        <v>5</v>
      </c>
      <c r="AB22" s="396">
        <f>ROUNDUP('Forecasting for Bodymist 100ml'!$L82*Fractions!AD$18,0)</f>
        <v>8</v>
      </c>
      <c r="AC22" s="396">
        <f>ROUNDUP('Forecasting for Bodymist 100ml'!$L82*Fractions!AE$18,0)</f>
        <v>6</v>
      </c>
      <c r="AD22" s="396">
        <f>ROUNDUP('Forecasting for Bodymist 100ml'!$L82*Fractions!AF$18,0)</f>
        <v>5</v>
      </c>
      <c r="AE22" s="396">
        <f>ROUNDUP('Forecasting for Bodymist 100ml'!$L82*Fractions!AG$18,0)</f>
        <v>9</v>
      </c>
    </row>
    <row r="23" spans="1:54" x14ac:dyDescent="0.35">
      <c r="A23" s="395">
        <v>44105</v>
      </c>
      <c r="B23" s="396">
        <f>ROUNDUP('Forecasting for Perfume 30ml '!$L83*Fractions!D$18,0)</f>
        <v>9</v>
      </c>
      <c r="C23" s="396">
        <f>ROUNDUP('Forecasting for Perfume 30ml '!$L83*Fractions!E$18,0)</f>
        <v>9</v>
      </c>
      <c r="D23" s="396">
        <f>ROUNDUP('Forecasting for Perfume 30ml '!$L83*Fractions!F$18,0)</f>
        <v>6</v>
      </c>
      <c r="E23" s="396">
        <f>ROUNDUP('Forecasting for Perfume 30ml '!$L83*Fractions!G$18,0)</f>
        <v>14</v>
      </c>
      <c r="F23" s="396">
        <f>ROUNDUP('Forecasting for Perfume 30ml '!$L83*Fractions!H$18,0)</f>
        <v>8</v>
      </c>
      <c r="G23" s="396">
        <f>ROUNDUP('Forecasting for Perfume 30ml '!$L83*Fractions!I$18,0)</f>
        <v>7</v>
      </c>
      <c r="H23" s="396">
        <f>ROUNDUP('Forecasting for Perfume 30ml '!$L83*Fractions!J$18,0)</f>
        <v>8</v>
      </c>
      <c r="I23" s="396">
        <f>ROUNDUP('Forecasting for Perfume 30ml '!$L83*Fractions!K$18,0)</f>
        <v>7</v>
      </c>
      <c r="J23" s="396">
        <f>ROUNDUP('Forecasting for Perfume 30ml '!$L83*Fractions!L$18,0)</f>
        <v>5</v>
      </c>
      <c r="K23" s="396">
        <f>ROUNDUP('Forecasting for Perfume 30ml '!$L83*Fractions!M$18,0)</f>
        <v>7</v>
      </c>
      <c r="L23" s="396">
        <f>ROUNDUP('Forecasting for Perfume 30ml '!$L83*Fractions!N$18,0)</f>
        <v>18</v>
      </c>
      <c r="M23" s="396">
        <f>ROUNDUP('Forecasting for Perfume 30ml '!$L83*Fractions!O$18,0)</f>
        <v>7</v>
      </c>
      <c r="N23" s="396">
        <f>ROUNDUP('Forecasting for Perfume 30ml '!$L83*Fractions!P$18,0)</f>
        <v>5</v>
      </c>
      <c r="O23" s="396">
        <f>ROUNDUP('Forecasting for Perfume 50ml'!$L83*Fractions!Q$18,0)</f>
        <v>9</v>
      </c>
      <c r="P23" s="396">
        <f>ROUNDUP('Forecasting for Perfume 50ml'!$L83*Fractions!R$18,0)</f>
        <v>10</v>
      </c>
      <c r="Q23" s="396">
        <f>ROUNDUP('Forecasting for Perfume 50ml'!$L83*Fractions!S$18,0)</f>
        <v>6</v>
      </c>
      <c r="R23" s="396">
        <f>ROUNDUP('Forecasting for Perfume 50ml'!$L83*Fractions!T$18,0)</f>
        <v>14</v>
      </c>
      <c r="S23" s="396">
        <f>ROUNDUP('Forecasting for Perfume 50ml'!$L83*Fractions!U$18,0)</f>
        <v>8</v>
      </c>
      <c r="T23" s="396">
        <f>ROUNDUP('Forecasting for Perfume 50ml'!$L83*Fractions!V$18,0)</f>
        <v>7</v>
      </c>
      <c r="U23" s="396">
        <f>ROUNDUP('Forecasting for Perfume 50ml'!$L83*Fractions!W$18,0)</f>
        <v>6</v>
      </c>
      <c r="V23" s="396">
        <f>ROUNDUP('Forecasting for Perfume 50ml'!$L83*Fractions!X$18,0)</f>
        <v>8</v>
      </c>
      <c r="W23" s="396">
        <f>ROUNDUP('Forecasting for Perfume 50ml'!$L83*Fractions!Y$18,0)</f>
        <v>5</v>
      </c>
      <c r="X23" s="396">
        <f>ROUNDUP('Forecasting for Perfume 50ml'!$L83*Fractions!Z$18,0)</f>
        <v>9</v>
      </c>
      <c r="Y23" s="396">
        <f>ROUNDUP('Forecasting for Perfume 50ml'!$L83*Fractions!AA$18,0)</f>
        <v>17</v>
      </c>
      <c r="Z23" s="396">
        <f>ROUNDUP('Forecasting for Perfume 50ml'!$L83*Fractions!AB$18,0)</f>
        <v>8</v>
      </c>
      <c r="AA23" s="396">
        <f>ROUNDUP('Forecasting for Perfume 50ml'!$L83*Fractions!AC$18,0)</f>
        <v>5</v>
      </c>
      <c r="AB23" s="396">
        <f>ROUNDUP('Forecasting for Bodymist 100ml'!$L83*Fractions!AD$18,0)</f>
        <v>8</v>
      </c>
      <c r="AC23" s="396">
        <f>ROUNDUP('Forecasting for Bodymist 100ml'!$L83*Fractions!AE$18,0)</f>
        <v>6</v>
      </c>
      <c r="AD23" s="396">
        <f>ROUNDUP('Forecasting for Bodymist 100ml'!$L83*Fractions!AF$18,0)</f>
        <v>5</v>
      </c>
      <c r="AE23" s="396">
        <f>ROUNDUP('Forecasting for Bodymist 100ml'!$L83*Fractions!AG$18,0)</f>
        <v>9</v>
      </c>
    </row>
    <row r="24" spans="1:54" x14ac:dyDescent="0.35">
      <c r="A24" s="395">
        <v>44136</v>
      </c>
      <c r="B24" s="396">
        <f>ROUNDUP('Forecasting for Perfume 30ml '!$L84*Fractions!D$18,0)</f>
        <v>9</v>
      </c>
      <c r="C24" s="396">
        <f>ROUNDUP('Forecasting for Perfume 30ml '!$L84*Fractions!E$18,0)</f>
        <v>9</v>
      </c>
      <c r="D24" s="396">
        <f>ROUNDUP('Forecasting for Perfume 30ml '!$L84*Fractions!F$18,0)</f>
        <v>6</v>
      </c>
      <c r="E24" s="396">
        <f>ROUNDUP('Forecasting for Perfume 30ml '!$L84*Fractions!G$18,0)</f>
        <v>14</v>
      </c>
      <c r="F24" s="396">
        <f>ROUNDUP('Forecasting for Perfume 30ml '!$L84*Fractions!H$18,0)</f>
        <v>8</v>
      </c>
      <c r="G24" s="396">
        <f>ROUNDUP('Forecasting for Perfume 30ml '!$L84*Fractions!I$18,0)</f>
        <v>7</v>
      </c>
      <c r="H24" s="396">
        <f>ROUNDUP('Forecasting for Perfume 30ml '!$L84*Fractions!J$18,0)</f>
        <v>8</v>
      </c>
      <c r="I24" s="396">
        <f>ROUNDUP('Forecasting for Perfume 30ml '!$L84*Fractions!K$18,0)</f>
        <v>7</v>
      </c>
      <c r="J24" s="396">
        <f>ROUNDUP('Forecasting for Perfume 30ml '!$L84*Fractions!L$18,0)</f>
        <v>5</v>
      </c>
      <c r="K24" s="396">
        <f>ROUNDUP('Forecasting for Perfume 30ml '!$L84*Fractions!M$18,0)</f>
        <v>7</v>
      </c>
      <c r="L24" s="396">
        <f>ROUNDUP('Forecasting for Perfume 30ml '!$L84*Fractions!N$18,0)</f>
        <v>18</v>
      </c>
      <c r="M24" s="396">
        <f>ROUNDUP('Forecasting for Perfume 30ml '!$L84*Fractions!O$18,0)</f>
        <v>7</v>
      </c>
      <c r="N24" s="396">
        <f>ROUNDUP('Forecasting for Perfume 30ml '!$L84*Fractions!P$18,0)</f>
        <v>5</v>
      </c>
      <c r="O24" s="396">
        <f>ROUNDUP('Forecasting for Perfume 50ml'!$L84*Fractions!Q$18,0)</f>
        <v>9</v>
      </c>
      <c r="P24" s="396">
        <f>ROUNDUP('Forecasting for Perfume 50ml'!$L84*Fractions!R$18,0)</f>
        <v>10</v>
      </c>
      <c r="Q24" s="396">
        <f>ROUNDUP('Forecasting for Perfume 50ml'!$L84*Fractions!S$18,0)</f>
        <v>6</v>
      </c>
      <c r="R24" s="396">
        <f>ROUNDUP('Forecasting for Perfume 50ml'!$L84*Fractions!T$18,0)</f>
        <v>14</v>
      </c>
      <c r="S24" s="396">
        <f>ROUNDUP('Forecasting for Perfume 50ml'!$L84*Fractions!U$18,0)</f>
        <v>8</v>
      </c>
      <c r="T24" s="396">
        <f>ROUNDUP('Forecasting for Perfume 50ml'!$L84*Fractions!V$18,0)</f>
        <v>7</v>
      </c>
      <c r="U24" s="396">
        <f>ROUNDUP('Forecasting for Perfume 50ml'!$L84*Fractions!W$18,0)</f>
        <v>6</v>
      </c>
      <c r="V24" s="396">
        <f>ROUNDUP('Forecasting for Perfume 50ml'!$L84*Fractions!X$18,0)</f>
        <v>8</v>
      </c>
      <c r="W24" s="396">
        <f>ROUNDUP('Forecasting for Perfume 50ml'!$L84*Fractions!Y$18,0)</f>
        <v>5</v>
      </c>
      <c r="X24" s="396">
        <f>ROUNDUP('Forecasting for Perfume 50ml'!$L84*Fractions!Z$18,0)</f>
        <v>9</v>
      </c>
      <c r="Y24" s="396">
        <f>ROUNDUP('Forecasting for Perfume 50ml'!$L84*Fractions!AA$18,0)</f>
        <v>17</v>
      </c>
      <c r="Z24" s="396">
        <f>ROUNDUP('Forecasting for Perfume 50ml'!$L84*Fractions!AB$18,0)</f>
        <v>8</v>
      </c>
      <c r="AA24" s="396">
        <f>ROUNDUP('Forecasting for Perfume 50ml'!$L84*Fractions!AC$18,0)</f>
        <v>5</v>
      </c>
      <c r="AB24" s="396">
        <f>ROUNDUP('Forecasting for Bodymist 100ml'!$L84*Fractions!AD$18,0)</f>
        <v>8</v>
      </c>
      <c r="AC24" s="396">
        <f>ROUNDUP('Forecasting for Bodymist 100ml'!$L84*Fractions!AE$18,0)</f>
        <v>6</v>
      </c>
      <c r="AD24" s="396">
        <f>ROUNDUP('Forecasting for Bodymist 100ml'!$L84*Fractions!AF$18,0)</f>
        <v>5</v>
      </c>
      <c r="AE24" s="396">
        <f>ROUNDUP('Forecasting for Bodymist 100ml'!$L84*Fractions!AG$18,0)</f>
        <v>9</v>
      </c>
    </row>
    <row r="25" spans="1:54" x14ac:dyDescent="0.35">
      <c r="A25" s="395">
        <v>44166</v>
      </c>
      <c r="B25" s="396">
        <f>ROUNDUP('Forecasting for Perfume 30ml '!$L85*Fractions!D$18,0)</f>
        <v>18</v>
      </c>
      <c r="C25" s="396">
        <f>ROUNDUP('Forecasting for Perfume 30ml '!$L85*Fractions!E$18,0)</f>
        <v>18</v>
      </c>
      <c r="D25" s="396">
        <f>ROUNDUP('Forecasting for Perfume 30ml '!$L85*Fractions!F$18,0)</f>
        <v>11</v>
      </c>
      <c r="E25" s="396">
        <f>ROUNDUP('Forecasting for Perfume 30ml '!$L85*Fractions!G$18,0)</f>
        <v>28</v>
      </c>
      <c r="F25" s="396">
        <f>ROUNDUP('Forecasting for Perfume 30ml '!$L85*Fractions!H$18,0)</f>
        <v>15</v>
      </c>
      <c r="G25" s="396">
        <f>ROUNDUP('Forecasting for Perfume 30ml '!$L85*Fractions!I$18,0)</f>
        <v>13</v>
      </c>
      <c r="H25" s="396">
        <f>ROUNDUP('Forecasting for Perfume 30ml '!$L85*Fractions!J$18,0)</f>
        <v>15</v>
      </c>
      <c r="I25" s="396">
        <f>ROUNDUP('Forecasting for Perfume 30ml '!$L85*Fractions!K$18,0)</f>
        <v>14</v>
      </c>
      <c r="J25" s="396">
        <f>ROUNDUP('Forecasting for Perfume 30ml '!$L85*Fractions!L$18,0)</f>
        <v>11</v>
      </c>
      <c r="K25" s="396">
        <f>ROUNDUP('Forecasting for Perfume 30ml '!$L85*Fractions!M$18,0)</f>
        <v>15</v>
      </c>
      <c r="L25" s="396">
        <f>ROUNDUP('Forecasting for Perfume 30ml '!$L85*Fractions!N$18,0)</f>
        <v>36</v>
      </c>
      <c r="M25" s="396">
        <f>ROUNDUP('Forecasting for Perfume 30ml '!$L85*Fractions!O$18,0)</f>
        <v>14</v>
      </c>
      <c r="N25" s="396">
        <f>ROUNDUP('Forecasting for Perfume 30ml '!$L85*Fractions!P$18,0)</f>
        <v>10</v>
      </c>
      <c r="O25" s="396">
        <f>ROUNDUP('Forecasting for Perfume 50ml'!$L85*Fractions!Q$18,0)</f>
        <v>19</v>
      </c>
      <c r="P25" s="396">
        <f>ROUNDUP('Forecasting for Perfume 50ml'!$L85*Fractions!R$18,0)</f>
        <v>20</v>
      </c>
      <c r="Q25" s="396">
        <f>ROUNDUP('Forecasting for Perfume 50ml'!$L85*Fractions!S$18,0)</f>
        <v>11</v>
      </c>
      <c r="R25" s="396">
        <f>ROUNDUP('Forecasting for Perfume 50ml'!$L85*Fractions!T$18,0)</f>
        <v>29</v>
      </c>
      <c r="S25" s="396">
        <f>ROUNDUP('Forecasting for Perfume 50ml'!$L85*Fractions!U$18,0)</f>
        <v>17</v>
      </c>
      <c r="T25" s="396">
        <f>ROUNDUP('Forecasting for Perfume 50ml'!$L85*Fractions!V$18,0)</f>
        <v>15</v>
      </c>
      <c r="U25" s="396">
        <f>ROUNDUP('Forecasting for Perfume 50ml'!$L85*Fractions!W$18,0)</f>
        <v>13</v>
      </c>
      <c r="V25" s="396">
        <f>ROUNDUP('Forecasting for Perfume 50ml'!$L85*Fractions!X$18,0)</f>
        <v>17</v>
      </c>
      <c r="W25" s="396">
        <f>ROUNDUP('Forecasting for Perfume 50ml'!$L85*Fractions!Y$18,0)</f>
        <v>10</v>
      </c>
      <c r="X25" s="396">
        <f>ROUNDUP('Forecasting for Perfume 50ml'!$L85*Fractions!Z$18,0)</f>
        <v>18</v>
      </c>
      <c r="Y25" s="396">
        <f>ROUNDUP('Forecasting for Perfume 50ml'!$L85*Fractions!AA$18,0)</f>
        <v>35</v>
      </c>
      <c r="Z25" s="396">
        <f>ROUNDUP('Forecasting for Perfume 50ml'!$L85*Fractions!AB$18,0)</f>
        <v>17</v>
      </c>
      <c r="AA25" s="396">
        <f>ROUNDUP('Forecasting for Perfume 50ml'!$L85*Fractions!AC$18,0)</f>
        <v>11</v>
      </c>
      <c r="AB25" s="396">
        <f>ROUNDUP('Forecasting for Bodymist 100ml'!$L85*Fractions!AD$18,0)</f>
        <v>21</v>
      </c>
      <c r="AC25" s="396">
        <f>ROUNDUP('Forecasting for Bodymist 100ml'!$L85*Fractions!AE$18,0)</f>
        <v>16</v>
      </c>
      <c r="AD25" s="396">
        <f>ROUNDUP('Forecasting for Bodymist 100ml'!$L85*Fractions!AF$18,0)</f>
        <v>12</v>
      </c>
      <c r="AE25" s="396">
        <f>ROUNDUP('Forecasting for Bodymist 100ml'!$L85*Fractions!AG$18,0)</f>
        <v>24</v>
      </c>
    </row>
    <row r="26" spans="1:54" x14ac:dyDescent="0.35">
      <c r="A26" s="394">
        <v>44197</v>
      </c>
      <c r="B26" s="342">
        <f>ROUNDUP('Forecasting for Perfume 30ml '!$L86*Fractions!D$18,0)</f>
        <v>6</v>
      </c>
      <c r="C26" s="342">
        <f>ROUNDUP('Forecasting for Perfume 30ml '!$L86*Fractions!E$18,0)</f>
        <v>6</v>
      </c>
      <c r="D26" s="342">
        <f>ROUNDUP('Forecasting for Perfume 30ml '!$L86*Fractions!F$18,0)</f>
        <v>4</v>
      </c>
      <c r="E26" s="342">
        <f>ROUNDUP('Forecasting for Perfume 30ml '!$L86*Fractions!G$18,0)</f>
        <v>10</v>
      </c>
      <c r="F26" s="342">
        <f>ROUNDUP('Forecasting for Perfume 30ml '!$L86*Fractions!H$18,0)</f>
        <v>5</v>
      </c>
      <c r="G26" s="342">
        <f>ROUNDUP('Forecasting for Perfume 30ml '!$L86*Fractions!I$18,0)</f>
        <v>5</v>
      </c>
      <c r="H26" s="342">
        <f>ROUNDUP('Forecasting for Perfume 30ml '!$L86*Fractions!J$18,0)</f>
        <v>6</v>
      </c>
      <c r="I26" s="342">
        <f>ROUNDUP('Forecasting for Perfume 30ml '!$L86*Fractions!K$18,0)</f>
        <v>5</v>
      </c>
      <c r="J26" s="342">
        <f>ROUNDUP('Forecasting for Perfume 30ml '!$L86*Fractions!L$18,0)</f>
        <v>4</v>
      </c>
      <c r="K26" s="342">
        <f>ROUNDUP('Forecasting for Perfume 30ml '!$L86*Fractions!M$18,0)</f>
        <v>5</v>
      </c>
      <c r="L26" s="342">
        <f>ROUNDUP('Forecasting for Perfume 30ml '!$L86*Fractions!N$18,0)</f>
        <v>13</v>
      </c>
      <c r="M26" s="342">
        <f>ROUNDUP('Forecasting for Perfume 30ml '!$L86*Fractions!O$18,0)</f>
        <v>5</v>
      </c>
      <c r="N26" s="342">
        <f>ROUNDUP('Forecasting for Perfume 30ml '!$L86*Fractions!P$18,0)</f>
        <v>4</v>
      </c>
      <c r="O26" s="342">
        <f>ROUNDUP('Forecasting for Perfume 50ml'!$L86*Fractions!Q$18,0)</f>
        <v>7</v>
      </c>
      <c r="P26" s="342">
        <f>ROUNDUP('Forecasting for Perfume 50ml'!$L86*Fractions!R$18,0)</f>
        <v>7</v>
      </c>
      <c r="Q26" s="342">
        <f>ROUNDUP('Forecasting for Perfume 50ml'!$L86*Fractions!S$18,0)</f>
        <v>4</v>
      </c>
      <c r="R26" s="342">
        <f>ROUNDUP('Forecasting for Perfume 50ml'!$L86*Fractions!T$18,0)</f>
        <v>10</v>
      </c>
      <c r="S26" s="342">
        <f>ROUNDUP('Forecasting for Perfume 50ml'!$L86*Fractions!U$18,0)</f>
        <v>6</v>
      </c>
      <c r="T26" s="342">
        <f>ROUNDUP('Forecasting for Perfume 50ml'!$L86*Fractions!V$18,0)</f>
        <v>6</v>
      </c>
      <c r="U26" s="342">
        <f>ROUNDUP('Forecasting for Perfume 50ml'!$L86*Fractions!W$18,0)</f>
        <v>5</v>
      </c>
      <c r="V26" s="342">
        <f>ROUNDUP('Forecasting for Perfume 50ml'!$L86*Fractions!X$18,0)</f>
        <v>6</v>
      </c>
      <c r="W26" s="342">
        <f>ROUNDUP('Forecasting for Perfume 50ml'!$L86*Fractions!Y$18,0)</f>
        <v>4</v>
      </c>
      <c r="X26" s="342">
        <f>ROUNDUP('Forecasting for Perfume 50ml'!$L86*Fractions!Z$18,0)</f>
        <v>6</v>
      </c>
      <c r="Y26" s="342">
        <f>ROUNDUP('Forecasting for Perfume 50ml'!$L86*Fractions!AA$18,0)</f>
        <v>12</v>
      </c>
      <c r="Z26" s="342">
        <f>ROUNDUP('Forecasting for Perfume 50ml'!$L86*Fractions!AB$18,0)</f>
        <v>6</v>
      </c>
      <c r="AA26" s="342">
        <f>ROUNDUP('Forecasting for Perfume 50ml'!$L86*Fractions!AC$18,0)</f>
        <v>4</v>
      </c>
      <c r="AB26" s="342">
        <f>ROUNDUP('Forecasting for Bodymist 100ml'!$L86*Fractions!AD$18,0)</f>
        <v>4</v>
      </c>
      <c r="AC26" s="342">
        <f>ROUNDUP('Forecasting for Bodymist 100ml'!$L86*Fractions!AE$18,0)</f>
        <v>3</v>
      </c>
      <c r="AD26" s="342">
        <f>ROUNDUP('Forecasting for Bodymist 100ml'!$L86*Fractions!AF$18,0)</f>
        <v>2</v>
      </c>
      <c r="AE26" s="342">
        <f>ROUNDUP('Forecasting for Bodymist 100ml'!$L86*Fractions!AG$18,0)</f>
        <v>4</v>
      </c>
    </row>
    <row r="27" spans="1:54" x14ac:dyDescent="0.35">
      <c r="A27" s="394">
        <v>44228</v>
      </c>
      <c r="B27" s="342">
        <f>ROUNDUP('Forecasting for Perfume 30ml '!$L87*Fractions!D$18,0)</f>
        <v>20</v>
      </c>
      <c r="C27" s="342">
        <f>ROUNDUP('Forecasting for Perfume 30ml '!$L87*Fractions!E$18,0)</f>
        <v>20</v>
      </c>
      <c r="D27" s="342">
        <f>ROUNDUP('Forecasting for Perfume 30ml '!$L87*Fractions!F$18,0)</f>
        <v>13</v>
      </c>
      <c r="E27" s="342">
        <f>ROUNDUP('Forecasting for Perfume 30ml '!$L87*Fractions!G$18,0)</f>
        <v>31</v>
      </c>
      <c r="F27" s="342">
        <f>ROUNDUP('Forecasting for Perfume 30ml '!$L87*Fractions!H$18,0)</f>
        <v>17</v>
      </c>
      <c r="G27" s="342">
        <f>ROUNDUP('Forecasting for Perfume 30ml '!$L87*Fractions!I$18,0)</f>
        <v>15</v>
      </c>
      <c r="H27" s="342">
        <f>ROUNDUP('Forecasting for Perfume 30ml '!$L87*Fractions!J$18,0)</f>
        <v>17</v>
      </c>
      <c r="I27" s="342">
        <f>ROUNDUP('Forecasting for Perfume 30ml '!$L87*Fractions!K$18,0)</f>
        <v>15</v>
      </c>
      <c r="J27" s="342">
        <f>ROUNDUP('Forecasting for Perfume 30ml '!$L87*Fractions!L$18,0)</f>
        <v>12</v>
      </c>
      <c r="K27" s="342">
        <f>ROUNDUP('Forecasting for Perfume 30ml '!$L87*Fractions!M$18,0)</f>
        <v>16</v>
      </c>
      <c r="L27" s="342">
        <f>ROUNDUP('Forecasting for Perfume 30ml '!$L87*Fractions!N$18,0)</f>
        <v>39</v>
      </c>
      <c r="M27" s="342">
        <f>ROUNDUP('Forecasting for Perfume 30ml '!$L87*Fractions!O$18,0)</f>
        <v>16</v>
      </c>
      <c r="N27" s="342">
        <f>ROUNDUP('Forecasting for Perfume 30ml '!$L87*Fractions!P$18,0)</f>
        <v>11</v>
      </c>
      <c r="O27" s="342">
        <f>ROUNDUP('Forecasting for Perfume 50ml'!$L87*Fractions!Q$18,0)</f>
        <v>18</v>
      </c>
      <c r="P27" s="342">
        <f>ROUNDUP('Forecasting for Perfume 50ml'!$L87*Fractions!R$18,0)</f>
        <v>19</v>
      </c>
      <c r="Q27" s="342">
        <f>ROUNDUP('Forecasting for Perfume 50ml'!$L87*Fractions!S$18,0)</f>
        <v>11</v>
      </c>
      <c r="R27" s="342">
        <f>ROUNDUP('Forecasting for Perfume 50ml'!$L87*Fractions!T$18,0)</f>
        <v>27</v>
      </c>
      <c r="S27" s="342">
        <f>ROUNDUP('Forecasting for Perfume 50ml'!$L87*Fractions!U$18,0)</f>
        <v>16</v>
      </c>
      <c r="T27" s="342">
        <f>ROUNDUP('Forecasting for Perfume 50ml'!$L87*Fractions!V$18,0)</f>
        <v>14</v>
      </c>
      <c r="U27" s="342">
        <f>ROUNDUP('Forecasting for Perfume 50ml'!$L87*Fractions!W$18,0)</f>
        <v>12</v>
      </c>
      <c r="V27" s="342">
        <f>ROUNDUP('Forecasting for Perfume 50ml'!$L87*Fractions!X$18,0)</f>
        <v>16</v>
      </c>
      <c r="W27" s="342">
        <f>ROUNDUP('Forecasting for Perfume 50ml'!$L87*Fractions!Y$18,0)</f>
        <v>10</v>
      </c>
      <c r="X27" s="342">
        <f>ROUNDUP('Forecasting for Perfume 50ml'!$L87*Fractions!Z$18,0)</f>
        <v>17</v>
      </c>
      <c r="Y27" s="342">
        <f>ROUNDUP('Forecasting for Perfume 50ml'!$L87*Fractions!AA$18,0)</f>
        <v>33</v>
      </c>
      <c r="Z27" s="342">
        <f>ROUNDUP('Forecasting for Perfume 50ml'!$L87*Fractions!AB$18,0)</f>
        <v>16</v>
      </c>
      <c r="AA27" s="342">
        <f>ROUNDUP('Forecasting for Perfume 50ml'!$L87*Fractions!AC$18,0)</f>
        <v>10</v>
      </c>
      <c r="AB27" s="342">
        <f>ROUNDUP('Forecasting for Bodymist 100ml'!$L87*Fractions!AD$18,0)</f>
        <v>13</v>
      </c>
      <c r="AC27" s="342">
        <f>ROUNDUP('Forecasting for Bodymist 100ml'!$L87*Fractions!AE$18,0)</f>
        <v>10</v>
      </c>
      <c r="AD27" s="342">
        <f>ROUNDUP('Forecasting for Bodymist 100ml'!$L87*Fractions!AF$18,0)</f>
        <v>8</v>
      </c>
      <c r="AE27" s="342">
        <f>ROUNDUP('Forecasting for Bodymist 100ml'!$L87*Fractions!AG$18,0)</f>
        <v>15</v>
      </c>
    </row>
    <row r="28" spans="1:54" x14ac:dyDescent="0.35">
      <c r="A28" s="394">
        <v>44256</v>
      </c>
      <c r="B28" s="342">
        <f>ROUNDUP('Forecasting for Perfume 30ml '!$L88*Fractions!D$18,0)</f>
        <v>5</v>
      </c>
      <c r="C28" s="342">
        <f>ROUNDUP('Forecasting for Perfume 30ml '!$L88*Fractions!E$18,0)</f>
        <v>5</v>
      </c>
      <c r="D28" s="342">
        <f>ROUNDUP('Forecasting for Perfume 30ml '!$L88*Fractions!F$18,0)</f>
        <v>4</v>
      </c>
      <c r="E28" s="342">
        <f>ROUNDUP('Forecasting for Perfume 30ml '!$L88*Fractions!G$18,0)</f>
        <v>8</v>
      </c>
      <c r="F28" s="342">
        <f>ROUNDUP('Forecasting for Perfume 30ml '!$L88*Fractions!H$18,0)</f>
        <v>5</v>
      </c>
      <c r="G28" s="342">
        <f>ROUNDUP('Forecasting for Perfume 30ml '!$L88*Fractions!I$18,0)</f>
        <v>4</v>
      </c>
      <c r="H28" s="342">
        <f>ROUNDUP('Forecasting for Perfume 30ml '!$L88*Fractions!J$18,0)</f>
        <v>5</v>
      </c>
      <c r="I28" s="342">
        <f>ROUNDUP('Forecasting for Perfume 30ml '!$L88*Fractions!K$18,0)</f>
        <v>4</v>
      </c>
      <c r="J28" s="342">
        <f>ROUNDUP('Forecasting for Perfume 30ml '!$L88*Fractions!L$18,0)</f>
        <v>3</v>
      </c>
      <c r="K28" s="342">
        <f>ROUNDUP('Forecasting for Perfume 30ml '!$L88*Fractions!M$18,0)</f>
        <v>5</v>
      </c>
      <c r="L28" s="342">
        <f>ROUNDUP('Forecasting for Perfume 30ml '!$L88*Fractions!N$18,0)</f>
        <v>10</v>
      </c>
      <c r="M28" s="342">
        <f>ROUNDUP('Forecasting for Perfume 30ml '!$L88*Fractions!O$18,0)</f>
        <v>4</v>
      </c>
      <c r="N28" s="342">
        <f>ROUNDUP('Forecasting for Perfume 30ml '!$L88*Fractions!P$18,0)</f>
        <v>3</v>
      </c>
      <c r="O28" s="342">
        <f>ROUNDUP('Forecasting for Perfume 50ml'!$L88*Fractions!Q$18,0)</f>
        <v>7</v>
      </c>
      <c r="P28" s="342">
        <f>ROUNDUP('Forecasting for Perfume 50ml'!$L88*Fractions!R$18,0)</f>
        <v>7</v>
      </c>
      <c r="Q28" s="342">
        <f>ROUNDUP('Forecasting for Perfume 50ml'!$L88*Fractions!S$18,0)</f>
        <v>4</v>
      </c>
      <c r="R28" s="342">
        <f>ROUNDUP('Forecasting for Perfume 50ml'!$L88*Fractions!T$18,0)</f>
        <v>10</v>
      </c>
      <c r="S28" s="342">
        <f>ROUNDUP('Forecasting for Perfume 50ml'!$L88*Fractions!U$18,0)</f>
        <v>6</v>
      </c>
      <c r="T28" s="342">
        <f>ROUNDUP('Forecasting for Perfume 50ml'!$L88*Fractions!V$18,0)</f>
        <v>6</v>
      </c>
      <c r="U28" s="342">
        <f>ROUNDUP('Forecasting for Perfume 50ml'!$L88*Fractions!W$18,0)</f>
        <v>5</v>
      </c>
      <c r="V28" s="342">
        <f>ROUNDUP('Forecasting for Perfume 50ml'!$L88*Fractions!X$18,0)</f>
        <v>6</v>
      </c>
      <c r="W28" s="342">
        <f>ROUNDUP('Forecasting for Perfume 50ml'!$L88*Fractions!Y$18,0)</f>
        <v>4</v>
      </c>
      <c r="X28" s="342">
        <f>ROUNDUP('Forecasting for Perfume 50ml'!$L88*Fractions!Z$18,0)</f>
        <v>7</v>
      </c>
      <c r="Y28" s="342">
        <f>ROUNDUP('Forecasting for Perfume 50ml'!$L88*Fractions!AA$18,0)</f>
        <v>12</v>
      </c>
      <c r="Z28" s="342">
        <f>ROUNDUP('Forecasting for Perfume 50ml'!$L88*Fractions!AB$18,0)</f>
        <v>6</v>
      </c>
      <c r="AA28" s="342">
        <f>ROUNDUP('Forecasting for Perfume 50ml'!$L88*Fractions!AC$18,0)</f>
        <v>4</v>
      </c>
      <c r="AB28" s="342">
        <f>ROUNDUP('Forecasting for Bodymist 100ml'!$L88*Fractions!AD$18,0)</f>
        <v>7</v>
      </c>
      <c r="AC28" s="342">
        <f>ROUNDUP('Forecasting for Bodymist 100ml'!$L88*Fractions!AE$18,0)</f>
        <v>5</v>
      </c>
      <c r="AD28" s="342">
        <f>ROUNDUP('Forecasting for Bodymist 100ml'!$L88*Fractions!AF$18,0)</f>
        <v>4</v>
      </c>
      <c r="AE28" s="342">
        <f>ROUNDUP('Forecasting for Bodymist 100ml'!$L88*Fractions!AG$18,0)</f>
        <v>8</v>
      </c>
    </row>
    <row r="29" spans="1:54" x14ac:dyDescent="0.35">
      <c r="A29" s="394">
        <v>44287</v>
      </c>
      <c r="B29" s="342">
        <f>ROUNDUP('Forecasting for Perfume 30ml '!$L89*Fractions!D$18,0)</f>
        <v>10</v>
      </c>
      <c r="C29" s="342">
        <f>ROUNDUP('Forecasting for Perfume 30ml '!$L89*Fractions!E$18,0)</f>
        <v>10</v>
      </c>
      <c r="D29" s="342">
        <f>ROUNDUP('Forecasting for Perfume 30ml '!$L89*Fractions!F$18,0)</f>
        <v>6</v>
      </c>
      <c r="E29" s="342">
        <f>ROUNDUP('Forecasting for Perfume 30ml '!$L89*Fractions!G$18,0)</f>
        <v>15</v>
      </c>
      <c r="F29" s="342">
        <f>ROUNDUP('Forecasting for Perfume 30ml '!$L89*Fractions!H$18,0)</f>
        <v>8</v>
      </c>
      <c r="G29" s="342">
        <f>ROUNDUP('Forecasting for Perfume 30ml '!$L89*Fractions!I$18,0)</f>
        <v>7</v>
      </c>
      <c r="H29" s="342">
        <f>ROUNDUP('Forecasting for Perfume 30ml '!$L89*Fractions!J$18,0)</f>
        <v>8</v>
      </c>
      <c r="I29" s="342">
        <f>ROUNDUP('Forecasting for Perfume 30ml '!$L89*Fractions!K$18,0)</f>
        <v>8</v>
      </c>
      <c r="J29" s="342">
        <f>ROUNDUP('Forecasting for Perfume 30ml '!$L89*Fractions!L$18,0)</f>
        <v>6</v>
      </c>
      <c r="K29" s="342">
        <f>ROUNDUP('Forecasting for Perfume 30ml '!$L89*Fractions!M$18,0)</f>
        <v>8</v>
      </c>
      <c r="L29" s="342">
        <f>ROUNDUP('Forecasting for Perfume 30ml '!$L89*Fractions!N$18,0)</f>
        <v>19</v>
      </c>
      <c r="M29" s="342">
        <f>ROUNDUP('Forecasting for Perfume 30ml '!$L89*Fractions!O$18,0)</f>
        <v>8</v>
      </c>
      <c r="N29" s="342">
        <f>ROUNDUP('Forecasting for Perfume 30ml '!$L89*Fractions!P$18,0)</f>
        <v>5</v>
      </c>
      <c r="O29" s="342">
        <f>ROUNDUP('Forecasting for Perfume 50ml'!$L89*Fractions!Q$18,0)</f>
        <v>10</v>
      </c>
      <c r="P29" s="342">
        <f>ROUNDUP('Forecasting for Perfume 50ml'!$L89*Fractions!R$18,0)</f>
        <v>11</v>
      </c>
      <c r="Q29" s="342">
        <f>ROUNDUP('Forecasting for Perfume 50ml'!$L89*Fractions!S$18,0)</f>
        <v>6</v>
      </c>
      <c r="R29" s="342">
        <f>ROUNDUP('Forecasting for Perfume 50ml'!$L89*Fractions!T$18,0)</f>
        <v>15</v>
      </c>
      <c r="S29" s="342">
        <f>ROUNDUP('Forecasting for Perfume 50ml'!$L89*Fractions!U$18,0)</f>
        <v>9</v>
      </c>
      <c r="T29" s="342">
        <f>ROUNDUP('Forecasting for Perfume 50ml'!$L89*Fractions!V$18,0)</f>
        <v>8</v>
      </c>
      <c r="U29" s="342">
        <f>ROUNDUP('Forecasting for Perfume 50ml'!$L89*Fractions!W$18,0)</f>
        <v>7</v>
      </c>
      <c r="V29" s="342">
        <f>ROUNDUP('Forecasting for Perfume 50ml'!$L89*Fractions!X$18,0)</f>
        <v>9</v>
      </c>
      <c r="W29" s="342">
        <f>ROUNDUP('Forecasting for Perfume 50ml'!$L89*Fractions!Y$18,0)</f>
        <v>6</v>
      </c>
      <c r="X29" s="342">
        <f>ROUNDUP('Forecasting for Perfume 50ml'!$L89*Fractions!Z$18,0)</f>
        <v>10</v>
      </c>
      <c r="Y29" s="342">
        <f>ROUNDUP('Forecasting for Perfume 50ml'!$L89*Fractions!AA$18,0)</f>
        <v>18</v>
      </c>
      <c r="Z29" s="342">
        <f>ROUNDUP('Forecasting for Perfume 50ml'!$L89*Fractions!AB$18,0)</f>
        <v>9</v>
      </c>
      <c r="AA29" s="342">
        <f>ROUNDUP('Forecasting for Perfume 50ml'!$L89*Fractions!AC$18,0)</f>
        <v>6</v>
      </c>
      <c r="AB29" s="342">
        <f>ROUNDUP('Forecasting for Bodymist 100ml'!$L89*Fractions!AD$18,0)</f>
        <v>9</v>
      </c>
      <c r="AC29" s="342">
        <f>ROUNDUP('Forecasting for Bodymist 100ml'!$L89*Fractions!AE$18,0)</f>
        <v>7</v>
      </c>
      <c r="AD29" s="342">
        <f>ROUNDUP('Forecasting for Bodymist 100ml'!$L89*Fractions!AF$18,0)</f>
        <v>5</v>
      </c>
      <c r="AE29" s="342">
        <f>ROUNDUP('Forecasting for Bodymist 100ml'!$L89*Fractions!AG$18,0)</f>
        <v>10</v>
      </c>
    </row>
    <row r="30" spans="1:54" x14ac:dyDescent="0.35">
      <c r="A30" s="394">
        <v>44317</v>
      </c>
      <c r="B30" s="342">
        <f>ROUNDUP('Forecasting for Perfume 30ml '!$L90*Fractions!D$18,0)</f>
        <v>13</v>
      </c>
      <c r="C30" s="342">
        <f>ROUNDUP('Forecasting for Perfume 30ml '!$L90*Fractions!E$18,0)</f>
        <v>14</v>
      </c>
      <c r="D30" s="342">
        <f>ROUNDUP('Forecasting for Perfume 30ml '!$L90*Fractions!F$18,0)</f>
        <v>9</v>
      </c>
      <c r="E30" s="342">
        <f>ROUNDUP('Forecasting for Perfume 30ml '!$L90*Fractions!G$18,0)</f>
        <v>21</v>
      </c>
      <c r="F30" s="342">
        <f>ROUNDUP('Forecasting for Perfume 30ml '!$L90*Fractions!H$18,0)</f>
        <v>11</v>
      </c>
      <c r="G30" s="342">
        <f>ROUNDUP('Forecasting for Perfume 30ml '!$L90*Fractions!I$18,0)</f>
        <v>10</v>
      </c>
      <c r="H30" s="342">
        <f>ROUNDUP('Forecasting for Perfume 30ml '!$L90*Fractions!J$18,0)</f>
        <v>12</v>
      </c>
      <c r="I30" s="342">
        <f>ROUNDUP('Forecasting for Perfume 30ml '!$L90*Fractions!K$18,0)</f>
        <v>11</v>
      </c>
      <c r="J30" s="342">
        <f>ROUNDUP('Forecasting for Perfume 30ml '!$L90*Fractions!L$18,0)</f>
        <v>8</v>
      </c>
      <c r="K30" s="342">
        <f>ROUNDUP('Forecasting for Perfume 30ml '!$L90*Fractions!M$18,0)</f>
        <v>11</v>
      </c>
      <c r="L30" s="342">
        <f>ROUNDUP('Forecasting for Perfume 30ml '!$L90*Fractions!N$18,0)</f>
        <v>27</v>
      </c>
      <c r="M30" s="342">
        <f>ROUNDUP('Forecasting for Perfume 30ml '!$L90*Fractions!O$18,0)</f>
        <v>11</v>
      </c>
      <c r="N30" s="342">
        <f>ROUNDUP('Forecasting for Perfume 30ml '!$L90*Fractions!P$18,0)</f>
        <v>7</v>
      </c>
      <c r="O30" s="342">
        <f>ROUNDUP('Forecasting for Perfume 50ml'!$L90*Fractions!Q$18,0)</f>
        <v>16</v>
      </c>
      <c r="P30" s="342">
        <f>ROUNDUP('Forecasting for Perfume 50ml'!$L90*Fractions!R$18,0)</f>
        <v>17</v>
      </c>
      <c r="Q30" s="342">
        <f>ROUNDUP('Forecasting for Perfume 50ml'!$L90*Fractions!S$18,0)</f>
        <v>10</v>
      </c>
      <c r="R30" s="342">
        <f>ROUNDUP('Forecasting for Perfume 50ml'!$L90*Fractions!T$18,0)</f>
        <v>24</v>
      </c>
      <c r="S30" s="342">
        <f>ROUNDUP('Forecasting for Perfume 50ml'!$L90*Fractions!U$18,0)</f>
        <v>14</v>
      </c>
      <c r="T30" s="342">
        <f>ROUNDUP('Forecasting for Perfume 50ml'!$L90*Fractions!V$18,0)</f>
        <v>13</v>
      </c>
      <c r="U30" s="342">
        <f>ROUNDUP('Forecasting for Perfume 50ml'!$L90*Fractions!W$18,0)</f>
        <v>11</v>
      </c>
      <c r="V30" s="342">
        <f>ROUNDUP('Forecasting for Perfume 50ml'!$L90*Fractions!X$18,0)</f>
        <v>15</v>
      </c>
      <c r="W30" s="342">
        <f>ROUNDUP('Forecasting for Perfume 50ml'!$L90*Fractions!Y$18,0)</f>
        <v>9</v>
      </c>
      <c r="X30" s="342">
        <f>ROUNDUP('Forecasting for Perfume 50ml'!$L90*Fractions!Z$18,0)</f>
        <v>15</v>
      </c>
      <c r="Y30" s="342">
        <f>ROUNDUP('Forecasting for Perfume 50ml'!$L90*Fractions!AA$18,0)</f>
        <v>29</v>
      </c>
      <c r="Z30" s="342">
        <f>ROUNDUP('Forecasting for Perfume 50ml'!$L90*Fractions!AB$18,0)</f>
        <v>15</v>
      </c>
      <c r="AA30" s="342">
        <f>ROUNDUP('Forecasting for Perfume 50ml'!$L90*Fractions!AC$18,0)</f>
        <v>9</v>
      </c>
      <c r="AB30" s="342">
        <f>ROUNDUP('Forecasting for Bodymist 100ml'!$L90*Fractions!AD$18,0)</f>
        <v>15</v>
      </c>
      <c r="AC30" s="342">
        <f>ROUNDUP('Forecasting for Bodymist 100ml'!$L90*Fractions!AE$18,0)</f>
        <v>11</v>
      </c>
      <c r="AD30" s="342">
        <f>ROUNDUP('Forecasting for Bodymist 100ml'!$L90*Fractions!AF$18,0)</f>
        <v>8</v>
      </c>
      <c r="AE30" s="342">
        <f>ROUNDUP('Forecasting for Bodymist 100ml'!$L90*Fractions!AG$18,0)</f>
        <v>17</v>
      </c>
    </row>
    <row r="31" spans="1:54" x14ac:dyDescent="0.35">
      <c r="A31" s="394">
        <v>44348</v>
      </c>
      <c r="B31" s="342">
        <f>ROUNDUP('Forecasting for Perfume 30ml '!$L91*Fractions!D$18,0)</f>
        <v>10</v>
      </c>
      <c r="C31" s="342">
        <f>ROUNDUP('Forecasting for Perfume 30ml '!$L91*Fractions!E$18,0)</f>
        <v>10</v>
      </c>
      <c r="D31" s="342">
        <f>ROUNDUP('Forecasting for Perfume 30ml '!$L91*Fractions!F$18,0)</f>
        <v>6</v>
      </c>
      <c r="E31" s="342">
        <f>ROUNDUP('Forecasting for Perfume 30ml '!$L91*Fractions!G$18,0)</f>
        <v>15</v>
      </c>
      <c r="F31" s="342">
        <f>ROUNDUP('Forecasting for Perfume 30ml '!$L91*Fractions!H$18,0)</f>
        <v>8</v>
      </c>
      <c r="G31" s="342">
        <f>ROUNDUP('Forecasting for Perfume 30ml '!$L91*Fractions!I$18,0)</f>
        <v>7</v>
      </c>
      <c r="H31" s="342">
        <f>ROUNDUP('Forecasting for Perfume 30ml '!$L91*Fractions!J$18,0)</f>
        <v>8</v>
      </c>
      <c r="I31" s="342">
        <f>ROUNDUP('Forecasting for Perfume 30ml '!$L91*Fractions!K$18,0)</f>
        <v>8</v>
      </c>
      <c r="J31" s="342">
        <f>ROUNDUP('Forecasting for Perfume 30ml '!$L91*Fractions!L$18,0)</f>
        <v>6</v>
      </c>
      <c r="K31" s="342">
        <f>ROUNDUP('Forecasting for Perfume 30ml '!$L91*Fractions!M$18,0)</f>
        <v>8</v>
      </c>
      <c r="L31" s="342">
        <f>ROUNDUP('Forecasting for Perfume 30ml '!$L91*Fractions!N$18,0)</f>
        <v>19</v>
      </c>
      <c r="M31" s="342">
        <f>ROUNDUP('Forecasting for Perfume 30ml '!$L91*Fractions!O$18,0)</f>
        <v>8</v>
      </c>
      <c r="N31" s="342">
        <f>ROUNDUP('Forecasting for Perfume 30ml '!$L91*Fractions!P$18,0)</f>
        <v>5</v>
      </c>
      <c r="O31" s="342">
        <f>ROUNDUP('Forecasting for Perfume 50ml'!$L91*Fractions!Q$18,0)</f>
        <v>9</v>
      </c>
      <c r="P31" s="342">
        <f>ROUNDUP('Forecasting for Perfume 50ml'!$L91*Fractions!R$18,0)</f>
        <v>10</v>
      </c>
      <c r="Q31" s="342">
        <f>ROUNDUP('Forecasting for Perfume 50ml'!$L91*Fractions!S$18,0)</f>
        <v>6</v>
      </c>
      <c r="R31" s="342">
        <f>ROUNDUP('Forecasting for Perfume 50ml'!$L91*Fractions!T$18,0)</f>
        <v>14</v>
      </c>
      <c r="S31" s="342">
        <f>ROUNDUP('Forecasting for Perfume 50ml'!$L91*Fractions!U$18,0)</f>
        <v>8</v>
      </c>
      <c r="T31" s="342">
        <f>ROUNDUP('Forecasting for Perfume 50ml'!$L91*Fractions!V$18,0)</f>
        <v>7</v>
      </c>
      <c r="U31" s="342">
        <f>ROUNDUP('Forecasting for Perfume 50ml'!$L91*Fractions!W$18,0)</f>
        <v>6</v>
      </c>
      <c r="V31" s="342">
        <f>ROUNDUP('Forecasting for Perfume 50ml'!$L91*Fractions!X$18,0)</f>
        <v>8</v>
      </c>
      <c r="W31" s="342">
        <f>ROUNDUP('Forecasting for Perfume 50ml'!$L91*Fractions!Y$18,0)</f>
        <v>5</v>
      </c>
      <c r="X31" s="342">
        <f>ROUNDUP('Forecasting for Perfume 50ml'!$L91*Fractions!Z$18,0)</f>
        <v>9</v>
      </c>
      <c r="Y31" s="342">
        <f>ROUNDUP('Forecasting for Perfume 50ml'!$L91*Fractions!AA$18,0)</f>
        <v>17</v>
      </c>
      <c r="Z31" s="342">
        <f>ROUNDUP('Forecasting for Perfume 50ml'!$L91*Fractions!AB$18,0)</f>
        <v>8</v>
      </c>
      <c r="AA31" s="342">
        <f>ROUNDUP('Forecasting for Perfume 50ml'!$L91*Fractions!AC$18,0)</f>
        <v>5</v>
      </c>
      <c r="AB31" s="342">
        <f>ROUNDUP('Forecasting for Bodymist 100ml'!$L91*Fractions!AD$18,0)</f>
        <v>10</v>
      </c>
      <c r="AC31" s="342">
        <f>ROUNDUP('Forecasting for Bodymist 100ml'!$L91*Fractions!AE$18,0)</f>
        <v>8</v>
      </c>
      <c r="AD31" s="342">
        <f>ROUNDUP('Forecasting for Bodymist 100ml'!$L91*Fractions!AF$18,0)</f>
        <v>6</v>
      </c>
      <c r="AE31" s="342">
        <f>ROUNDUP('Forecasting for Bodymist 100ml'!$L91*Fractions!AG$18,0)</f>
        <v>12</v>
      </c>
    </row>
    <row r="32" spans="1:54" x14ac:dyDescent="0.35">
      <c r="A32" s="394">
        <v>44378</v>
      </c>
      <c r="B32" s="342">
        <f>ROUNDUP('Forecasting for Perfume 30ml '!$L92*Fractions!D$18,0)</f>
        <v>9</v>
      </c>
      <c r="C32" s="342">
        <f>ROUNDUP('Forecasting for Perfume 30ml '!$L92*Fractions!E$18,0)</f>
        <v>9</v>
      </c>
      <c r="D32" s="342">
        <f>ROUNDUP('Forecasting for Perfume 30ml '!$L92*Fractions!F$18,0)</f>
        <v>6</v>
      </c>
      <c r="E32" s="342">
        <f>ROUNDUP('Forecasting for Perfume 30ml '!$L92*Fractions!G$18,0)</f>
        <v>14</v>
      </c>
      <c r="F32" s="342">
        <f>ROUNDUP('Forecasting for Perfume 30ml '!$L92*Fractions!H$18,0)</f>
        <v>8</v>
      </c>
      <c r="G32" s="342">
        <f>ROUNDUP('Forecasting for Perfume 30ml '!$L92*Fractions!I$18,0)</f>
        <v>7</v>
      </c>
      <c r="H32" s="342">
        <f>ROUNDUP('Forecasting for Perfume 30ml '!$L92*Fractions!J$18,0)</f>
        <v>8</v>
      </c>
      <c r="I32" s="342">
        <f>ROUNDUP('Forecasting for Perfume 30ml '!$L92*Fractions!K$18,0)</f>
        <v>7</v>
      </c>
      <c r="J32" s="342">
        <f>ROUNDUP('Forecasting for Perfume 30ml '!$L92*Fractions!L$18,0)</f>
        <v>5</v>
      </c>
      <c r="K32" s="342">
        <f>ROUNDUP('Forecasting for Perfume 30ml '!$L92*Fractions!M$18,0)</f>
        <v>8</v>
      </c>
      <c r="L32" s="342">
        <f>ROUNDUP('Forecasting for Perfume 30ml '!$L92*Fractions!N$18,0)</f>
        <v>18</v>
      </c>
      <c r="M32" s="342">
        <f>ROUNDUP('Forecasting for Perfume 30ml '!$L92*Fractions!O$18,0)</f>
        <v>7</v>
      </c>
      <c r="N32" s="342">
        <f>ROUNDUP('Forecasting for Perfume 30ml '!$L92*Fractions!P$18,0)</f>
        <v>5</v>
      </c>
      <c r="O32" s="342">
        <f>ROUNDUP('Forecasting for Perfume 50ml'!$L92*Fractions!Q$18,0)</f>
        <v>9</v>
      </c>
      <c r="P32" s="342">
        <f>ROUNDUP('Forecasting for Perfume 50ml'!$L92*Fractions!R$18,0)</f>
        <v>10</v>
      </c>
      <c r="Q32" s="342">
        <f>ROUNDUP('Forecasting for Perfume 50ml'!$L92*Fractions!S$18,0)</f>
        <v>6</v>
      </c>
      <c r="R32" s="342">
        <f>ROUNDUP('Forecasting for Perfume 50ml'!$L92*Fractions!T$18,0)</f>
        <v>14</v>
      </c>
      <c r="S32" s="342">
        <f>ROUNDUP('Forecasting for Perfume 50ml'!$L92*Fractions!U$18,0)</f>
        <v>9</v>
      </c>
      <c r="T32" s="342">
        <f>ROUNDUP('Forecasting for Perfume 50ml'!$L92*Fractions!V$18,0)</f>
        <v>8</v>
      </c>
      <c r="U32" s="342">
        <f>ROUNDUP('Forecasting for Perfume 50ml'!$L92*Fractions!W$18,0)</f>
        <v>7</v>
      </c>
      <c r="V32" s="342">
        <f>ROUNDUP('Forecasting for Perfume 50ml'!$L92*Fractions!X$18,0)</f>
        <v>9</v>
      </c>
      <c r="W32" s="342">
        <f>ROUNDUP('Forecasting for Perfume 50ml'!$L92*Fractions!Y$18,0)</f>
        <v>5</v>
      </c>
      <c r="X32" s="342">
        <f>ROUNDUP('Forecasting for Perfume 50ml'!$L92*Fractions!Z$18,0)</f>
        <v>9</v>
      </c>
      <c r="Y32" s="342">
        <f>ROUNDUP('Forecasting for Perfume 50ml'!$L92*Fractions!AA$18,0)</f>
        <v>17</v>
      </c>
      <c r="Z32" s="342">
        <f>ROUNDUP('Forecasting for Perfume 50ml'!$L92*Fractions!AB$18,0)</f>
        <v>9</v>
      </c>
      <c r="AA32" s="342">
        <f>ROUNDUP('Forecasting for Perfume 50ml'!$L92*Fractions!AC$18,0)</f>
        <v>5</v>
      </c>
      <c r="AB32" s="342">
        <f>ROUNDUP('Forecasting for Bodymist 100ml'!$L92*Fractions!AD$18,0)</f>
        <v>7</v>
      </c>
      <c r="AC32" s="342">
        <f>ROUNDUP('Forecasting for Bodymist 100ml'!$L92*Fractions!AE$18,0)</f>
        <v>5</v>
      </c>
      <c r="AD32" s="342">
        <f>ROUNDUP('Forecasting for Bodymist 100ml'!$L92*Fractions!AF$18,0)</f>
        <v>4</v>
      </c>
      <c r="AE32" s="342">
        <f>ROUNDUP('Forecasting for Bodymist 100ml'!$L92*Fractions!AG$18,0)</f>
        <v>8</v>
      </c>
    </row>
    <row r="33" spans="1:31" x14ac:dyDescent="0.35">
      <c r="A33" s="394">
        <v>44409</v>
      </c>
      <c r="B33" s="342">
        <f>ROUNDUP('Forecasting for Perfume 30ml '!$L93*Fractions!D$18,0)</f>
        <v>10</v>
      </c>
      <c r="C33" s="342">
        <f>ROUNDUP('Forecasting for Perfume 30ml '!$L93*Fractions!E$18,0)</f>
        <v>10</v>
      </c>
      <c r="D33" s="342">
        <f>ROUNDUP('Forecasting for Perfume 30ml '!$L93*Fractions!F$18,0)</f>
        <v>6</v>
      </c>
      <c r="E33" s="342">
        <f>ROUNDUP('Forecasting for Perfume 30ml '!$L93*Fractions!G$18,0)</f>
        <v>15</v>
      </c>
      <c r="F33" s="342">
        <f>ROUNDUP('Forecasting for Perfume 30ml '!$L93*Fractions!H$18,0)</f>
        <v>8</v>
      </c>
      <c r="G33" s="342">
        <f>ROUNDUP('Forecasting for Perfume 30ml '!$L93*Fractions!I$18,0)</f>
        <v>7</v>
      </c>
      <c r="H33" s="342">
        <f>ROUNDUP('Forecasting for Perfume 30ml '!$L93*Fractions!J$18,0)</f>
        <v>8</v>
      </c>
      <c r="I33" s="342">
        <f>ROUNDUP('Forecasting for Perfume 30ml '!$L93*Fractions!K$18,0)</f>
        <v>8</v>
      </c>
      <c r="J33" s="342">
        <f>ROUNDUP('Forecasting for Perfume 30ml '!$L93*Fractions!L$18,0)</f>
        <v>6</v>
      </c>
      <c r="K33" s="342">
        <f>ROUNDUP('Forecasting for Perfume 30ml '!$L93*Fractions!M$18,0)</f>
        <v>8</v>
      </c>
      <c r="L33" s="342">
        <f>ROUNDUP('Forecasting for Perfume 30ml '!$L93*Fractions!N$18,0)</f>
        <v>19</v>
      </c>
      <c r="M33" s="342">
        <f>ROUNDUP('Forecasting for Perfume 30ml '!$L93*Fractions!O$18,0)</f>
        <v>8</v>
      </c>
      <c r="N33" s="342">
        <f>ROUNDUP('Forecasting for Perfume 30ml '!$L93*Fractions!P$18,0)</f>
        <v>5</v>
      </c>
      <c r="O33" s="342">
        <f>ROUNDUP('Forecasting for Perfume 50ml'!$L93*Fractions!Q$18,0)</f>
        <v>10</v>
      </c>
      <c r="P33" s="342">
        <f>ROUNDUP('Forecasting for Perfume 50ml'!$L93*Fractions!R$18,0)</f>
        <v>11</v>
      </c>
      <c r="Q33" s="342">
        <f>ROUNDUP('Forecasting for Perfume 50ml'!$L93*Fractions!S$18,0)</f>
        <v>6</v>
      </c>
      <c r="R33" s="342">
        <f>ROUNDUP('Forecasting for Perfume 50ml'!$L93*Fractions!T$18,0)</f>
        <v>15</v>
      </c>
      <c r="S33" s="342">
        <f>ROUNDUP('Forecasting for Perfume 50ml'!$L93*Fractions!U$18,0)</f>
        <v>9</v>
      </c>
      <c r="T33" s="342">
        <f>ROUNDUP('Forecasting for Perfume 50ml'!$L93*Fractions!V$18,0)</f>
        <v>8</v>
      </c>
      <c r="U33" s="342">
        <f>ROUNDUP('Forecasting for Perfume 50ml'!$L93*Fractions!W$18,0)</f>
        <v>7</v>
      </c>
      <c r="V33" s="342">
        <f>ROUNDUP('Forecasting for Perfume 50ml'!$L93*Fractions!X$18,0)</f>
        <v>9</v>
      </c>
      <c r="W33" s="342">
        <f>ROUNDUP('Forecasting for Perfume 50ml'!$L93*Fractions!Y$18,0)</f>
        <v>6</v>
      </c>
      <c r="X33" s="342">
        <f>ROUNDUP('Forecasting for Perfume 50ml'!$L93*Fractions!Z$18,0)</f>
        <v>10</v>
      </c>
      <c r="Y33" s="342">
        <f>ROUNDUP('Forecasting for Perfume 50ml'!$L93*Fractions!AA$18,0)</f>
        <v>18</v>
      </c>
      <c r="Z33" s="342">
        <f>ROUNDUP('Forecasting for Perfume 50ml'!$L93*Fractions!AB$18,0)</f>
        <v>9</v>
      </c>
      <c r="AA33" s="342">
        <f>ROUNDUP('Forecasting for Perfume 50ml'!$L93*Fractions!AC$18,0)</f>
        <v>6</v>
      </c>
      <c r="AB33" s="342">
        <f>ROUNDUP('Forecasting for Bodymist 100ml'!$L93*Fractions!AD$18,0)</f>
        <v>9</v>
      </c>
      <c r="AC33" s="342">
        <f>ROUNDUP('Forecasting for Bodymist 100ml'!$L93*Fractions!AE$18,0)</f>
        <v>7</v>
      </c>
      <c r="AD33" s="342">
        <f>ROUNDUP('Forecasting for Bodymist 100ml'!$L93*Fractions!AF$18,0)</f>
        <v>5</v>
      </c>
      <c r="AE33" s="342">
        <f>ROUNDUP('Forecasting for Bodymist 100ml'!$L93*Fractions!AG$18,0)</f>
        <v>10</v>
      </c>
    </row>
    <row r="34" spans="1:31" x14ac:dyDescent="0.35">
      <c r="A34" s="394">
        <v>44440</v>
      </c>
      <c r="B34" s="342">
        <f>ROUNDUP('Forecasting for Perfume 30ml '!$L94*Fractions!D$18,0)</f>
        <v>10</v>
      </c>
      <c r="C34" s="342">
        <f>ROUNDUP('Forecasting for Perfume 30ml '!$L94*Fractions!E$18,0)</f>
        <v>10</v>
      </c>
      <c r="D34" s="342">
        <f>ROUNDUP('Forecasting for Perfume 30ml '!$L94*Fractions!F$18,0)</f>
        <v>6</v>
      </c>
      <c r="E34" s="342">
        <f>ROUNDUP('Forecasting for Perfume 30ml '!$L94*Fractions!G$18,0)</f>
        <v>15</v>
      </c>
      <c r="F34" s="342">
        <f>ROUNDUP('Forecasting for Perfume 30ml '!$L94*Fractions!H$18,0)</f>
        <v>8</v>
      </c>
      <c r="G34" s="342">
        <f>ROUNDUP('Forecasting for Perfume 30ml '!$L94*Fractions!I$18,0)</f>
        <v>7</v>
      </c>
      <c r="H34" s="342">
        <f>ROUNDUP('Forecasting for Perfume 30ml '!$L94*Fractions!J$18,0)</f>
        <v>8</v>
      </c>
      <c r="I34" s="342">
        <f>ROUNDUP('Forecasting for Perfume 30ml '!$L94*Fractions!K$18,0)</f>
        <v>8</v>
      </c>
      <c r="J34" s="342">
        <f>ROUNDUP('Forecasting for Perfume 30ml '!$L94*Fractions!L$18,0)</f>
        <v>6</v>
      </c>
      <c r="K34" s="342">
        <f>ROUNDUP('Forecasting for Perfume 30ml '!$L94*Fractions!M$18,0)</f>
        <v>8</v>
      </c>
      <c r="L34" s="342">
        <f>ROUNDUP('Forecasting for Perfume 30ml '!$L94*Fractions!N$18,0)</f>
        <v>19</v>
      </c>
      <c r="M34" s="342">
        <f>ROUNDUP('Forecasting for Perfume 30ml '!$L94*Fractions!O$18,0)</f>
        <v>8</v>
      </c>
      <c r="N34" s="342">
        <f>ROUNDUP('Forecasting for Perfume 30ml '!$L94*Fractions!P$18,0)</f>
        <v>5</v>
      </c>
      <c r="O34" s="342">
        <f>ROUNDUP('Forecasting for Perfume 50ml'!$L94*Fractions!Q$18,0)</f>
        <v>10</v>
      </c>
      <c r="P34" s="342">
        <f>ROUNDUP('Forecasting for Perfume 50ml'!$L94*Fractions!R$18,0)</f>
        <v>11</v>
      </c>
      <c r="Q34" s="342">
        <f>ROUNDUP('Forecasting for Perfume 50ml'!$L94*Fractions!S$18,0)</f>
        <v>6</v>
      </c>
      <c r="R34" s="342">
        <f>ROUNDUP('Forecasting for Perfume 50ml'!$L94*Fractions!T$18,0)</f>
        <v>15</v>
      </c>
      <c r="S34" s="342">
        <f>ROUNDUP('Forecasting for Perfume 50ml'!$L94*Fractions!U$18,0)</f>
        <v>9</v>
      </c>
      <c r="T34" s="342">
        <f>ROUNDUP('Forecasting for Perfume 50ml'!$L94*Fractions!V$18,0)</f>
        <v>8</v>
      </c>
      <c r="U34" s="342">
        <f>ROUNDUP('Forecasting for Perfume 50ml'!$L94*Fractions!W$18,0)</f>
        <v>7</v>
      </c>
      <c r="V34" s="342">
        <f>ROUNDUP('Forecasting for Perfume 50ml'!$L94*Fractions!X$18,0)</f>
        <v>9</v>
      </c>
      <c r="W34" s="342">
        <f>ROUNDUP('Forecasting for Perfume 50ml'!$L94*Fractions!Y$18,0)</f>
        <v>6</v>
      </c>
      <c r="X34" s="342">
        <f>ROUNDUP('Forecasting for Perfume 50ml'!$L94*Fractions!Z$18,0)</f>
        <v>10</v>
      </c>
      <c r="Y34" s="342">
        <f>ROUNDUP('Forecasting for Perfume 50ml'!$L94*Fractions!AA$18,0)</f>
        <v>18</v>
      </c>
      <c r="Z34" s="342">
        <f>ROUNDUP('Forecasting for Perfume 50ml'!$L94*Fractions!AB$18,0)</f>
        <v>9</v>
      </c>
      <c r="AA34" s="342">
        <f>ROUNDUP('Forecasting for Perfume 50ml'!$L94*Fractions!AC$18,0)</f>
        <v>6</v>
      </c>
      <c r="AB34" s="342">
        <f>ROUNDUP('Forecasting for Bodymist 100ml'!$L94*Fractions!AD$18,0)</f>
        <v>9</v>
      </c>
      <c r="AC34" s="342">
        <f>ROUNDUP('Forecasting for Bodymist 100ml'!$L94*Fractions!AE$18,0)</f>
        <v>7</v>
      </c>
      <c r="AD34" s="342">
        <f>ROUNDUP('Forecasting for Bodymist 100ml'!$L94*Fractions!AF$18,0)</f>
        <v>5</v>
      </c>
      <c r="AE34" s="342">
        <f>ROUNDUP('Forecasting for Bodymist 100ml'!$L94*Fractions!AG$18,0)</f>
        <v>10</v>
      </c>
    </row>
    <row r="35" spans="1:31" x14ac:dyDescent="0.35">
      <c r="A35" s="394">
        <v>44470</v>
      </c>
      <c r="B35" s="342">
        <f>ROUNDUP('Forecasting for Perfume 30ml '!$L95*Fractions!D$18,0)</f>
        <v>10</v>
      </c>
      <c r="C35" s="342">
        <f>ROUNDUP('Forecasting for Perfume 30ml '!$L95*Fractions!E$18,0)</f>
        <v>10</v>
      </c>
      <c r="D35" s="342">
        <f>ROUNDUP('Forecasting for Perfume 30ml '!$L95*Fractions!F$18,0)</f>
        <v>6</v>
      </c>
      <c r="E35" s="342">
        <f>ROUNDUP('Forecasting for Perfume 30ml '!$L95*Fractions!G$18,0)</f>
        <v>15</v>
      </c>
      <c r="F35" s="342">
        <f>ROUNDUP('Forecasting for Perfume 30ml '!$L95*Fractions!H$18,0)</f>
        <v>8</v>
      </c>
      <c r="G35" s="342">
        <f>ROUNDUP('Forecasting for Perfume 30ml '!$L95*Fractions!I$18,0)</f>
        <v>7</v>
      </c>
      <c r="H35" s="342">
        <f>ROUNDUP('Forecasting for Perfume 30ml '!$L95*Fractions!J$18,0)</f>
        <v>8</v>
      </c>
      <c r="I35" s="342">
        <f>ROUNDUP('Forecasting for Perfume 30ml '!$L95*Fractions!K$18,0)</f>
        <v>8</v>
      </c>
      <c r="J35" s="342">
        <f>ROUNDUP('Forecasting for Perfume 30ml '!$L95*Fractions!L$18,0)</f>
        <v>6</v>
      </c>
      <c r="K35" s="342">
        <f>ROUNDUP('Forecasting for Perfume 30ml '!$L95*Fractions!M$18,0)</f>
        <v>8</v>
      </c>
      <c r="L35" s="342">
        <f>ROUNDUP('Forecasting for Perfume 30ml '!$L95*Fractions!N$18,0)</f>
        <v>19</v>
      </c>
      <c r="M35" s="342">
        <f>ROUNDUP('Forecasting for Perfume 30ml '!$L95*Fractions!O$18,0)</f>
        <v>8</v>
      </c>
      <c r="N35" s="342">
        <f>ROUNDUP('Forecasting for Perfume 30ml '!$L95*Fractions!P$18,0)</f>
        <v>5</v>
      </c>
      <c r="O35" s="342">
        <f>ROUNDUP('Forecasting for Perfume 50ml'!$L95*Fractions!Q$18,0)</f>
        <v>10</v>
      </c>
      <c r="P35" s="342">
        <f>ROUNDUP('Forecasting for Perfume 50ml'!$L95*Fractions!R$18,0)</f>
        <v>11</v>
      </c>
      <c r="Q35" s="342">
        <f>ROUNDUP('Forecasting for Perfume 50ml'!$L95*Fractions!S$18,0)</f>
        <v>6</v>
      </c>
      <c r="R35" s="342">
        <f>ROUNDUP('Forecasting for Perfume 50ml'!$L95*Fractions!T$18,0)</f>
        <v>15</v>
      </c>
      <c r="S35" s="342">
        <f>ROUNDUP('Forecasting for Perfume 50ml'!$L95*Fractions!U$18,0)</f>
        <v>9</v>
      </c>
      <c r="T35" s="342">
        <f>ROUNDUP('Forecasting for Perfume 50ml'!$L95*Fractions!V$18,0)</f>
        <v>8</v>
      </c>
      <c r="U35" s="342">
        <f>ROUNDUP('Forecasting for Perfume 50ml'!$L95*Fractions!W$18,0)</f>
        <v>7</v>
      </c>
      <c r="V35" s="342">
        <f>ROUNDUP('Forecasting for Perfume 50ml'!$L95*Fractions!X$18,0)</f>
        <v>9</v>
      </c>
      <c r="W35" s="342">
        <f>ROUNDUP('Forecasting for Perfume 50ml'!$L95*Fractions!Y$18,0)</f>
        <v>6</v>
      </c>
      <c r="X35" s="342">
        <f>ROUNDUP('Forecasting for Perfume 50ml'!$L95*Fractions!Z$18,0)</f>
        <v>10</v>
      </c>
      <c r="Y35" s="342">
        <f>ROUNDUP('Forecasting for Perfume 50ml'!$L95*Fractions!AA$18,0)</f>
        <v>18</v>
      </c>
      <c r="Z35" s="342">
        <f>ROUNDUP('Forecasting for Perfume 50ml'!$L95*Fractions!AB$18,0)</f>
        <v>9</v>
      </c>
      <c r="AA35" s="342">
        <f>ROUNDUP('Forecasting for Perfume 50ml'!$L95*Fractions!AC$18,0)</f>
        <v>6</v>
      </c>
      <c r="AB35" s="342">
        <f>ROUNDUP('Forecasting for Bodymist 100ml'!$L95*Fractions!AD$18,0)</f>
        <v>9</v>
      </c>
      <c r="AC35" s="342">
        <f>ROUNDUP('Forecasting for Bodymist 100ml'!$L95*Fractions!AE$18,0)</f>
        <v>7</v>
      </c>
      <c r="AD35" s="342">
        <f>ROUNDUP('Forecasting for Bodymist 100ml'!$L95*Fractions!AF$18,0)</f>
        <v>5</v>
      </c>
      <c r="AE35" s="342">
        <f>ROUNDUP('Forecasting for Bodymist 100ml'!$L95*Fractions!AG$18,0)</f>
        <v>10</v>
      </c>
    </row>
    <row r="36" spans="1:31" x14ac:dyDescent="0.35">
      <c r="A36" s="394">
        <v>44501</v>
      </c>
      <c r="B36" s="342">
        <f>ROUNDUP('Forecasting for Perfume 30ml '!$L96*Fractions!D$18,0)</f>
        <v>10</v>
      </c>
      <c r="C36" s="342">
        <f>ROUNDUP('Forecasting for Perfume 30ml '!$L96*Fractions!E$18,0)</f>
        <v>10</v>
      </c>
      <c r="D36" s="342">
        <f>ROUNDUP('Forecasting for Perfume 30ml '!$L96*Fractions!F$18,0)</f>
        <v>6</v>
      </c>
      <c r="E36" s="342">
        <f>ROUNDUP('Forecasting for Perfume 30ml '!$L96*Fractions!G$18,0)</f>
        <v>15</v>
      </c>
      <c r="F36" s="342">
        <f>ROUNDUP('Forecasting for Perfume 30ml '!$L96*Fractions!H$18,0)</f>
        <v>8</v>
      </c>
      <c r="G36" s="342">
        <f>ROUNDUP('Forecasting for Perfume 30ml '!$L96*Fractions!I$18,0)</f>
        <v>7</v>
      </c>
      <c r="H36" s="342">
        <f>ROUNDUP('Forecasting for Perfume 30ml '!$L96*Fractions!J$18,0)</f>
        <v>8</v>
      </c>
      <c r="I36" s="342">
        <f>ROUNDUP('Forecasting for Perfume 30ml '!$L96*Fractions!K$18,0)</f>
        <v>8</v>
      </c>
      <c r="J36" s="342">
        <f>ROUNDUP('Forecasting for Perfume 30ml '!$L96*Fractions!L$18,0)</f>
        <v>6</v>
      </c>
      <c r="K36" s="342">
        <f>ROUNDUP('Forecasting for Perfume 30ml '!$L96*Fractions!M$18,0)</f>
        <v>8</v>
      </c>
      <c r="L36" s="342">
        <f>ROUNDUP('Forecasting for Perfume 30ml '!$L96*Fractions!N$18,0)</f>
        <v>19</v>
      </c>
      <c r="M36" s="342">
        <f>ROUNDUP('Forecasting for Perfume 30ml '!$L96*Fractions!O$18,0)</f>
        <v>8</v>
      </c>
      <c r="N36" s="342">
        <f>ROUNDUP('Forecasting for Perfume 30ml '!$L96*Fractions!P$18,0)</f>
        <v>5</v>
      </c>
      <c r="O36" s="342">
        <f>ROUNDUP('Forecasting for Perfume 50ml'!$L96*Fractions!Q$18,0)</f>
        <v>10</v>
      </c>
      <c r="P36" s="342">
        <f>ROUNDUP('Forecasting for Perfume 50ml'!$L96*Fractions!R$18,0)</f>
        <v>11</v>
      </c>
      <c r="Q36" s="342">
        <f>ROUNDUP('Forecasting for Perfume 50ml'!$L96*Fractions!S$18,0)</f>
        <v>6</v>
      </c>
      <c r="R36" s="342">
        <f>ROUNDUP('Forecasting for Perfume 50ml'!$L96*Fractions!T$18,0)</f>
        <v>15</v>
      </c>
      <c r="S36" s="342">
        <f>ROUNDUP('Forecasting for Perfume 50ml'!$L96*Fractions!U$18,0)</f>
        <v>9</v>
      </c>
      <c r="T36" s="342">
        <f>ROUNDUP('Forecasting for Perfume 50ml'!$L96*Fractions!V$18,0)</f>
        <v>8</v>
      </c>
      <c r="U36" s="342">
        <f>ROUNDUP('Forecasting for Perfume 50ml'!$L96*Fractions!W$18,0)</f>
        <v>7</v>
      </c>
      <c r="V36" s="342">
        <f>ROUNDUP('Forecasting for Perfume 50ml'!$L96*Fractions!X$18,0)</f>
        <v>9</v>
      </c>
      <c r="W36" s="342">
        <f>ROUNDUP('Forecasting for Perfume 50ml'!$L96*Fractions!Y$18,0)</f>
        <v>6</v>
      </c>
      <c r="X36" s="342">
        <f>ROUNDUP('Forecasting for Perfume 50ml'!$L96*Fractions!Z$18,0)</f>
        <v>10</v>
      </c>
      <c r="Y36" s="342">
        <f>ROUNDUP('Forecasting for Perfume 50ml'!$L96*Fractions!AA$18,0)</f>
        <v>18</v>
      </c>
      <c r="Z36" s="342">
        <f>ROUNDUP('Forecasting for Perfume 50ml'!$L96*Fractions!AB$18,0)</f>
        <v>9</v>
      </c>
      <c r="AA36" s="342">
        <f>ROUNDUP('Forecasting for Perfume 50ml'!$L96*Fractions!AC$18,0)</f>
        <v>6</v>
      </c>
      <c r="AB36" s="342">
        <f>ROUNDUP('Forecasting for Bodymist 100ml'!$L96*Fractions!AD$18,0)</f>
        <v>9</v>
      </c>
      <c r="AC36" s="342">
        <f>ROUNDUP('Forecasting for Bodymist 100ml'!$L96*Fractions!AE$18,0)</f>
        <v>7</v>
      </c>
      <c r="AD36" s="342">
        <f>ROUNDUP('Forecasting for Bodymist 100ml'!$L96*Fractions!AF$18,0)</f>
        <v>5</v>
      </c>
      <c r="AE36" s="342">
        <f>ROUNDUP('Forecasting for Bodymist 100ml'!$L96*Fractions!AG$18,0)</f>
        <v>10</v>
      </c>
    </row>
    <row r="37" spans="1:31" x14ac:dyDescent="0.35">
      <c r="A37" s="394">
        <v>44531</v>
      </c>
      <c r="B37" s="342">
        <f>ROUNDUP('Forecasting for Perfume 30ml '!$L97*Fractions!D$18,0)</f>
        <v>19</v>
      </c>
      <c r="C37" s="342">
        <f>ROUNDUP('Forecasting for Perfume 30ml '!$L97*Fractions!E$18,0)</f>
        <v>19</v>
      </c>
      <c r="D37" s="342">
        <f>ROUNDUP('Forecasting for Perfume 30ml '!$L97*Fractions!F$18,0)</f>
        <v>12</v>
      </c>
      <c r="E37" s="342">
        <f>ROUNDUP('Forecasting for Perfume 30ml '!$L97*Fractions!G$18,0)</f>
        <v>31</v>
      </c>
      <c r="F37" s="342">
        <f>ROUNDUP('Forecasting for Perfume 30ml '!$L97*Fractions!H$18,0)</f>
        <v>16</v>
      </c>
      <c r="G37" s="342">
        <f>ROUNDUP('Forecasting for Perfume 30ml '!$L97*Fractions!I$18,0)</f>
        <v>14</v>
      </c>
      <c r="H37" s="342">
        <f>ROUNDUP('Forecasting for Perfume 30ml '!$L97*Fractions!J$18,0)</f>
        <v>17</v>
      </c>
      <c r="I37" s="342">
        <f>ROUNDUP('Forecasting for Perfume 30ml '!$L97*Fractions!K$18,0)</f>
        <v>15</v>
      </c>
      <c r="J37" s="342">
        <f>ROUNDUP('Forecasting for Perfume 30ml '!$L97*Fractions!L$18,0)</f>
        <v>12</v>
      </c>
      <c r="K37" s="342">
        <f>ROUNDUP('Forecasting for Perfume 30ml '!$L97*Fractions!M$18,0)</f>
        <v>16</v>
      </c>
      <c r="L37" s="342">
        <f>ROUNDUP('Forecasting for Perfume 30ml '!$L97*Fractions!N$18,0)</f>
        <v>39</v>
      </c>
      <c r="M37" s="342">
        <f>ROUNDUP('Forecasting for Perfume 30ml '!$L97*Fractions!O$18,0)</f>
        <v>16</v>
      </c>
      <c r="N37" s="342">
        <f>ROUNDUP('Forecasting for Perfume 30ml '!$L97*Fractions!P$18,0)</f>
        <v>11</v>
      </c>
      <c r="O37" s="342">
        <f>ROUNDUP('Forecasting for Perfume 50ml'!$L97*Fractions!Q$18,0)</f>
        <v>21</v>
      </c>
      <c r="P37" s="342">
        <f>ROUNDUP('Forecasting for Perfume 50ml'!$L97*Fractions!R$18,0)</f>
        <v>22</v>
      </c>
      <c r="Q37" s="342">
        <f>ROUNDUP('Forecasting for Perfume 50ml'!$L97*Fractions!S$18,0)</f>
        <v>13</v>
      </c>
      <c r="R37" s="342">
        <f>ROUNDUP('Forecasting for Perfume 50ml'!$L97*Fractions!T$18,0)</f>
        <v>32</v>
      </c>
      <c r="S37" s="342">
        <f>ROUNDUP('Forecasting for Perfume 50ml'!$L97*Fractions!U$18,0)</f>
        <v>19</v>
      </c>
      <c r="T37" s="342">
        <f>ROUNDUP('Forecasting for Perfume 50ml'!$L97*Fractions!V$18,0)</f>
        <v>17</v>
      </c>
      <c r="U37" s="342">
        <f>ROUNDUP('Forecasting for Perfume 50ml'!$L97*Fractions!W$18,0)</f>
        <v>14</v>
      </c>
      <c r="V37" s="342">
        <f>ROUNDUP('Forecasting for Perfume 50ml'!$L97*Fractions!X$18,0)</f>
        <v>19</v>
      </c>
      <c r="W37" s="342">
        <f>ROUNDUP('Forecasting for Perfume 50ml'!$L97*Fractions!Y$18,0)</f>
        <v>12</v>
      </c>
      <c r="X37" s="342">
        <f>ROUNDUP('Forecasting for Perfume 50ml'!$L97*Fractions!Z$18,0)</f>
        <v>20</v>
      </c>
      <c r="Y37" s="342">
        <f>ROUNDUP('Forecasting for Perfume 50ml'!$L97*Fractions!AA$18,0)</f>
        <v>39</v>
      </c>
      <c r="Z37" s="342">
        <f>ROUNDUP('Forecasting for Perfume 50ml'!$L97*Fractions!AB$18,0)</f>
        <v>19</v>
      </c>
      <c r="AA37" s="342">
        <f>ROUNDUP('Forecasting for Perfume 50ml'!$L97*Fractions!AC$18,0)</f>
        <v>12</v>
      </c>
      <c r="AB37" s="342">
        <f>ROUNDUP('Forecasting for Bodymist 100ml'!$L97*Fractions!AD$18,0)</f>
        <v>23</v>
      </c>
      <c r="AC37" s="342">
        <f>ROUNDUP('Forecasting for Bodymist 100ml'!$L97*Fractions!AE$18,0)</f>
        <v>17</v>
      </c>
      <c r="AD37" s="342">
        <f>ROUNDUP('Forecasting for Bodymist 100ml'!$L97*Fractions!AF$18,0)</f>
        <v>13</v>
      </c>
      <c r="AE37" s="342">
        <f>ROUNDUP('Forecasting for Bodymist 100ml'!$L97*Fractions!AG$18,0)</f>
        <v>26</v>
      </c>
    </row>
    <row r="38" spans="1:31" x14ac:dyDescent="0.35">
      <c r="A38" s="395">
        <v>44562</v>
      </c>
      <c r="B38" s="396">
        <f>ROUNDUP('Forecasting for Perfume 30ml '!$L98*Fractions!D$18,0)</f>
        <v>12</v>
      </c>
      <c r="C38" s="396">
        <f>ROUNDUP('Forecasting for Perfume 30ml '!$L98*Fractions!E$18,0)</f>
        <v>12</v>
      </c>
      <c r="D38" s="396">
        <f>ROUNDUP('Forecasting for Perfume 30ml '!$L98*Fractions!F$18,0)</f>
        <v>7</v>
      </c>
      <c r="E38" s="396">
        <f>ROUNDUP('Forecasting for Perfume 30ml '!$L98*Fractions!G$18,0)</f>
        <v>18</v>
      </c>
      <c r="F38" s="396">
        <f>ROUNDUP('Forecasting for Perfume 30ml '!$L98*Fractions!H$18,0)</f>
        <v>10</v>
      </c>
      <c r="G38" s="396">
        <f>ROUNDUP('Forecasting for Perfume 30ml '!$L98*Fractions!I$18,0)</f>
        <v>9</v>
      </c>
      <c r="H38" s="396">
        <f>ROUNDUP('Forecasting for Perfume 30ml '!$L98*Fractions!J$18,0)</f>
        <v>10</v>
      </c>
      <c r="I38" s="396">
        <f>ROUNDUP('Forecasting for Perfume 30ml '!$L98*Fractions!K$18,0)</f>
        <v>9</v>
      </c>
      <c r="J38" s="396">
        <f>ROUNDUP('Forecasting for Perfume 30ml '!$L98*Fractions!L$18,0)</f>
        <v>7</v>
      </c>
      <c r="K38" s="396">
        <f>ROUNDUP('Forecasting for Perfume 30ml '!$L98*Fractions!M$18,0)</f>
        <v>10</v>
      </c>
      <c r="L38" s="396">
        <f>ROUNDUP('Forecasting for Perfume 30ml '!$L98*Fractions!N$18,0)</f>
        <v>23</v>
      </c>
      <c r="M38" s="396">
        <f>ROUNDUP('Forecasting for Perfume 30ml '!$L98*Fractions!O$18,0)</f>
        <v>9</v>
      </c>
      <c r="N38" s="396">
        <f>ROUNDUP('Forecasting for Perfume 30ml '!$L98*Fractions!P$18,0)</f>
        <v>6</v>
      </c>
      <c r="O38" s="396">
        <f>ROUNDUP('Forecasting for Perfume 50ml'!$L98*Fractions!Q$18,0)</f>
        <v>11</v>
      </c>
      <c r="P38" s="396">
        <f>ROUNDUP('Forecasting for Perfume 50ml'!$L98*Fractions!R$18,0)</f>
        <v>12</v>
      </c>
      <c r="Q38" s="396">
        <f>ROUNDUP('Forecasting for Perfume 50ml'!$L98*Fractions!S$18,0)</f>
        <v>7</v>
      </c>
      <c r="R38" s="396">
        <f>ROUNDUP('Forecasting for Perfume 50ml'!$L98*Fractions!T$18,0)</f>
        <v>17</v>
      </c>
      <c r="S38" s="396">
        <f>ROUNDUP('Forecasting for Perfume 50ml'!$L98*Fractions!U$18,0)</f>
        <v>10</v>
      </c>
      <c r="T38" s="396">
        <f>ROUNDUP('Forecasting for Perfume 50ml'!$L98*Fractions!V$18,0)</f>
        <v>9</v>
      </c>
      <c r="U38" s="396">
        <f>ROUNDUP('Forecasting for Perfume 50ml'!$L98*Fractions!W$18,0)</f>
        <v>8</v>
      </c>
      <c r="V38" s="396">
        <f>ROUNDUP('Forecasting for Perfume 50ml'!$L98*Fractions!X$18,0)</f>
        <v>10</v>
      </c>
      <c r="W38" s="396">
        <f>ROUNDUP('Forecasting for Perfume 50ml'!$L98*Fractions!Y$18,0)</f>
        <v>6</v>
      </c>
      <c r="X38" s="396">
        <f>ROUNDUP('Forecasting for Perfume 50ml'!$L98*Fractions!Z$18,0)</f>
        <v>11</v>
      </c>
      <c r="Y38" s="396">
        <f>ROUNDUP('Forecasting for Perfume 50ml'!$L98*Fractions!AA$18,0)</f>
        <v>21</v>
      </c>
      <c r="Z38" s="396">
        <f>ROUNDUP('Forecasting for Perfume 50ml'!$L98*Fractions!AB$18,0)</f>
        <v>10</v>
      </c>
      <c r="AA38" s="396">
        <f>ROUNDUP('Forecasting for Perfume 50ml'!$L98*Fractions!AC$18,0)</f>
        <v>6</v>
      </c>
      <c r="AB38" s="396">
        <f>ROUNDUP('Forecasting for Bodymist 100ml'!$L98*Fractions!AD$18,0)</f>
        <v>4</v>
      </c>
      <c r="AC38" s="396">
        <f>ROUNDUP('Forecasting for Bodymist 100ml'!$L98*Fractions!AE$18,0)</f>
        <v>3</v>
      </c>
      <c r="AD38" s="396">
        <f>ROUNDUP('Forecasting for Bodymist 100ml'!$L98*Fractions!AF$18,0)</f>
        <v>3</v>
      </c>
      <c r="AE38" s="396">
        <f>ROUNDUP('Forecasting for Bodymist 100ml'!$L98*Fractions!AG$18,0)</f>
        <v>5</v>
      </c>
    </row>
    <row r="39" spans="1:31" x14ac:dyDescent="0.35">
      <c r="A39" s="395">
        <v>44593</v>
      </c>
      <c r="B39" s="396">
        <f>ROUNDUP('Forecasting for Perfume 30ml '!$L99*Fractions!D$18,0)</f>
        <v>16</v>
      </c>
      <c r="C39" s="396">
        <f>ROUNDUP('Forecasting for Perfume 30ml '!$L99*Fractions!E$18,0)</f>
        <v>16</v>
      </c>
      <c r="D39" s="396">
        <f>ROUNDUP('Forecasting for Perfume 30ml '!$L99*Fractions!F$18,0)</f>
        <v>10</v>
      </c>
      <c r="E39" s="396">
        <f>ROUNDUP('Forecasting for Perfume 30ml '!$L99*Fractions!G$18,0)</f>
        <v>25</v>
      </c>
      <c r="F39" s="396">
        <f>ROUNDUP('Forecasting for Perfume 30ml '!$L99*Fractions!H$18,0)</f>
        <v>14</v>
      </c>
      <c r="G39" s="396">
        <f>ROUNDUP('Forecasting for Perfume 30ml '!$L99*Fractions!I$18,0)</f>
        <v>12</v>
      </c>
      <c r="H39" s="396">
        <f>ROUNDUP('Forecasting for Perfume 30ml '!$L99*Fractions!J$18,0)</f>
        <v>14</v>
      </c>
      <c r="I39" s="396">
        <f>ROUNDUP('Forecasting for Perfume 30ml '!$L99*Fractions!K$18,0)</f>
        <v>13</v>
      </c>
      <c r="J39" s="396">
        <f>ROUNDUP('Forecasting for Perfume 30ml '!$L99*Fractions!L$18,0)</f>
        <v>10</v>
      </c>
      <c r="K39" s="396">
        <f>ROUNDUP('Forecasting for Perfume 30ml '!$L99*Fractions!M$18,0)</f>
        <v>14</v>
      </c>
      <c r="L39" s="396">
        <f>ROUNDUP('Forecasting for Perfume 30ml '!$L99*Fractions!N$18,0)</f>
        <v>32</v>
      </c>
      <c r="M39" s="396">
        <f>ROUNDUP('Forecasting for Perfume 30ml '!$L99*Fractions!O$18,0)</f>
        <v>13</v>
      </c>
      <c r="N39" s="396">
        <f>ROUNDUP('Forecasting for Perfume 30ml '!$L99*Fractions!P$18,0)</f>
        <v>9</v>
      </c>
      <c r="O39" s="396">
        <f>ROUNDUP('Forecasting for Perfume 50ml'!$L99*Fractions!Q$18,0)</f>
        <v>16</v>
      </c>
      <c r="P39" s="396">
        <f>ROUNDUP('Forecasting for Perfume 50ml'!$L99*Fractions!R$18,0)</f>
        <v>16</v>
      </c>
      <c r="Q39" s="396">
        <f>ROUNDUP('Forecasting for Perfume 50ml'!$L99*Fractions!S$18,0)</f>
        <v>9</v>
      </c>
      <c r="R39" s="396">
        <f>ROUNDUP('Forecasting for Perfume 50ml'!$L99*Fractions!T$18,0)</f>
        <v>24</v>
      </c>
      <c r="S39" s="396">
        <f>ROUNDUP('Forecasting for Perfume 50ml'!$L99*Fractions!U$18,0)</f>
        <v>14</v>
      </c>
      <c r="T39" s="396">
        <f>ROUNDUP('Forecasting for Perfume 50ml'!$L99*Fractions!V$18,0)</f>
        <v>13</v>
      </c>
      <c r="U39" s="396">
        <f>ROUNDUP('Forecasting for Perfume 50ml'!$L99*Fractions!W$18,0)</f>
        <v>11</v>
      </c>
      <c r="V39" s="396">
        <f>ROUNDUP('Forecasting for Perfume 50ml'!$L99*Fractions!X$18,0)</f>
        <v>14</v>
      </c>
      <c r="W39" s="396">
        <f>ROUNDUP('Forecasting for Perfume 50ml'!$L99*Fractions!Y$18,0)</f>
        <v>9</v>
      </c>
      <c r="X39" s="396">
        <f>ROUNDUP('Forecasting for Perfume 50ml'!$L99*Fractions!Z$18,0)</f>
        <v>15</v>
      </c>
      <c r="Y39" s="396">
        <f>ROUNDUP('Forecasting for Perfume 50ml'!$L99*Fractions!AA$18,0)</f>
        <v>29</v>
      </c>
      <c r="Z39" s="396">
        <f>ROUNDUP('Forecasting for Perfume 50ml'!$L99*Fractions!AB$18,0)</f>
        <v>14</v>
      </c>
      <c r="AA39" s="396">
        <f>ROUNDUP('Forecasting for Perfume 50ml'!$L99*Fractions!AC$18,0)</f>
        <v>9</v>
      </c>
      <c r="AB39" s="396">
        <f>ROUNDUP('Forecasting for Bodymist 100ml'!$L99*Fractions!AD$18,0)</f>
        <v>15</v>
      </c>
      <c r="AC39" s="396">
        <f>ROUNDUP('Forecasting for Bodymist 100ml'!$L99*Fractions!AE$18,0)</f>
        <v>11</v>
      </c>
      <c r="AD39" s="396">
        <f>ROUNDUP('Forecasting for Bodymist 100ml'!$L99*Fractions!AF$18,0)</f>
        <v>9</v>
      </c>
      <c r="AE39" s="396">
        <f>ROUNDUP('Forecasting for Bodymist 100ml'!$L99*Fractions!AG$18,0)</f>
        <v>17</v>
      </c>
    </row>
    <row r="40" spans="1:31" x14ac:dyDescent="0.35">
      <c r="A40" s="395">
        <v>44621</v>
      </c>
      <c r="B40" s="396">
        <f>ROUNDUP('Forecasting for Perfume 30ml '!$L100*Fractions!D$18,0)</f>
        <v>7</v>
      </c>
      <c r="C40" s="396">
        <f>ROUNDUP('Forecasting for Perfume 30ml '!$L100*Fractions!E$18,0)</f>
        <v>7</v>
      </c>
      <c r="D40" s="396">
        <f>ROUNDUP('Forecasting for Perfume 30ml '!$L100*Fractions!F$18,0)</f>
        <v>5</v>
      </c>
      <c r="E40" s="396">
        <f>ROUNDUP('Forecasting for Perfume 30ml '!$L100*Fractions!G$18,0)</f>
        <v>11</v>
      </c>
      <c r="F40" s="396">
        <f>ROUNDUP('Forecasting for Perfume 30ml '!$L100*Fractions!H$18,0)</f>
        <v>6</v>
      </c>
      <c r="G40" s="396">
        <f>ROUNDUP('Forecasting for Perfume 30ml '!$L100*Fractions!I$18,0)</f>
        <v>5</v>
      </c>
      <c r="H40" s="396">
        <f>ROUNDUP('Forecasting for Perfume 30ml '!$L100*Fractions!J$18,0)</f>
        <v>6</v>
      </c>
      <c r="I40" s="396">
        <f>ROUNDUP('Forecasting for Perfume 30ml '!$L100*Fractions!K$18,0)</f>
        <v>6</v>
      </c>
      <c r="J40" s="396">
        <f>ROUNDUP('Forecasting for Perfume 30ml '!$L100*Fractions!L$18,0)</f>
        <v>4</v>
      </c>
      <c r="K40" s="396">
        <f>ROUNDUP('Forecasting for Perfume 30ml '!$L100*Fractions!M$18,0)</f>
        <v>6</v>
      </c>
      <c r="L40" s="396">
        <f>ROUNDUP('Forecasting for Perfume 30ml '!$L100*Fractions!N$18,0)</f>
        <v>14</v>
      </c>
      <c r="M40" s="396">
        <f>ROUNDUP('Forecasting for Perfume 30ml '!$L100*Fractions!O$18,0)</f>
        <v>6</v>
      </c>
      <c r="N40" s="396">
        <f>ROUNDUP('Forecasting for Perfume 30ml '!$L100*Fractions!P$18,0)</f>
        <v>4</v>
      </c>
      <c r="O40" s="396">
        <f>ROUNDUP('Forecasting for Perfume 50ml'!$L100*Fractions!Q$18,0)</f>
        <v>9</v>
      </c>
      <c r="P40" s="396">
        <f>ROUNDUP('Forecasting for Perfume 50ml'!$L100*Fractions!R$18,0)</f>
        <v>9</v>
      </c>
      <c r="Q40" s="396">
        <f>ROUNDUP('Forecasting for Perfume 50ml'!$L100*Fractions!S$18,0)</f>
        <v>5</v>
      </c>
      <c r="R40" s="396">
        <f>ROUNDUP('Forecasting for Perfume 50ml'!$L100*Fractions!T$18,0)</f>
        <v>13</v>
      </c>
      <c r="S40" s="396">
        <f>ROUNDUP('Forecasting for Perfume 50ml'!$L100*Fractions!U$18,0)</f>
        <v>8</v>
      </c>
      <c r="T40" s="396">
        <f>ROUNDUP('Forecasting for Perfume 50ml'!$L100*Fractions!V$18,0)</f>
        <v>7</v>
      </c>
      <c r="U40" s="396">
        <f>ROUNDUP('Forecasting for Perfume 50ml'!$L100*Fractions!W$18,0)</f>
        <v>6</v>
      </c>
      <c r="V40" s="396">
        <f>ROUNDUP('Forecasting for Perfume 50ml'!$L100*Fractions!X$18,0)</f>
        <v>8</v>
      </c>
      <c r="W40" s="396">
        <f>ROUNDUP('Forecasting for Perfume 50ml'!$L100*Fractions!Y$18,0)</f>
        <v>5</v>
      </c>
      <c r="X40" s="396">
        <f>ROUNDUP('Forecasting for Perfume 50ml'!$L100*Fractions!Z$18,0)</f>
        <v>8</v>
      </c>
      <c r="Y40" s="396">
        <f>ROUNDUP('Forecasting for Perfume 50ml'!$L100*Fractions!AA$18,0)</f>
        <v>15</v>
      </c>
      <c r="Z40" s="396">
        <f>ROUNDUP('Forecasting for Perfume 50ml'!$L100*Fractions!AB$18,0)</f>
        <v>8</v>
      </c>
      <c r="AA40" s="396">
        <f>ROUNDUP('Forecasting for Perfume 50ml'!$L100*Fractions!AC$18,0)</f>
        <v>5</v>
      </c>
      <c r="AB40" s="396">
        <f>ROUNDUP('Forecasting for Bodymist 100ml'!$L100*Fractions!AD$18,0)</f>
        <v>7</v>
      </c>
      <c r="AC40" s="396">
        <f>ROUNDUP('Forecasting for Bodymist 100ml'!$L100*Fractions!AE$18,0)</f>
        <v>5</v>
      </c>
      <c r="AD40" s="396">
        <f>ROUNDUP('Forecasting for Bodymist 100ml'!$L100*Fractions!AF$18,0)</f>
        <v>4</v>
      </c>
      <c r="AE40" s="396">
        <f>ROUNDUP('Forecasting for Bodymist 100ml'!$L100*Fractions!AG$18,0)</f>
        <v>8</v>
      </c>
    </row>
    <row r="41" spans="1:31" x14ac:dyDescent="0.35">
      <c r="A41" s="395">
        <v>44652</v>
      </c>
      <c r="B41" s="396">
        <f>ROUNDUP('Forecasting for Perfume 30ml '!$L101*Fractions!D$18,0)</f>
        <v>10</v>
      </c>
      <c r="C41" s="396">
        <f>ROUNDUP('Forecasting for Perfume 30ml '!$L101*Fractions!E$18,0)</f>
        <v>11</v>
      </c>
      <c r="D41" s="396">
        <f>ROUNDUP('Forecasting for Perfume 30ml '!$L101*Fractions!F$18,0)</f>
        <v>7</v>
      </c>
      <c r="E41" s="396">
        <f>ROUNDUP('Forecasting for Perfume 30ml '!$L101*Fractions!G$18,0)</f>
        <v>16</v>
      </c>
      <c r="F41" s="396">
        <f>ROUNDUP('Forecasting for Perfume 30ml '!$L101*Fractions!H$18,0)</f>
        <v>9</v>
      </c>
      <c r="G41" s="396">
        <f>ROUNDUP('Forecasting for Perfume 30ml '!$L101*Fractions!I$18,0)</f>
        <v>8</v>
      </c>
      <c r="H41" s="396">
        <f>ROUNDUP('Forecasting for Perfume 30ml '!$L101*Fractions!J$18,0)</f>
        <v>9</v>
      </c>
      <c r="I41" s="396">
        <f>ROUNDUP('Forecasting for Perfume 30ml '!$L101*Fractions!K$18,0)</f>
        <v>8</v>
      </c>
      <c r="J41" s="396">
        <f>ROUNDUP('Forecasting for Perfume 30ml '!$L101*Fractions!L$18,0)</f>
        <v>6</v>
      </c>
      <c r="K41" s="396">
        <f>ROUNDUP('Forecasting for Perfume 30ml '!$L101*Fractions!M$18,0)</f>
        <v>9</v>
      </c>
      <c r="L41" s="396">
        <f>ROUNDUP('Forecasting for Perfume 30ml '!$L101*Fractions!N$18,0)</f>
        <v>21</v>
      </c>
      <c r="M41" s="396">
        <f>ROUNDUP('Forecasting for Perfume 30ml '!$L101*Fractions!O$18,0)</f>
        <v>8</v>
      </c>
      <c r="N41" s="396">
        <f>ROUNDUP('Forecasting for Perfume 30ml '!$L101*Fractions!P$18,0)</f>
        <v>6</v>
      </c>
      <c r="O41" s="396">
        <f>ROUNDUP('Forecasting for Perfume 50ml'!$L101*Fractions!Q$18,0)</f>
        <v>11</v>
      </c>
      <c r="P41" s="396">
        <f>ROUNDUP('Forecasting for Perfume 50ml'!$L101*Fractions!R$18,0)</f>
        <v>12</v>
      </c>
      <c r="Q41" s="396">
        <f>ROUNDUP('Forecasting for Perfume 50ml'!$L101*Fractions!S$18,0)</f>
        <v>7</v>
      </c>
      <c r="R41" s="396">
        <f>ROUNDUP('Forecasting for Perfume 50ml'!$L101*Fractions!T$18,0)</f>
        <v>17</v>
      </c>
      <c r="S41" s="396">
        <f>ROUNDUP('Forecasting for Perfume 50ml'!$L101*Fractions!U$18,0)</f>
        <v>10</v>
      </c>
      <c r="T41" s="396">
        <f>ROUNDUP('Forecasting for Perfume 50ml'!$L101*Fractions!V$18,0)</f>
        <v>9</v>
      </c>
      <c r="U41" s="396">
        <f>ROUNDUP('Forecasting for Perfume 50ml'!$L101*Fractions!W$18,0)</f>
        <v>8</v>
      </c>
      <c r="V41" s="396">
        <f>ROUNDUP('Forecasting for Perfume 50ml'!$L101*Fractions!X$18,0)</f>
        <v>10</v>
      </c>
      <c r="W41" s="396">
        <f>ROUNDUP('Forecasting for Perfume 50ml'!$L101*Fractions!Y$18,0)</f>
        <v>6</v>
      </c>
      <c r="X41" s="396">
        <f>ROUNDUP('Forecasting for Perfume 50ml'!$L101*Fractions!Z$18,0)</f>
        <v>10</v>
      </c>
      <c r="Y41" s="396">
        <f>ROUNDUP('Forecasting for Perfume 50ml'!$L101*Fractions!AA$18,0)</f>
        <v>20</v>
      </c>
      <c r="Z41" s="396">
        <f>ROUNDUP('Forecasting for Perfume 50ml'!$L101*Fractions!AB$18,0)</f>
        <v>10</v>
      </c>
      <c r="AA41" s="396">
        <f>ROUNDUP('Forecasting for Perfume 50ml'!$L101*Fractions!AC$18,0)</f>
        <v>6</v>
      </c>
      <c r="AB41" s="396">
        <f>ROUNDUP('Forecasting for Bodymist 100ml'!$L101*Fractions!AD$18,0)</f>
        <v>9</v>
      </c>
      <c r="AC41" s="396">
        <f>ROUNDUP('Forecasting for Bodymist 100ml'!$L101*Fractions!AE$18,0)</f>
        <v>7</v>
      </c>
      <c r="AD41" s="396">
        <f>ROUNDUP('Forecasting for Bodymist 100ml'!$L101*Fractions!AF$18,0)</f>
        <v>5</v>
      </c>
      <c r="AE41" s="396">
        <f>ROUNDUP('Forecasting for Bodymist 100ml'!$L101*Fractions!AG$18,0)</f>
        <v>11</v>
      </c>
    </row>
    <row r="42" spans="1:31" x14ac:dyDescent="0.35">
      <c r="A42" s="395">
        <v>44682</v>
      </c>
      <c r="B42" s="396">
        <f>ROUNDUP('Forecasting for Perfume 30ml '!$L102*Fractions!D$18,0)</f>
        <v>15</v>
      </c>
      <c r="C42" s="396">
        <f>ROUNDUP('Forecasting for Perfume 30ml '!$L102*Fractions!E$18,0)</f>
        <v>15</v>
      </c>
      <c r="D42" s="396">
        <f>ROUNDUP('Forecasting for Perfume 30ml '!$L102*Fractions!F$18,0)</f>
        <v>9</v>
      </c>
      <c r="E42" s="396">
        <f>ROUNDUP('Forecasting for Perfume 30ml '!$L102*Fractions!G$18,0)</f>
        <v>23</v>
      </c>
      <c r="F42" s="396">
        <f>ROUNDUP('Forecasting for Perfume 30ml '!$L102*Fractions!H$18,0)</f>
        <v>12</v>
      </c>
      <c r="G42" s="396">
        <f>ROUNDUP('Forecasting for Perfume 30ml '!$L102*Fractions!I$18,0)</f>
        <v>11</v>
      </c>
      <c r="H42" s="396">
        <f>ROUNDUP('Forecasting for Perfume 30ml '!$L102*Fractions!J$18,0)</f>
        <v>13</v>
      </c>
      <c r="I42" s="396">
        <f>ROUNDUP('Forecasting for Perfume 30ml '!$L102*Fractions!K$18,0)</f>
        <v>12</v>
      </c>
      <c r="J42" s="396">
        <f>ROUNDUP('Forecasting for Perfume 30ml '!$L102*Fractions!L$18,0)</f>
        <v>9</v>
      </c>
      <c r="K42" s="396">
        <f>ROUNDUP('Forecasting for Perfume 30ml '!$L102*Fractions!M$18,0)</f>
        <v>12</v>
      </c>
      <c r="L42" s="396">
        <f>ROUNDUP('Forecasting for Perfume 30ml '!$L102*Fractions!N$18,0)</f>
        <v>29</v>
      </c>
      <c r="M42" s="396">
        <f>ROUNDUP('Forecasting for Perfume 30ml '!$L102*Fractions!O$18,0)</f>
        <v>12</v>
      </c>
      <c r="N42" s="396">
        <f>ROUNDUP('Forecasting for Perfume 30ml '!$L102*Fractions!P$18,0)</f>
        <v>8</v>
      </c>
      <c r="O42" s="396">
        <f>ROUNDUP('Forecasting for Perfume 50ml'!$L102*Fractions!Q$18,0)</f>
        <v>18</v>
      </c>
      <c r="P42" s="396">
        <f>ROUNDUP('Forecasting for Perfume 50ml'!$L102*Fractions!R$18,0)</f>
        <v>18</v>
      </c>
      <c r="Q42" s="396">
        <f>ROUNDUP('Forecasting for Perfume 50ml'!$L102*Fractions!S$18,0)</f>
        <v>11</v>
      </c>
      <c r="R42" s="396">
        <f>ROUNDUP('Forecasting for Perfume 50ml'!$L102*Fractions!T$18,0)</f>
        <v>27</v>
      </c>
      <c r="S42" s="396">
        <f>ROUNDUP('Forecasting for Perfume 50ml'!$L102*Fractions!U$18,0)</f>
        <v>16</v>
      </c>
      <c r="T42" s="396">
        <f>ROUNDUP('Forecasting for Perfume 50ml'!$L102*Fractions!V$18,0)</f>
        <v>14</v>
      </c>
      <c r="U42" s="396">
        <f>ROUNDUP('Forecasting for Perfume 50ml'!$L102*Fractions!W$18,0)</f>
        <v>12</v>
      </c>
      <c r="V42" s="396">
        <f>ROUNDUP('Forecasting for Perfume 50ml'!$L102*Fractions!X$18,0)</f>
        <v>16</v>
      </c>
      <c r="W42" s="396">
        <f>ROUNDUP('Forecasting for Perfume 50ml'!$L102*Fractions!Y$18,0)</f>
        <v>10</v>
      </c>
      <c r="X42" s="396">
        <f>ROUNDUP('Forecasting for Perfume 50ml'!$L102*Fractions!Z$18,0)</f>
        <v>17</v>
      </c>
      <c r="Y42" s="396">
        <f>ROUNDUP('Forecasting for Perfume 50ml'!$L102*Fractions!AA$18,0)</f>
        <v>32</v>
      </c>
      <c r="Z42" s="396">
        <f>ROUNDUP('Forecasting for Perfume 50ml'!$L102*Fractions!AB$18,0)</f>
        <v>16</v>
      </c>
      <c r="AA42" s="396">
        <f>ROUNDUP('Forecasting for Perfume 50ml'!$L102*Fractions!AC$18,0)</f>
        <v>10</v>
      </c>
      <c r="AB42" s="396">
        <f>ROUNDUP('Forecasting for Bodymist 100ml'!$L102*Fractions!AD$18,0)</f>
        <v>16</v>
      </c>
      <c r="AC42" s="396">
        <f>ROUNDUP('Forecasting for Bodymist 100ml'!$L102*Fractions!AE$18,0)</f>
        <v>12</v>
      </c>
      <c r="AD42" s="396">
        <f>ROUNDUP('Forecasting for Bodymist 100ml'!$L102*Fractions!AF$18,0)</f>
        <v>9</v>
      </c>
      <c r="AE42" s="396">
        <f>ROUNDUP('Forecasting for Bodymist 100ml'!$L102*Fractions!AG$18,0)</f>
        <v>18</v>
      </c>
    </row>
    <row r="43" spans="1:31" x14ac:dyDescent="0.35">
      <c r="A43" s="395">
        <v>44713</v>
      </c>
      <c r="B43" s="396">
        <f>ROUNDUP('Forecasting for Perfume 30ml '!$L103*Fractions!D$18,0)</f>
        <v>10</v>
      </c>
      <c r="C43" s="396">
        <f>ROUNDUP('Forecasting for Perfume 30ml '!$L103*Fractions!E$18,0)</f>
        <v>10</v>
      </c>
      <c r="D43" s="396">
        <f>ROUNDUP('Forecasting for Perfume 30ml '!$L103*Fractions!F$18,0)</f>
        <v>7</v>
      </c>
      <c r="E43" s="396">
        <f>ROUNDUP('Forecasting for Perfume 30ml '!$L103*Fractions!G$18,0)</f>
        <v>16</v>
      </c>
      <c r="F43" s="396">
        <f>ROUNDUP('Forecasting for Perfume 30ml '!$L103*Fractions!H$18,0)</f>
        <v>9</v>
      </c>
      <c r="G43" s="396">
        <f>ROUNDUP('Forecasting for Perfume 30ml '!$L103*Fractions!I$18,0)</f>
        <v>8</v>
      </c>
      <c r="H43" s="396">
        <f>ROUNDUP('Forecasting for Perfume 30ml '!$L103*Fractions!J$18,0)</f>
        <v>9</v>
      </c>
      <c r="I43" s="396">
        <f>ROUNDUP('Forecasting for Perfume 30ml '!$L103*Fractions!K$18,0)</f>
        <v>8</v>
      </c>
      <c r="J43" s="396">
        <f>ROUNDUP('Forecasting for Perfume 30ml '!$L103*Fractions!L$18,0)</f>
        <v>6</v>
      </c>
      <c r="K43" s="396">
        <f>ROUNDUP('Forecasting for Perfume 30ml '!$L103*Fractions!M$18,0)</f>
        <v>9</v>
      </c>
      <c r="L43" s="396">
        <f>ROUNDUP('Forecasting for Perfume 30ml '!$L103*Fractions!N$18,0)</f>
        <v>21</v>
      </c>
      <c r="M43" s="396">
        <f>ROUNDUP('Forecasting for Perfume 30ml '!$L103*Fractions!O$18,0)</f>
        <v>8</v>
      </c>
      <c r="N43" s="396">
        <f>ROUNDUP('Forecasting for Perfume 30ml '!$L103*Fractions!P$18,0)</f>
        <v>6</v>
      </c>
      <c r="O43" s="396">
        <f>ROUNDUP('Forecasting for Perfume 50ml'!$L103*Fractions!Q$18,0)</f>
        <v>10</v>
      </c>
      <c r="P43" s="396">
        <f>ROUNDUP('Forecasting for Perfume 50ml'!$L103*Fractions!R$18,0)</f>
        <v>10</v>
      </c>
      <c r="Q43" s="396">
        <f>ROUNDUP('Forecasting for Perfume 50ml'!$L103*Fractions!S$18,0)</f>
        <v>6</v>
      </c>
      <c r="R43" s="396">
        <f>ROUNDUP('Forecasting for Perfume 50ml'!$L103*Fractions!T$18,0)</f>
        <v>15</v>
      </c>
      <c r="S43" s="396">
        <f>ROUNDUP('Forecasting for Perfume 50ml'!$L103*Fractions!U$18,0)</f>
        <v>9</v>
      </c>
      <c r="T43" s="396">
        <f>ROUNDUP('Forecasting for Perfume 50ml'!$L103*Fractions!V$18,0)</f>
        <v>8</v>
      </c>
      <c r="U43" s="396">
        <f>ROUNDUP('Forecasting for Perfume 50ml'!$L103*Fractions!W$18,0)</f>
        <v>7</v>
      </c>
      <c r="V43" s="396">
        <f>ROUNDUP('Forecasting for Perfume 50ml'!$L103*Fractions!X$18,0)</f>
        <v>9</v>
      </c>
      <c r="W43" s="396">
        <f>ROUNDUP('Forecasting for Perfume 50ml'!$L103*Fractions!Y$18,0)</f>
        <v>6</v>
      </c>
      <c r="X43" s="396">
        <f>ROUNDUP('Forecasting for Perfume 50ml'!$L103*Fractions!Z$18,0)</f>
        <v>10</v>
      </c>
      <c r="Y43" s="396">
        <f>ROUNDUP('Forecasting for Perfume 50ml'!$L103*Fractions!AA$18,0)</f>
        <v>18</v>
      </c>
      <c r="Z43" s="396">
        <f>ROUNDUP('Forecasting for Perfume 50ml'!$L103*Fractions!AB$18,0)</f>
        <v>9</v>
      </c>
      <c r="AA43" s="396">
        <f>ROUNDUP('Forecasting for Perfume 50ml'!$L103*Fractions!AC$18,0)</f>
        <v>6</v>
      </c>
      <c r="AB43" s="396">
        <f>ROUNDUP('Forecasting for Bodymist 100ml'!$L103*Fractions!AD$18,0)</f>
        <v>11</v>
      </c>
      <c r="AC43" s="396">
        <f>ROUNDUP('Forecasting for Bodymist 100ml'!$L103*Fractions!AE$18,0)</f>
        <v>8</v>
      </c>
      <c r="AD43" s="396">
        <f>ROUNDUP('Forecasting for Bodymist 100ml'!$L103*Fractions!AF$18,0)</f>
        <v>6</v>
      </c>
      <c r="AE43" s="396">
        <f>ROUNDUP('Forecasting for Bodymist 100ml'!$L103*Fractions!AG$18,0)</f>
        <v>12</v>
      </c>
    </row>
    <row r="44" spans="1:31" x14ac:dyDescent="0.35">
      <c r="A44" s="395">
        <v>44743</v>
      </c>
      <c r="B44" s="396">
        <f>ROUNDUP('Forecasting for Perfume 30ml '!$L104*Fractions!D$18,0)</f>
        <v>10</v>
      </c>
      <c r="C44" s="396">
        <f>ROUNDUP('Forecasting for Perfume 30ml '!$L104*Fractions!E$18,0)</f>
        <v>10</v>
      </c>
      <c r="D44" s="396">
        <f>ROUNDUP('Forecasting for Perfume 30ml '!$L104*Fractions!F$18,0)</f>
        <v>6</v>
      </c>
      <c r="E44" s="396">
        <f>ROUNDUP('Forecasting for Perfume 30ml '!$L104*Fractions!G$18,0)</f>
        <v>15</v>
      </c>
      <c r="F44" s="396">
        <f>ROUNDUP('Forecasting for Perfume 30ml '!$L104*Fractions!H$18,0)</f>
        <v>8</v>
      </c>
      <c r="G44" s="396">
        <f>ROUNDUP('Forecasting for Perfume 30ml '!$L104*Fractions!I$18,0)</f>
        <v>7</v>
      </c>
      <c r="H44" s="396">
        <f>ROUNDUP('Forecasting for Perfume 30ml '!$L104*Fractions!J$18,0)</f>
        <v>8</v>
      </c>
      <c r="I44" s="396">
        <f>ROUNDUP('Forecasting for Perfume 30ml '!$L104*Fractions!K$18,0)</f>
        <v>8</v>
      </c>
      <c r="J44" s="396">
        <f>ROUNDUP('Forecasting for Perfume 30ml '!$L104*Fractions!L$18,0)</f>
        <v>6</v>
      </c>
      <c r="K44" s="396">
        <f>ROUNDUP('Forecasting for Perfume 30ml '!$L104*Fractions!M$18,0)</f>
        <v>8</v>
      </c>
      <c r="L44" s="396">
        <f>ROUNDUP('Forecasting for Perfume 30ml '!$L104*Fractions!N$18,0)</f>
        <v>19</v>
      </c>
      <c r="M44" s="396">
        <f>ROUNDUP('Forecasting for Perfume 30ml '!$L104*Fractions!O$18,0)</f>
        <v>8</v>
      </c>
      <c r="N44" s="396">
        <f>ROUNDUP('Forecasting for Perfume 30ml '!$L104*Fractions!P$18,0)</f>
        <v>5</v>
      </c>
      <c r="O44" s="396">
        <f>ROUNDUP('Forecasting for Perfume 50ml'!$L104*Fractions!Q$18,0)</f>
        <v>10</v>
      </c>
      <c r="P44" s="396">
        <f>ROUNDUP('Forecasting for Perfume 50ml'!$L104*Fractions!R$18,0)</f>
        <v>11</v>
      </c>
      <c r="Q44" s="396">
        <f>ROUNDUP('Forecasting for Perfume 50ml'!$L104*Fractions!S$18,0)</f>
        <v>6</v>
      </c>
      <c r="R44" s="396">
        <f>ROUNDUP('Forecasting for Perfume 50ml'!$L104*Fractions!T$18,0)</f>
        <v>16</v>
      </c>
      <c r="S44" s="396">
        <f>ROUNDUP('Forecasting for Perfume 50ml'!$L104*Fractions!U$18,0)</f>
        <v>9</v>
      </c>
      <c r="T44" s="396">
        <f>ROUNDUP('Forecasting for Perfume 50ml'!$L104*Fractions!V$18,0)</f>
        <v>8</v>
      </c>
      <c r="U44" s="396">
        <f>ROUNDUP('Forecasting for Perfume 50ml'!$L104*Fractions!W$18,0)</f>
        <v>7</v>
      </c>
      <c r="V44" s="396">
        <f>ROUNDUP('Forecasting for Perfume 50ml'!$L104*Fractions!X$18,0)</f>
        <v>9</v>
      </c>
      <c r="W44" s="396">
        <f>ROUNDUP('Forecasting for Perfume 50ml'!$L104*Fractions!Y$18,0)</f>
        <v>6</v>
      </c>
      <c r="X44" s="396">
        <f>ROUNDUP('Forecasting for Perfume 50ml'!$L104*Fractions!Z$18,0)</f>
        <v>10</v>
      </c>
      <c r="Y44" s="396">
        <f>ROUNDUP('Forecasting for Perfume 50ml'!$L104*Fractions!AA$18,0)</f>
        <v>19</v>
      </c>
      <c r="Z44" s="396">
        <f>ROUNDUP('Forecasting for Perfume 50ml'!$L104*Fractions!AB$18,0)</f>
        <v>9</v>
      </c>
      <c r="AA44" s="396">
        <f>ROUNDUP('Forecasting for Perfume 50ml'!$L104*Fractions!AC$18,0)</f>
        <v>6</v>
      </c>
      <c r="AB44" s="396">
        <f>ROUNDUP('Forecasting for Bodymist 100ml'!$L104*Fractions!AD$18,0)</f>
        <v>8</v>
      </c>
      <c r="AC44" s="396">
        <f>ROUNDUP('Forecasting for Bodymist 100ml'!$L104*Fractions!AE$18,0)</f>
        <v>6</v>
      </c>
      <c r="AD44" s="396">
        <f>ROUNDUP('Forecasting for Bodymist 100ml'!$L104*Fractions!AF$18,0)</f>
        <v>4</v>
      </c>
      <c r="AE44" s="396">
        <f>ROUNDUP('Forecasting for Bodymist 100ml'!$L104*Fractions!AG$18,0)</f>
        <v>9</v>
      </c>
    </row>
    <row r="45" spans="1:31" x14ac:dyDescent="0.35">
      <c r="A45" s="395">
        <v>44774</v>
      </c>
      <c r="B45" s="396">
        <f>ROUNDUP('Forecasting for Perfume 30ml '!$L105*Fractions!D$18,0)</f>
        <v>10</v>
      </c>
      <c r="C45" s="396">
        <f>ROUNDUP('Forecasting for Perfume 30ml '!$L105*Fractions!E$18,0)</f>
        <v>11</v>
      </c>
      <c r="D45" s="396">
        <f>ROUNDUP('Forecasting for Perfume 30ml '!$L105*Fractions!F$18,0)</f>
        <v>7</v>
      </c>
      <c r="E45" s="396">
        <f>ROUNDUP('Forecasting for Perfume 30ml '!$L105*Fractions!G$18,0)</f>
        <v>16</v>
      </c>
      <c r="F45" s="396">
        <f>ROUNDUP('Forecasting for Perfume 30ml '!$L105*Fractions!H$18,0)</f>
        <v>9</v>
      </c>
      <c r="G45" s="396">
        <f>ROUNDUP('Forecasting for Perfume 30ml '!$L105*Fractions!I$18,0)</f>
        <v>8</v>
      </c>
      <c r="H45" s="396">
        <f>ROUNDUP('Forecasting for Perfume 30ml '!$L105*Fractions!J$18,0)</f>
        <v>9</v>
      </c>
      <c r="I45" s="396">
        <f>ROUNDUP('Forecasting for Perfume 30ml '!$L105*Fractions!K$18,0)</f>
        <v>8</v>
      </c>
      <c r="J45" s="396">
        <f>ROUNDUP('Forecasting for Perfume 30ml '!$L105*Fractions!L$18,0)</f>
        <v>6</v>
      </c>
      <c r="K45" s="396">
        <f>ROUNDUP('Forecasting for Perfume 30ml '!$L105*Fractions!M$18,0)</f>
        <v>9</v>
      </c>
      <c r="L45" s="396">
        <f>ROUNDUP('Forecasting for Perfume 30ml '!$L105*Fractions!N$18,0)</f>
        <v>21</v>
      </c>
      <c r="M45" s="396">
        <f>ROUNDUP('Forecasting for Perfume 30ml '!$L105*Fractions!O$18,0)</f>
        <v>8</v>
      </c>
      <c r="N45" s="396">
        <f>ROUNDUP('Forecasting for Perfume 30ml '!$L105*Fractions!P$18,0)</f>
        <v>6</v>
      </c>
      <c r="O45" s="396">
        <f>ROUNDUP('Forecasting for Perfume 50ml'!$L105*Fractions!Q$18,0)</f>
        <v>11</v>
      </c>
      <c r="P45" s="396">
        <f>ROUNDUP('Forecasting for Perfume 50ml'!$L105*Fractions!R$18,0)</f>
        <v>12</v>
      </c>
      <c r="Q45" s="396">
        <f>ROUNDUP('Forecasting for Perfume 50ml'!$L105*Fractions!S$18,0)</f>
        <v>7</v>
      </c>
      <c r="R45" s="396">
        <f>ROUNDUP('Forecasting for Perfume 50ml'!$L105*Fractions!T$18,0)</f>
        <v>17</v>
      </c>
      <c r="S45" s="396">
        <f>ROUNDUP('Forecasting for Perfume 50ml'!$L105*Fractions!U$18,0)</f>
        <v>10</v>
      </c>
      <c r="T45" s="396">
        <f>ROUNDUP('Forecasting for Perfume 50ml'!$L105*Fractions!V$18,0)</f>
        <v>9</v>
      </c>
      <c r="U45" s="396">
        <f>ROUNDUP('Forecasting for Perfume 50ml'!$L105*Fractions!W$18,0)</f>
        <v>8</v>
      </c>
      <c r="V45" s="396">
        <f>ROUNDUP('Forecasting for Perfume 50ml'!$L105*Fractions!X$18,0)</f>
        <v>10</v>
      </c>
      <c r="W45" s="396">
        <f>ROUNDUP('Forecasting for Perfume 50ml'!$L105*Fractions!Y$18,0)</f>
        <v>6</v>
      </c>
      <c r="X45" s="396">
        <f>ROUNDUP('Forecasting for Perfume 50ml'!$L105*Fractions!Z$18,0)</f>
        <v>10</v>
      </c>
      <c r="Y45" s="396">
        <f>ROUNDUP('Forecasting for Perfume 50ml'!$L105*Fractions!AA$18,0)</f>
        <v>20</v>
      </c>
      <c r="Z45" s="396">
        <f>ROUNDUP('Forecasting for Perfume 50ml'!$L105*Fractions!AB$18,0)</f>
        <v>10</v>
      </c>
      <c r="AA45" s="396">
        <f>ROUNDUP('Forecasting for Perfume 50ml'!$L105*Fractions!AC$18,0)</f>
        <v>6</v>
      </c>
      <c r="AB45" s="396">
        <f>ROUNDUP('Forecasting for Bodymist 100ml'!$L105*Fractions!AD$18,0)</f>
        <v>9</v>
      </c>
      <c r="AC45" s="396">
        <f>ROUNDUP('Forecasting for Bodymist 100ml'!$L105*Fractions!AE$18,0)</f>
        <v>7</v>
      </c>
      <c r="AD45" s="396">
        <f>ROUNDUP('Forecasting for Bodymist 100ml'!$L105*Fractions!AF$18,0)</f>
        <v>5</v>
      </c>
      <c r="AE45" s="396">
        <f>ROUNDUP('Forecasting for Bodymist 100ml'!$L105*Fractions!AG$18,0)</f>
        <v>11</v>
      </c>
    </row>
    <row r="46" spans="1:31" x14ac:dyDescent="0.35">
      <c r="A46" s="395">
        <v>44805</v>
      </c>
      <c r="B46" s="396">
        <f>ROUNDUP('Forecasting for Perfume 30ml '!$L106*Fractions!D$18,0)</f>
        <v>10</v>
      </c>
      <c r="C46" s="396">
        <f>ROUNDUP('Forecasting for Perfume 30ml '!$L106*Fractions!E$18,0)</f>
        <v>11</v>
      </c>
      <c r="D46" s="396">
        <f>ROUNDUP('Forecasting for Perfume 30ml '!$L106*Fractions!F$18,0)</f>
        <v>7</v>
      </c>
      <c r="E46" s="396">
        <f>ROUNDUP('Forecasting for Perfume 30ml '!$L106*Fractions!G$18,0)</f>
        <v>16</v>
      </c>
      <c r="F46" s="396">
        <f>ROUNDUP('Forecasting for Perfume 30ml '!$L106*Fractions!H$18,0)</f>
        <v>9</v>
      </c>
      <c r="G46" s="396">
        <f>ROUNDUP('Forecasting for Perfume 30ml '!$L106*Fractions!I$18,0)</f>
        <v>8</v>
      </c>
      <c r="H46" s="396">
        <f>ROUNDUP('Forecasting for Perfume 30ml '!$L106*Fractions!J$18,0)</f>
        <v>9</v>
      </c>
      <c r="I46" s="396">
        <f>ROUNDUP('Forecasting for Perfume 30ml '!$L106*Fractions!K$18,0)</f>
        <v>8</v>
      </c>
      <c r="J46" s="396">
        <f>ROUNDUP('Forecasting for Perfume 30ml '!$L106*Fractions!L$18,0)</f>
        <v>6</v>
      </c>
      <c r="K46" s="396">
        <f>ROUNDUP('Forecasting for Perfume 30ml '!$L106*Fractions!M$18,0)</f>
        <v>9</v>
      </c>
      <c r="L46" s="396">
        <f>ROUNDUP('Forecasting for Perfume 30ml '!$L106*Fractions!N$18,0)</f>
        <v>21</v>
      </c>
      <c r="M46" s="396">
        <f>ROUNDUP('Forecasting for Perfume 30ml '!$L106*Fractions!O$18,0)</f>
        <v>8</v>
      </c>
      <c r="N46" s="396">
        <f>ROUNDUP('Forecasting for Perfume 30ml '!$L106*Fractions!P$18,0)</f>
        <v>6</v>
      </c>
      <c r="O46" s="396">
        <f>ROUNDUP('Forecasting for Perfume 50ml'!$L106*Fractions!Q$18,0)</f>
        <v>11</v>
      </c>
      <c r="P46" s="396">
        <f>ROUNDUP('Forecasting for Perfume 50ml'!$L106*Fractions!R$18,0)</f>
        <v>12</v>
      </c>
      <c r="Q46" s="396">
        <f>ROUNDUP('Forecasting for Perfume 50ml'!$L106*Fractions!S$18,0)</f>
        <v>7</v>
      </c>
      <c r="R46" s="396">
        <f>ROUNDUP('Forecasting for Perfume 50ml'!$L106*Fractions!T$18,0)</f>
        <v>17</v>
      </c>
      <c r="S46" s="396">
        <f>ROUNDUP('Forecasting for Perfume 50ml'!$L106*Fractions!U$18,0)</f>
        <v>10</v>
      </c>
      <c r="T46" s="396">
        <f>ROUNDUP('Forecasting for Perfume 50ml'!$L106*Fractions!V$18,0)</f>
        <v>9</v>
      </c>
      <c r="U46" s="396">
        <f>ROUNDUP('Forecasting for Perfume 50ml'!$L106*Fractions!W$18,0)</f>
        <v>8</v>
      </c>
      <c r="V46" s="396">
        <f>ROUNDUP('Forecasting for Perfume 50ml'!$L106*Fractions!X$18,0)</f>
        <v>10</v>
      </c>
      <c r="W46" s="396">
        <f>ROUNDUP('Forecasting for Perfume 50ml'!$L106*Fractions!Y$18,0)</f>
        <v>6</v>
      </c>
      <c r="X46" s="396">
        <f>ROUNDUP('Forecasting for Perfume 50ml'!$L106*Fractions!Z$18,0)</f>
        <v>10</v>
      </c>
      <c r="Y46" s="396">
        <f>ROUNDUP('Forecasting for Perfume 50ml'!$L106*Fractions!AA$18,0)</f>
        <v>20</v>
      </c>
      <c r="Z46" s="396">
        <f>ROUNDUP('Forecasting for Perfume 50ml'!$L106*Fractions!AB$18,0)</f>
        <v>10</v>
      </c>
      <c r="AA46" s="396">
        <f>ROUNDUP('Forecasting for Perfume 50ml'!$L106*Fractions!AC$18,0)</f>
        <v>6</v>
      </c>
      <c r="AB46" s="396">
        <f>ROUNDUP('Forecasting for Bodymist 100ml'!$L106*Fractions!AD$18,0)</f>
        <v>9</v>
      </c>
      <c r="AC46" s="396">
        <f>ROUNDUP('Forecasting for Bodymist 100ml'!$L106*Fractions!AE$18,0)</f>
        <v>7</v>
      </c>
      <c r="AD46" s="396">
        <f>ROUNDUP('Forecasting for Bodymist 100ml'!$L106*Fractions!AF$18,0)</f>
        <v>5</v>
      </c>
      <c r="AE46" s="396">
        <f>ROUNDUP('Forecasting for Bodymist 100ml'!$L106*Fractions!AG$18,0)</f>
        <v>11</v>
      </c>
    </row>
    <row r="47" spans="1:31" x14ac:dyDescent="0.35">
      <c r="A47" s="395">
        <v>44835</v>
      </c>
      <c r="B47" s="396">
        <f>ROUNDUP('Forecasting for Perfume 30ml '!$L107*Fractions!D$18,0)</f>
        <v>10</v>
      </c>
      <c r="C47" s="396">
        <f>ROUNDUP('Forecasting for Perfume 30ml '!$L107*Fractions!E$18,0)</f>
        <v>11</v>
      </c>
      <c r="D47" s="396">
        <f>ROUNDUP('Forecasting for Perfume 30ml '!$L107*Fractions!F$18,0)</f>
        <v>7</v>
      </c>
      <c r="E47" s="396">
        <f>ROUNDUP('Forecasting for Perfume 30ml '!$L107*Fractions!G$18,0)</f>
        <v>16</v>
      </c>
      <c r="F47" s="396">
        <f>ROUNDUP('Forecasting for Perfume 30ml '!$L107*Fractions!H$18,0)</f>
        <v>9</v>
      </c>
      <c r="G47" s="396">
        <f>ROUNDUP('Forecasting for Perfume 30ml '!$L107*Fractions!I$18,0)</f>
        <v>8</v>
      </c>
      <c r="H47" s="396">
        <f>ROUNDUP('Forecasting for Perfume 30ml '!$L107*Fractions!J$18,0)</f>
        <v>9</v>
      </c>
      <c r="I47" s="396">
        <f>ROUNDUP('Forecasting for Perfume 30ml '!$L107*Fractions!K$18,0)</f>
        <v>8</v>
      </c>
      <c r="J47" s="396">
        <f>ROUNDUP('Forecasting for Perfume 30ml '!$L107*Fractions!L$18,0)</f>
        <v>6</v>
      </c>
      <c r="K47" s="396">
        <f>ROUNDUP('Forecasting for Perfume 30ml '!$L107*Fractions!M$18,0)</f>
        <v>9</v>
      </c>
      <c r="L47" s="396">
        <f>ROUNDUP('Forecasting for Perfume 30ml '!$L107*Fractions!N$18,0)</f>
        <v>21</v>
      </c>
      <c r="M47" s="396">
        <f>ROUNDUP('Forecasting for Perfume 30ml '!$L107*Fractions!O$18,0)</f>
        <v>8</v>
      </c>
      <c r="N47" s="396">
        <f>ROUNDUP('Forecasting for Perfume 30ml '!$L107*Fractions!P$18,0)</f>
        <v>6</v>
      </c>
      <c r="O47" s="396">
        <f>ROUNDUP('Forecasting for Perfume 50ml'!$L107*Fractions!Q$18,0)</f>
        <v>11</v>
      </c>
      <c r="P47" s="396">
        <f>ROUNDUP('Forecasting for Perfume 50ml'!$L107*Fractions!R$18,0)</f>
        <v>12</v>
      </c>
      <c r="Q47" s="396">
        <f>ROUNDUP('Forecasting for Perfume 50ml'!$L107*Fractions!S$18,0)</f>
        <v>7</v>
      </c>
      <c r="R47" s="396">
        <f>ROUNDUP('Forecasting for Perfume 50ml'!$L107*Fractions!T$18,0)</f>
        <v>17</v>
      </c>
      <c r="S47" s="396">
        <f>ROUNDUP('Forecasting for Perfume 50ml'!$L107*Fractions!U$18,0)</f>
        <v>10</v>
      </c>
      <c r="T47" s="396">
        <f>ROUNDUP('Forecasting for Perfume 50ml'!$L107*Fractions!V$18,0)</f>
        <v>9</v>
      </c>
      <c r="U47" s="396">
        <f>ROUNDUP('Forecasting for Perfume 50ml'!$L107*Fractions!W$18,0)</f>
        <v>8</v>
      </c>
      <c r="V47" s="396">
        <f>ROUNDUP('Forecasting for Perfume 50ml'!$L107*Fractions!X$18,0)</f>
        <v>10</v>
      </c>
      <c r="W47" s="396">
        <f>ROUNDUP('Forecasting for Perfume 50ml'!$L107*Fractions!Y$18,0)</f>
        <v>6</v>
      </c>
      <c r="X47" s="396">
        <f>ROUNDUP('Forecasting for Perfume 50ml'!$L107*Fractions!Z$18,0)</f>
        <v>10</v>
      </c>
      <c r="Y47" s="396">
        <f>ROUNDUP('Forecasting for Perfume 50ml'!$L107*Fractions!AA$18,0)</f>
        <v>20</v>
      </c>
      <c r="Z47" s="396">
        <f>ROUNDUP('Forecasting for Perfume 50ml'!$L107*Fractions!AB$18,0)</f>
        <v>10</v>
      </c>
      <c r="AA47" s="396">
        <f>ROUNDUP('Forecasting for Perfume 50ml'!$L107*Fractions!AC$18,0)</f>
        <v>6</v>
      </c>
      <c r="AB47" s="396">
        <f>ROUNDUP('Forecasting for Bodymist 100ml'!$L107*Fractions!AD$18,0)</f>
        <v>9</v>
      </c>
      <c r="AC47" s="396">
        <f>ROUNDUP('Forecasting for Bodymist 100ml'!$L107*Fractions!AE$18,0)</f>
        <v>7</v>
      </c>
      <c r="AD47" s="396">
        <f>ROUNDUP('Forecasting for Bodymist 100ml'!$L107*Fractions!AF$18,0)</f>
        <v>5</v>
      </c>
      <c r="AE47" s="396">
        <f>ROUNDUP('Forecasting for Bodymist 100ml'!$L107*Fractions!AG$18,0)</f>
        <v>11</v>
      </c>
    </row>
    <row r="48" spans="1:31" x14ac:dyDescent="0.35">
      <c r="A48" s="395">
        <v>44866</v>
      </c>
      <c r="B48" s="396">
        <f>ROUNDUP('Forecasting for Perfume 30ml '!$L108*Fractions!D$18,0)</f>
        <v>10</v>
      </c>
      <c r="C48" s="396">
        <f>ROUNDUP('Forecasting for Perfume 30ml '!$L108*Fractions!E$18,0)</f>
        <v>11</v>
      </c>
      <c r="D48" s="396">
        <f>ROUNDUP('Forecasting for Perfume 30ml '!$L108*Fractions!F$18,0)</f>
        <v>7</v>
      </c>
      <c r="E48" s="396">
        <f>ROUNDUP('Forecasting for Perfume 30ml '!$L108*Fractions!G$18,0)</f>
        <v>16</v>
      </c>
      <c r="F48" s="396">
        <f>ROUNDUP('Forecasting for Perfume 30ml '!$L108*Fractions!H$18,0)</f>
        <v>9</v>
      </c>
      <c r="G48" s="396">
        <f>ROUNDUP('Forecasting for Perfume 30ml '!$L108*Fractions!I$18,0)</f>
        <v>8</v>
      </c>
      <c r="H48" s="396">
        <f>ROUNDUP('Forecasting for Perfume 30ml '!$L108*Fractions!J$18,0)</f>
        <v>9</v>
      </c>
      <c r="I48" s="396">
        <f>ROUNDUP('Forecasting for Perfume 30ml '!$L108*Fractions!K$18,0)</f>
        <v>8</v>
      </c>
      <c r="J48" s="396">
        <f>ROUNDUP('Forecasting for Perfume 30ml '!$L108*Fractions!L$18,0)</f>
        <v>6</v>
      </c>
      <c r="K48" s="396">
        <f>ROUNDUP('Forecasting for Perfume 30ml '!$L108*Fractions!M$18,0)</f>
        <v>9</v>
      </c>
      <c r="L48" s="396">
        <f>ROUNDUP('Forecasting for Perfume 30ml '!$L108*Fractions!N$18,0)</f>
        <v>21</v>
      </c>
      <c r="M48" s="396">
        <f>ROUNDUP('Forecasting for Perfume 30ml '!$L108*Fractions!O$18,0)</f>
        <v>8</v>
      </c>
      <c r="N48" s="396">
        <f>ROUNDUP('Forecasting for Perfume 30ml '!$L108*Fractions!P$18,0)</f>
        <v>6</v>
      </c>
      <c r="O48" s="396">
        <f>ROUNDUP('Forecasting for Perfume 50ml'!$L108*Fractions!Q$18,0)</f>
        <v>11</v>
      </c>
      <c r="P48" s="396">
        <f>ROUNDUP('Forecasting for Perfume 50ml'!$L108*Fractions!R$18,0)</f>
        <v>12</v>
      </c>
      <c r="Q48" s="396">
        <f>ROUNDUP('Forecasting for Perfume 50ml'!$L108*Fractions!S$18,0)</f>
        <v>7</v>
      </c>
      <c r="R48" s="396">
        <f>ROUNDUP('Forecasting for Perfume 50ml'!$L108*Fractions!T$18,0)</f>
        <v>17</v>
      </c>
      <c r="S48" s="396">
        <f>ROUNDUP('Forecasting for Perfume 50ml'!$L108*Fractions!U$18,0)</f>
        <v>10</v>
      </c>
      <c r="T48" s="396">
        <f>ROUNDUP('Forecasting for Perfume 50ml'!$L108*Fractions!V$18,0)</f>
        <v>9</v>
      </c>
      <c r="U48" s="396">
        <f>ROUNDUP('Forecasting for Perfume 50ml'!$L108*Fractions!W$18,0)</f>
        <v>8</v>
      </c>
      <c r="V48" s="396">
        <f>ROUNDUP('Forecasting for Perfume 50ml'!$L108*Fractions!X$18,0)</f>
        <v>10</v>
      </c>
      <c r="W48" s="396">
        <f>ROUNDUP('Forecasting for Perfume 50ml'!$L108*Fractions!Y$18,0)</f>
        <v>6</v>
      </c>
      <c r="X48" s="396">
        <f>ROUNDUP('Forecasting for Perfume 50ml'!$L108*Fractions!Z$18,0)</f>
        <v>10</v>
      </c>
      <c r="Y48" s="396">
        <f>ROUNDUP('Forecasting for Perfume 50ml'!$L108*Fractions!AA$18,0)</f>
        <v>20</v>
      </c>
      <c r="Z48" s="396">
        <f>ROUNDUP('Forecasting for Perfume 50ml'!$L108*Fractions!AB$18,0)</f>
        <v>10</v>
      </c>
      <c r="AA48" s="396">
        <f>ROUNDUP('Forecasting for Perfume 50ml'!$L108*Fractions!AC$18,0)</f>
        <v>6</v>
      </c>
      <c r="AB48" s="396">
        <f>ROUNDUP('Forecasting for Bodymist 100ml'!$L108*Fractions!AD$18,0)</f>
        <v>9</v>
      </c>
      <c r="AC48" s="396">
        <f>ROUNDUP('Forecasting for Bodymist 100ml'!$L108*Fractions!AE$18,0)</f>
        <v>7</v>
      </c>
      <c r="AD48" s="396">
        <f>ROUNDUP('Forecasting for Bodymist 100ml'!$L108*Fractions!AF$18,0)</f>
        <v>5</v>
      </c>
      <c r="AE48" s="396">
        <f>ROUNDUP('Forecasting for Bodymist 100ml'!$L108*Fractions!AG$18,0)</f>
        <v>11</v>
      </c>
    </row>
    <row r="49" spans="1:31" x14ac:dyDescent="0.35">
      <c r="A49" s="395">
        <v>44896</v>
      </c>
      <c r="B49" s="396">
        <f>ROUNDUP('Forecasting for Perfume 30ml '!$L109*Fractions!D$18,0)</f>
        <v>21</v>
      </c>
      <c r="C49" s="396">
        <f>ROUNDUP('Forecasting for Perfume 30ml '!$L109*Fractions!E$18,0)</f>
        <v>21</v>
      </c>
      <c r="D49" s="396">
        <f>ROUNDUP('Forecasting for Perfume 30ml '!$L109*Fractions!F$18,0)</f>
        <v>14</v>
      </c>
      <c r="E49" s="396">
        <f>ROUNDUP('Forecasting for Perfume 30ml '!$L109*Fractions!G$18,0)</f>
        <v>33</v>
      </c>
      <c r="F49" s="396">
        <f>ROUNDUP('Forecasting for Perfume 30ml '!$L109*Fractions!H$18,0)</f>
        <v>18</v>
      </c>
      <c r="G49" s="396">
        <f>ROUNDUP('Forecasting for Perfume 30ml '!$L109*Fractions!I$18,0)</f>
        <v>16</v>
      </c>
      <c r="H49" s="396">
        <f>ROUNDUP('Forecasting for Perfume 30ml '!$L109*Fractions!J$18,0)</f>
        <v>18</v>
      </c>
      <c r="I49" s="396">
        <f>ROUNDUP('Forecasting for Perfume 30ml '!$L109*Fractions!K$18,0)</f>
        <v>17</v>
      </c>
      <c r="J49" s="396">
        <f>ROUNDUP('Forecasting for Perfume 30ml '!$L109*Fractions!L$18,0)</f>
        <v>13</v>
      </c>
      <c r="K49" s="396">
        <f>ROUNDUP('Forecasting for Perfume 30ml '!$L109*Fractions!M$18,0)</f>
        <v>18</v>
      </c>
      <c r="L49" s="396">
        <f>ROUNDUP('Forecasting for Perfume 30ml '!$L109*Fractions!N$18,0)</f>
        <v>43</v>
      </c>
      <c r="M49" s="396">
        <f>ROUNDUP('Forecasting for Perfume 30ml '!$L109*Fractions!O$18,0)</f>
        <v>17</v>
      </c>
      <c r="N49" s="396">
        <f>ROUNDUP('Forecasting for Perfume 30ml '!$L109*Fractions!P$18,0)</f>
        <v>11</v>
      </c>
      <c r="O49" s="396">
        <f>ROUNDUP('Forecasting for Perfume 50ml'!$L109*Fractions!Q$18,0)</f>
        <v>23</v>
      </c>
      <c r="P49" s="396">
        <f>ROUNDUP('Forecasting for Perfume 50ml'!$L109*Fractions!R$18,0)</f>
        <v>24</v>
      </c>
      <c r="Q49" s="396">
        <f>ROUNDUP('Forecasting for Perfume 50ml'!$L109*Fractions!S$18,0)</f>
        <v>14</v>
      </c>
      <c r="R49" s="396">
        <f>ROUNDUP('Forecasting for Perfume 50ml'!$L109*Fractions!T$18,0)</f>
        <v>35</v>
      </c>
      <c r="S49" s="396">
        <f>ROUNDUP('Forecasting for Perfume 50ml'!$L109*Fractions!U$18,0)</f>
        <v>21</v>
      </c>
      <c r="T49" s="396">
        <f>ROUNDUP('Forecasting for Perfume 50ml'!$L109*Fractions!V$18,0)</f>
        <v>19</v>
      </c>
      <c r="U49" s="396">
        <f>ROUNDUP('Forecasting for Perfume 50ml'!$L109*Fractions!W$18,0)</f>
        <v>16</v>
      </c>
      <c r="V49" s="396">
        <f>ROUNDUP('Forecasting for Perfume 50ml'!$L109*Fractions!X$18,0)</f>
        <v>21</v>
      </c>
      <c r="W49" s="396">
        <f>ROUNDUP('Forecasting for Perfume 50ml'!$L109*Fractions!Y$18,0)</f>
        <v>13</v>
      </c>
      <c r="X49" s="396">
        <f>ROUNDUP('Forecasting for Perfume 50ml'!$L109*Fractions!Z$18,0)</f>
        <v>22</v>
      </c>
      <c r="Y49" s="396">
        <f>ROUNDUP('Forecasting for Perfume 50ml'!$L109*Fractions!AA$18,0)</f>
        <v>42</v>
      </c>
      <c r="Z49" s="396">
        <f>ROUNDUP('Forecasting for Perfume 50ml'!$L109*Fractions!AB$18,0)</f>
        <v>21</v>
      </c>
      <c r="AA49" s="396">
        <f>ROUNDUP('Forecasting for Perfume 50ml'!$L109*Fractions!AC$18,0)</f>
        <v>13</v>
      </c>
      <c r="AB49" s="396">
        <f>ROUNDUP('Forecasting for Bodymist 100ml'!$L109*Fractions!AD$18,0)</f>
        <v>24</v>
      </c>
      <c r="AC49" s="396">
        <f>ROUNDUP('Forecasting for Bodymist 100ml'!$L109*Fractions!AE$18,0)</f>
        <v>18</v>
      </c>
      <c r="AD49" s="396">
        <f>ROUNDUP('Forecasting for Bodymist 100ml'!$L109*Fractions!AF$18,0)</f>
        <v>14</v>
      </c>
      <c r="AE49" s="396">
        <f>ROUNDUP('Forecasting for Bodymist 100ml'!$L109*Fractions!AG$18,0)</f>
        <v>27</v>
      </c>
    </row>
    <row r="50" spans="1:31" x14ac:dyDescent="0.35">
      <c r="A50" s="394">
        <v>44927</v>
      </c>
      <c r="B50" s="342">
        <f>ROUNDUP('Forecasting for Perfume 30ml '!$L110*Fractions!D$18,0)</f>
        <v>12</v>
      </c>
      <c r="C50" s="342">
        <f>ROUNDUP('Forecasting for Perfume 30ml '!$L110*Fractions!E$18,0)</f>
        <v>12</v>
      </c>
      <c r="D50" s="342">
        <f>ROUNDUP('Forecasting for Perfume 30ml '!$L110*Fractions!F$18,0)</f>
        <v>8</v>
      </c>
      <c r="E50" s="342">
        <f>ROUNDUP('Forecasting for Perfume 30ml '!$L110*Fractions!G$18,0)</f>
        <v>20</v>
      </c>
      <c r="F50" s="342">
        <f>ROUNDUP('Forecasting for Perfume 30ml '!$L110*Fractions!H$18,0)</f>
        <v>10</v>
      </c>
      <c r="G50" s="342">
        <f>ROUNDUP('Forecasting for Perfume 30ml '!$L110*Fractions!I$18,0)</f>
        <v>9</v>
      </c>
      <c r="H50" s="342">
        <f>ROUNDUP('Forecasting for Perfume 30ml '!$L110*Fractions!J$18,0)</f>
        <v>11</v>
      </c>
      <c r="I50" s="342">
        <f>ROUNDUP('Forecasting for Perfume 30ml '!$L110*Fractions!K$18,0)</f>
        <v>10</v>
      </c>
      <c r="J50" s="342">
        <f>ROUNDUP('Forecasting for Perfume 30ml '!$L110*Fractions!L$18,0)</f>
        <v>7</v>
      </c>
      <c r="K50" s="342">
        <f>ROUNDUP('Forecasting for Perfume 30ml '!$L110*Fractions!M$18,0)</f>
        <v>10</v>
      </c>
      <c r="L50" s="342">
        <f>ROUNDUP('Forecasting for Perfume 30ml '!$L110*Fractions!N$18,0)</f>
        <v>25</v>
      </c>
      <c r="M50" s="342">
        <f>ROUNDUP('Forecasting for Perfume 30ml '!$L110*Fractions!O$18,0)</f>
        <v>10</v>
      </c>
      <c r="N50" s="342">
        <f>ROUNDUP('Forecasting for Perfume 30ml '!$L110*Fractions!P$18,0)</f>
        <v>7</v>
      </c>
      <c r="O50" s="342">
        <f>ROUNDUP('Forecasting for Perfume 50ml'!$L110*Fractions!Q$18,0)</f>
        <v>12</v>
      </c>
      <c r="P50" s="342">
        <f>ROUNDUP('Forecasting for Perfume 50ml'!$L110*Fractions!R$18,0)</f>
        <v>13</v>
      </c>
      <c r="Q50" s="342">
        <f>ROUNDUP('Forecasting for Perfume 50ml'!$L110*Fractions!S$18,0)</f>
        <v>7</v>
      </c>
      <c r="R50" s="342">
        <f>ROUNDUP('Forecasting for Perfume 50ml'!$L110*Fractions!T$18,0)</f>
        <v>18</v>
      </c>
      <c r="S50" s="342">
        <f>ROUNDUP('Forecasting for Perfume 50ml'!$L110*Fractions!U$18,0)</f>
        <v>11</v>
      </c>
      <c r="T50" s="342">
        <f>ROUNDUP('Forecasting for Perfume 50ml'!$L110*Fractions!V$18,0)</f>
        <v>10</v>
      </c>
      <c r="U50" s="342">
        <f>ROUNDUP('Forecasting for Perfume 50ml'!$L110*Fractions!W$18,0)</f>
        <v>8</v>
      </c>
      <c r="V50" s="342">
        <f>ROUNDUP('Forecasting for Perfume 50ml'!$L110*Fractions!X$18,0)</f>
        <v>11</v>
      </c>
      <c r="W50" s="342">
        <f>ROUNDUP('Forecasting for Perfume 50ml'!$L110*Fractions!Y$18,0)</f>
        <v>7</v>
      </c>
      <c r="X50" s="342">
        <f>ROUNDUP('Forecasting for Perfume 50ml'!$L110*Fractions!Z$18,0)</f>
        <v>12</v>
      </c>
      <c r="Y50" s="342">
        <f>ROUNDUP('Forecasting for Perfume 50ml'!$L110*Fractions!AA$18,0)</f>
        <v>22</v>
      </c>
      <c r="Z50" s="342">
        <f>ROUNDUP('Forecasting for Perfume 50ml'!$L110*Fractions!AB$18,0)</f>
        <v>11</v>
      </c>
      <c r="AA50" s="342">
        <f>ROUNDUP('Forecasting for Perfume 50ml'!$L110*Fractions!AC$18,0)</f>
        <v>7</v>
      </c>
      <c r="AB50" s="342">
        <f>ROUNDUP('Forecasting for Bodymist 100ml'!$L110*Fractions!AD$18,0)</f>
        <v>5</v>
      </c>
      <c r="AC50" s="342">
        <f>ROUNDUP('Forecasting for Bodymist 100ml'!$L110*Fractions!AE$18,0)</f>
        <v>4</v>
      </c>
      <c r="AD50" s="342">
        <f>ROUNDUP('Forecasting for Bodymist 100ml'!$L110*Fractions!AF$18,0)</f>
        <v>3</v>
      </c>
      <c r="AE50" s="342">
        <f>ROUNDUP('Forecasting for Bodymist 100ml'!$L110*Fractions!AG$18,0)</f>
        <v>5</v>
      </c>
    </row>
    <row r="51" spans="1:31" x14ac:dyDescent="0.35">
      <c r="A51" s="394">
        <v>44958</v>
      </c>
      <c r="B51" s="342">
        <f>ROUNDUP('Forecasting for Perfume 30ml '!$L111*Fractions!D$18,0)</f>
        <v>17</v>
      </c>
      <c r="C51" s="342">
        <f>ROUNDUP('Forecasting for Perfume 30ml '!$L111*Fractions!E$18,0)</f>
        <v>17</v>
      </c>
      <c r="D51" s="342">
        <f>ROUNDUP('Forecasting for Perfume 30ml '!$L111*Fractions!F$18,0)</f>
        <v>11</v>
      </c>
      <c r="E51" s="342">
        <f>ROUNDUP('Forecasting for Perfume 30ml '!$L111*Fractions!G$18,0)</f>
        <v>27</v>
      </c>
      <c r="F51" s="342">
        <f>ROUNDUP('Forecasting for Perfume 30ml '!$L111*Fractions!H$18,0)</f>
        <v>15</v>
      </c>
      <c r="G51" s="342">
        <f>ROUNDUP('Forecasting for Perfume 30ml '!$L111*Fractions!I$18,0)</f>
        <v>13</v>
      </c>
      <c r="H51" s="342">
        <f>ROUNDUP('Forecasting for Perfume 30ml '!$L111*Fractions!J$18,0)</f>
        <v>15</v>
      </c>
      <c r="I51" s="342">
        <f>ROUNDUP('Forecasting for Perfume 30ml '!$L111*Fractions!K$18,0)</f>
        <v>14</v>
      </c>
      <c r="J51" s="342">
        <f>ROUNDUP('Forecasting for Perfume 30ml '!$L111*Fractions!L$18,0)</f>
        <v>10</v>
      </c>
      <c r="K51" s="342">
        <f>ROUNDUP('Forecasting for Perfume 30ml '!$L111*Fractions!M$18,0)</f>
        <v>15</v>
      </c>
      <c r="L51" s="342">
        <f>ROUNDUP('Forecasting for Perfume 30ml '!$L111*Fractions!N$18,0)</f>
        <v>35</v>
      </c>
      <c r="M51" s="342">
        <f>ROUNDUP('Forecasting for Perfume 30ml '!$L111*Fractions!O$18,0)</f>
        <v>14</v>
      </c>
      <c r="N51" s="342">
        <f>ROUNDUP('Forecasting for Perfume 30ml '!$L111*Fractions!P$18,0)</f>
        <v>9</v>
      </c>
      <c r="O51" s="342">
        <f>ROUNDUP('Forecasting for Perfume 50ml'!$L111*Fractions!Q$18,0)</f>
        <v>17</v>
      </c>
      <c r="P51" s="342">
        <f>ROUNDUP('Forecasting for Perfume 50ml'!$L111*Fractions!R$18,0)</f>
        <v>18</v>
      </c>
      <c r="Q51" s="342">
        <f>ROUNDUP('Forecasting for Perfume 50ml'!$L111*Fractions!S$18,0)</f>
        <v>10</v>
      </c>
      <c r="R51" s="342">
        <f>ROUNDUP('Forecasting for Perfume 50ml'!$L111*Fractions!T$18,0)</f>
        <v>26</v>
      </c>
      <c r="S51" s="342">
        <f>ROUNDUP('Forecasting for Perfume 50ml'!$L111*Fractions!U$18,0)</f>
        <v>15</v>
      </c>
      <c r="T51" s="342">
        <f>ROUNDUP('Forecasting for Perfume 50ml'!$L111*Fractions!V$18,0)</f>
        <v>14</v>
      </c>
      <c r="U51" s="342">
        <f>ROUNDUP('Forecasting for Perfume 50ml'!$L111*Fractions!W$18,0)</f>
        <v>11</v>
      </c>
      <c r="V51" s="342">
        <f>ROUNDUP('Forecasting for Perfume 50ml'!$L111*Fractions!X$18,0)</f>
        <v>15</v>
      </c>
      <c r="W51" s="342">
        <f>ROUNDUP('Forecasting for Perfume 50ml'!$L111*Fractions!Y$18,0)</f>
        <v>9</v>
      </c>
      <c r="X51" s="342">
        <f>ROUNDUP('Forecasting for Perfume 50ml'!$L111*Fractions!Z$18,0)</f>
        <v>16</v>
      </c>
      <c r="Y51" s="342">
        <f>ROUNDUP('Forecasting for Perfume 50ml'!$L111*Fractions!AA$18,0)</f>
        <v>31</v>
      </c>
      <c r="Z51" s="342">
        <f>ROUNDUP('Forecasting for Perfume 50ml'!$L111*Fractions!AB$18,0)</f>
        <v>15</v>
      </c>
      <c r="AA51" s="342">
        <f>ROUNDUP('Forecasting for Perfume 50ml'!$L111*Fractions!AC$18,0)</f>
        <v>9</v>
      </c>
      <c r="AB51" s="342">
        <f>ROUNDUP('Forecasting for Bodymist 100ml'!$L111*Fractions!AD$18,0)</f>
        <v>16</v>
      </c>
      <c r="AC51" s="342">
        <f>ROUNDUP('Forecasting for Bodymist 100ml'!$L111*Fractions!AE$18,0)</f>
        <v>12</v>
      </c>
      <c r="AD51" s="342">
        <f>ROUNDUP('Forecasting for Bodymist 100ml'!$L111*Fractions!AF$18,0)</f>
        <v>9</v>
      </c>
      <c r="AE51" s="342">
        <f>ROUNDUP('Forecasting for Bodymist 100ml'!$L111*Fractions!AG$18,0)</f>
        <v>18</v>
      </c>
    </row>
    <row r="52" spans="1:31" x14ac:dyDescent="0.35">
      <c r="A52" s="394">
        <v>44986</v>
      </c>
      <c r="B52" s="342">
        <f>ROUNDUP('Forecasting for Perfume 30ml '!$L112*Fractions!D$18,0)</f>
        <v>8</v>
      </c>
      <c r="C52" s="342">
        <f>ROUNDUP('Forecasting for Perfume 30ml '!$L112*Fractions!E$18,0)</f>
        <v>8</v>
      </c>
      <c r="D52" s="342">
        <f>ROUNDUP('Forecasting for Perfume 30ml '!$L112*Fractions!F$18,0)</f>
        <v>5</v>
      </c>
      <c r="E52" s="342">
        <f>ROUNDUP('Forecasting for Perfume 30ml '!$L112*Fractions!G$18,0)</f>
        <v>12</v>
      </c>
      <c r="F52" s="342">
        <f>ROUNDUP('Forecasting for Perfume 30ml '!$L112*Fractions!H$18,0)</f>
        <v>7</v>
      </c>
      <c r="G52" s="342">
        <f>ROUNDUP('Forecasting for Perfume 30ml '!$L112*Fractions!I$18,0)</f>
        <v>6</v>
      </c>
      <c r="H52" s="342">
        <f>ROUNDUP('Forecasting for Perfume 30ml '!$L112*Fractions!J$18,0)</f>
        <v>7</v>
      </c>
      <c r="I52" s="342">
        <f>ROUNDUP('Forecasting for Perfume 30ml '!$L112*Fractions!K$18,0)</f>
        <v>6</v>
      </c>
      <c r="J52" s="342">
        <f>ROUNDUP('Forecasting for Perfume 30ml '!$L112*Fractions!L$18,0)</f>
        <v>5</v>
      </c>
      <c r="K52" s="342">
        <f>ROUNDUP('Forecasting for Perfume 30ml '!$L112*Fractions!M$18,0)</f>
        <v>7</v>
      </c>
      <c r="L52" s="342">
        <f>ROUNDUP('Forecasting for Perfume 30ml '!$L112*Fractions!N$18,0)</f>
        <v>15</v>
      </c>
      <c r="M52" s="342">
        <f>ROUNDUP('Forecasting for Perfume 30ml '!$L112*Fractions!O$18,0)</f>
        <v>6</v>
      </c>
      <c r="N52" s="342">
        <f>ROUNDUP('Forecasting for Perfume 30ml '!$L112*Fractions!P$18,0)</f>
        <v>4</v>
      </c>
      <c r="O52" s="342">
        <f>ROUNDUP('Forecasting for Perfume 50ml'!$L112*Fractions!Q$18,0)</f>
        <v>9</v>
      </c>
      <c r="P52" s="342">
        <f>ROUNDUP('Forecasting for Perfume 50ml'!$L112*Fractions!R$18,0)</f>
        <v>10</v>
      </c>
      <c r="Q52" s="342">
        <f>ROUNDUP('Forecasting for Perfume 50ml'!$L112*Fractions!S$18,0)</f>
        <v>6</v>
      </c>
      <c r="R52" s="342">
        <f>ROUNDUP('Forecasting for Perfume 50ml'!$L112*Fractions!T$18,0)</f>
        <v>14</v>
      </c>
      <c r="S52" s="342">
        <f>ROUNDUP('Forecasting for Perfume 50ml'!$L112*Fractions!U$18,0)</f>
        <v>8</v>
      </c>
      <c r="T52" s="342">
        <f>ROUNDUP('Forecasting for Perfume 50ml'!$L112*Fractions!V$18,0)</f>
        <v>8</v>
      </c>
      <c r="U52" s="342">
        <f>ROUNDUP('Forecasting for Perfume 50ml'!$L112*Fractions!W$18,0)</f>
        <v>6</v>
      </c>
      <c r="V52" s="342">
        <f>ROUNDUP('Forecasting for Perfume 50ml'!$L112*Fractions!X$18,0)</f>
        <v>8</v>
      </c>
      <c r="W52" s="342">
        <f>ROUNDUP('Forecasting for Perfume 50ml'!$L112*Fractions!Y$18,0)</f>
        <v>5</v>
      </c>
      <c r="X52" s="342">
        <f>ROUNDUP('Forecasting for Perfume 50ml'!$L112*Fractions!Z$18,0)</f>
        <v>9</v>
      </c>
      <c r="Y52" s="342">
        <f>ROUNDUP('Forecasting for Perfume 50ml'!$L112*Fractions!AA$18,0)</f>
        <v>17</v>
      </c>
      <c r="Z52" s="342">
        <f>ROUNDUP('Forecasting for Perfume 50ml'!$L112*Fractions!AB$18,0)</f>
        <v>8</v>
      </c>
      <c r="AA52" s="342">
        <f>ROUNDUP('Forecasting for Perfume 50ml'!$L112*Fractions!AC$18,0)</f>
        <v>5</v>
      </c>
      <c r="AB52" s="342">
        <f>ROUNDUP('Forecasting for Bodymist 100ml'!$L112*Fractions!AD$18,0)</f>
        <v>7</v>
      </c>
      <c r="AC52" s="342">
        <f>ROUNDUP('Forecasting for Bodymist 100ml'!$L112*Fractions!AE$18,0)</f>
        <v>5</v>
      </c>
      <c r="AD52" s="342">
        <f>ROUNDUP('Forecasting for Bodymist 100ml'!$L112*Fractions!AF$18,0)</f>
        <v>4</v>
      </c>
      <c r="AE52" s="342">
        <f>ROUNDUP('Forecasting for Bodymist 100ml'!$L112*Fractions!AG$18,0)</f>
        <v>8</v>
      </c>
    </row>
    <row r="53" spans="1:31" x14ac:dyDescent="0.35">
      <c r="A53" s="394">
        <v>45017</v>
      </c>
      <c r="B53" s="342">
        <f>ROUNDUP('Forecasting for Perfume 30ml '!$L113*Fractions!D$18,0)</f>
        <v>15</v>
      </c>
      <c r="C53" s="342">
        <f>ROUNDUP('Forecasting for Perfume 30ml '!$L113*Fractions!E$18,0)</f>
        <v>15</v>
      </c>
      <c r="D53" s="342">
        <f>ROUNDUP('Forecasting for Perfume 30ml '!$L113*Fractions!F$18,0)</f>
        <v>9</v>
      </c>
      <c r="E53" s="342">
        <f>ROUNDUP('Forecasting for Perfume 30ml '!$L113*Fractions!G$18,0)</f>
        <v>23</v>
      </c>
      <c r="F53" s="342">
        <f>ROUNDUP('Forecasting for Perfume 30ml '!$L113*Fractions!H$18,0)</f>
        <v>12</v>
      </c>
      <c r="G53" s="342">
        <f>ROUNDUP('Forecasting for Perfume 30ml '!$L113*Fractions!I$18,0)</f>
        <v>11</v>
      </c>
      <c r="H53" s="342">
        <f>ROUNDUP('Forecasting for Perfume 30ml '!$L113*Fractions!J$18,0)</f>
        <v>13</v>
      </c>
      <c r="I53" s="342">
        <f>ROUNDUP('Forecasting for Perfume 30ml '!$L113*Fractions!K$18,0)</f>
        <v>12</v>
      </c>
      <c r="J53" s="342">
        <f>ROUNDUP('Forecasting for Perfume 30ml '!$L113*Fractions!L$18,0)</f>
        <v>9</v>
      </c>
      <c r="K53" s="342">
        <f>ROUNDUP('Forecasting for Perfume 30ml '!$L113*Fractions!M$18,0)</f>
        <v>12</v>
      </c>
      <c r="L53" s="342">
        <f>ROUNDUP('Forecasting for Perfume 30ml '!$L113*Fractions!N$18,0)</f>
        <v>30</v>
      </c>
      <c r="M53" s="342">
        <f>ROUNDUP('Forecasting for Perfume 30ml '!$L113*Fractions!O$18,0)</f>
        <v>12</v>
      </c>
      <c r="N53" s="342">
        <f>ROUNDUP('Forecasting for Perfume 30ml '!$L113*Fractions!P$18,0)</f>
        <v>8</v>
      </c>
      <c r="O53" s="342">
        <f>ROUNDUP('Forecasting for Perfume 50ml'!$L113*Fractions!Q$18,0)</f>
        <v>17</v>
      </c>
      <c r="P53" s="342">
        <f>ROUNDUP('Forecasting for Perfume 50ml'!$L113*Fractions!R$18,0)</f>
        <v>17</v>
      </c>
      <c r="Q53" s="342">
        <f>ROUNDUP('Forecasting for Perfume 50ml'!$L113*Fractions!S$18,0)</f>
        <v>10</v>
      </c>
      <c r="R53" s="342">
        <f>ROUNDUP('Forecasting for Perfume 50ml'!$L113*Fractions!T$18,0)</f>
        <v>25</v>
      </c>
      <c r="S53" s="342">
        <f>ROUNDUP('Forecasting for Perfume 50ml'!$L113*Fractions!U$18,0)</f>
        <v>15</v>
      </c>
      <c r="T53" s="342">
        <f>ROUNDUP('Forecasting for Perfume 50ml'!$L113*Fractions!V$18,0)</f>
        <v>14</v>
      </c>
      <c r="U53" s="342">
        <f>ROUNDUP('Forecasting for Perfume 50ml'!$L113*Fractions!W$18,0)</f>
        <v>11</v>
      </c>
      <c r="V53" s="342">
        <f>ROUNDUP('Forecasting for Perfume 50ml'!$L113*Fractions!X$18,0)</f>
        <v>15</v>
      </c>
      <c r="W53" s="342">
        <f>ROUNDUP('Forecasting for Perfume 50ml'!$L113*Fractions!Y$18,0)</f>
        <v>9</v>
      </c>
      <c r="X53" s="342">
        <f>ROUNDUP('Forecasting for Perfume 50ml'!$L113*Fractions!Z$18,0)</f>
        <v>16</v>
      </c>
      <c r="Y53" s="342">
        <f>ROUNDUP('Forecasting for Perfume 50ml'!$L113*Fractions!AA$18,0)</f>
        <v>31</v>
      </c>
      <c r="Z53" s="342">
        <f>ROUNDUP('Forecasting for Perfume 50ml'!$L113*Fractions!AB$18,0)</f>
        <v>15</v>
      </c>
      <c r="AA53" s="342">
        <f>ROUNDUP('Forecasting for Perfume 50ml'!$L113*Fractions!AC$18,0)</f>
        <v>9</v>
      </c>
      <c r="AB53" s="342">
        <f>ROUNDUP('Forecasting for Bodymist 100ml'!$L113*Fractions!AD$18,0)</f>
        <v>16</v>
      </c>
      <c r="AC53" s="342">
        <f>ROUNDUP('Forecasting for Bodymist 100ml'!$L113*Fractions!AE$18,0)</f>
        <v>12</v>
      </c>
      <c r="AD53" s="342">
        <f>ROUNDUP('Forecasting for Bodymist 100ml'!$L113*Fractions!AF$18,0)</f>
        <v>9</v>
      </c>
      <c r="AE53" s="342">
        <f>ROUNDUP('Forecasting for Bodymist 100ml'!$L113*Fractions!AG$18,0)</f>
        <v>18</v>
      </c>
    </row>
    <row r="54" spans="1:31" x14ac:dyDescent="0.35">
      <c r="A54" s="394">
        <v>45047</v>
      </c>
      <c r="B54" s="342">
        <f>ROUNDUP('Forecasting for Perfume 30ml '!$L114*Fractions!D$18,0)</f>
        <v>13</v>
      </c>
      <c r="C54" s="342">
        <f>ROUNDUP('Forecasting for Perfume 30ml '!$L114*Fractions!E$18,0)</f>
        <v>13</v>
      </c>
      <c r="D54" s="342">
        <f>ROUNDUP('Forecasting for Perfume 30ml '!$L114*Fractions!F$18,0)</f>
        <v>8</v>
      </c>
      <c r="E54" s="342">
        <f>ROUNDUP('Forecasting for Perfume 30ml '!$L114*Fractions!G$18,0)</f>
        <v>20</v>
      </c>
      <c r="F54" s="342">
        <f>ROUNDUP('Forecasting for Perfume 30ml '!$L114*Fractions!H$18,0)</f>
        <v>11</v>
      </c>
      <c r="G54" s="342">
        <f>ROUNDUP('Forecasting for Perfume 30ml '!$L114*Fractions!I$18,0)</f>
        <v>9</v>
      </c>
      <c r="H54" s="342">
        <f>ROUNDUP('Forecasting for Perfume 30ml '!$L114*Fractions!J$18,0)</f>
        <v>11</v>
      </c>
      <c r="I54" s="342">
        <f>ROUNDUP('Forecasting for Perfume 30ml '!$L114*Fractions!K$18,0)</f>
        <v>10</v>
      </c>
      <c r="J54" s="342">
        <f>ROUNDUP('Forecasting for Perfume 30ml '!$L114*Fractions!L$18,0)</f>
        <v>8</v>
      </c>
      <c r="K54" s="342">
        <f>ROUNDUP('Forecasting for Perfume 30ml '!$L114*Fractions!M$18,0)</f>
        <v>11</v>
      </c>
      <c r="L54" s="342">
        <f>ROUNDUP('Forecasting for Perfume 30ml '!$L114*Fractions!N$18,0)</f>
        <v>25</v>
      </c>
      <c r="M54" s="342">
        <f>ROUNDUP('Forecasting for Perfume 30ml '!$L114*Fractions!O$18,0)</f>
        <v>10</v>
      </c>
      <c r="N54" s="342">
        <f>ROUNDUP('Forecasting for Perfume 30ml '!$L114*Fractions!P$18,0)</f>
        <v>7</v>
      </c>
      <c r="O54" s="342">
        <f>ROUNDUP('Forecasting for Perfume 50ml'!$L114*Fractions!Q$18,0)</f>
        <v>14</v>
      </c>
      <c r="P54" s="342">
        <f>ROUNDUP('Forecasting for Perfume 50ml'!$L114*Fractions!R$18,0)</f>
        <v>15</v>
      </c>
      <c r="Q54" s="342">
        <f>ROUNDUP('Forecasting for Perfume 50ml'!$L114*Fractions!S$18,0)</f>
        <v>8</v>
      </c>
      <c r="R54" s="342">
        <f>ROUNDUP('Forecasting for Perfume 50ml'!$L114*Fractions!T$18,0)</f>
        <v>21</v>
      </c>
      <c r="S54" s="342">
        <f>ROUNDUP('Forecasting for Perfume 50ml'!$L114*Fractions!U$18,0)</f>
        <v>13</v>
      </c>
      <c r="T54" s="342">
        <f>ROUNDUP('Forecasting for Perfume 50ml'!$L114*Fractions!V$18,0)</f>
        <v>11</v>
      </c>
      <c r="U54" s="342">
        <f>ROUNDUP('Forecasting for Perfume 50ml'!$L114*Fractions!W$18,0)</f>
        <v>10</v>
      </c>
      <c r="V54" s="342">
        <f>ROUNDUP('Forecasting for Perfume 50ml'!$L114*Fractions!X$18,0)</f>
        <v>13</v>
      </c>
      <c r="W54" s="342">
        <f>ROUNDUP('Forecasting for Perfume 50ml'!$L114*Fractions!Y$18,0)</f>
        <v>8</v>
      </c>
      <c r="X54" s="342">
        <f>ROUNDUP('Forecasting for Perfume 50ml'!$L114*Fractions!Z$18,0)</f>
        <v>13</v>
      </c>
      <c r="Y54" s="342">
        <f>ROUNDUP('Forecasting for Perfume 50ml'!$L114*Fractions!AA$18,0)</f>
        <v>26</v>
      </c>
      <c r="Z54" s="342">
        <f>ROUNDUP('Forecasting for Perfume 50ml'!$L114*Fractions!AB$18,0)</f>
        <v>13</v>
      </c>
      <c r="AA54" s="342">
        <f>ROUNDUP('Forecasting for Perfume 50ml'!$L114*Fractions!AC$18,0)</f>
        <v>8</v>
      </c>
      <c r="AB54" s="342">
        <f>ROUNDUP('Forecasting for Bodymist 100ml'!$L114*Fractions!AD$18,0)</f>
        <v>10</v>
      </c>
      <c r="AC54" s="342">
        <f>ROUNDUP('Forecasting for Bodymist 100ml'!$L114*Fractions!AE$18,0)</f>
        <v>8</v>
      </c>
      <c r="AD54" s="342">
        <f>ROUNDUP('Forecasting for Bodymist 100ml'!$L114*Fractions!AF$18,0)</f>
        <v>6</v>
      </c>
      <c r="AE54" s="342">
        <f>ROUNDUP('Forecasting for Bodymist 100ml'!$L114*Fractions!AG$18,0)</f>
        <v>12</v>
      </c>
    </row>
    <row r="55" spans="1:31" x14ac:dyDescent="0.35">
      <c r="A55" s="394">
        <v>45078</v>
      </c>
      <c r="B55" s="342">
        <f>ROUNDUP('Forecasting for Perfume 30ml '!$L115*Fractions!D$18,0)</f>
        <v>12</v>
      </c>
      <c r="C55" s="342">
        <f>ROUNDUP('Forecasting for Perfume 30ml '!$L115*Fractions!E$18,0)</f>
        <v>12</v>
      </c>
      <c r="D55" s="342">
        <f>ROUNDUP('Forecasting for Perfume 30ml '!$L115*Fractions!F$18,0)</f>
        <v>8</v>
      </c>
      <c r="E55" s="342">
        <f>ROUNDUP('Forecasting for Perfume 30ml '!$L115*Fractions!G$18,0)</f>
        <v>19</v>
      </c>
      <c r="F55" s="342">
        <f>ROUNDUP('Forecasting for Perfume 30ml '!$L115*Fractions!H$18,0)</f>
        <v>10</v>
      </c>
      <c r="G55" s="342">
        <f>ROUNDUP('Forecasting for Perfume 30ml '!$L115*Fractions!I$18,0)</f>
        <v>9</v>
      </c>
      <c r="H55" s="342">
        <f>ROUNDUP('Forecasting for Perfume 30ml '!$L115*Fractions!J$18,0)</f>
        <v>10</v>
      </c>
      <c r="I55" s="342">
        <f>ROUNDUP('Forecasting for Perfume 30ml '!$L115*Fractions!K$18,0)</f>
        <v>10</v>
      </c>
      <c r="J55" s="342">
        <f>ROUNDUP('Forecasting for Perfume 30ml '!$L115*Fractions!L$18,0)</f>
        <v>7</v>
      </c>
      <c r="K55" s="342">
        <f>ROUNDUP('Forecasting for Perfume 30ml '!$L115*Fractions!M$18,0)</f>
        <v>10</v>
      </c>
      <c r="L55" s="342">
        <f>ROUNDUP('Forecasting for Perfume 30ml '!$L115*Fractions!N$18,0)</f>
        <v>24</v>
      </c>
      <c r="M55" s="342">
        <f>ROUNDUP('Forecasting for Perfume 30ml '!$L115*Fractions!O$18,0)</f>
        <v>10</v>
      </c>
      <c r="N55" s="342">
        <f>ROUNDUP('Forecasting for Perfume 30ml '!$L115*Fractions!P$18,0)</f>
        <v>7</v>
      </c>
      <c r="O55" s="342">
        <f>ROUNDUP('Forecasting for Perfume 50ml'!$L115*Fractions!Q$18,0)</f>
        <v>12</v>
      </c>
      <c r="P55" s="342">
        <f>ROUNDUP('Forecasting for Perfume 50ml'!$L115*Fractions!R$18,0)</f>
        <v>13</v>
      </c>
      <c r="Q55" s="342">
        <f>ROUNDUP('Forecasting for Perfume 50ml'!$L115*Fractions!S$18,0)</f>
        <v>7</v>
      </c>
      <c r="R55" s="342">
        <f>ROUNDUP('Forecasting for Perfume 50ml'!$L115*Fractions!T$18,0)</f>
        <v>18</v>
      </c>
      <c r="S55" s="342">
        <f>ROUNDUP('Forecasting for Perfume 50ml'!$L115*Fractions!U$18,0)</f>
        <v>11</v>
      </c>
      <c r="T55" s="342">
        <f>ROUNDUP('Forecasting for Perfume 50ml'!$L115*Fractions!V$18,0)</f>
        <v>10</v>
      </c>
      <c r="U55" s="342">
        <f>ROUNDUP('Forecasting for Perfume 50ml'!$L115*Fractions!W$18,0)</f>
        <v>8</v>
      </c>
      <c r="V55" s="342">
        <f>ROUNDUP('Forecasting for Perfume 50ml'!$L115*Fractions!X$18,0)</f>
        <v>11</v>
      </c>
      <c r="W55" s="342">
        <f>ROUNDUP('Forecasting for Perfume 50ml'!$L115*Fractions!Y$18,0)</f>
        <v>7</v>
      </c>
      <c r="X55" s="342">
        <f>ROUNDUP('Forecasting for Perfume 50ml'!$L115*Fractions!Z$18,0)</f>
        <v>11</v>
      </c>
      <c r="Y55" s="342">
        <f>ROUNDUP('Forecasting for Perfume 50ml'!$L115*Fractions!AA$18,0)</f>
        <v>22</v>
      </c>
      <c r="Z55" s="342">
        <f>ROUNDUP('Forecasting for Perfume 50ml'!$L115*Fractions!AB$18,0)</f>
        <v>11</v>
      </c>
      <c r="AA55" s="342">
        <f>ROUNDUP('Forecasting for Perfume 50ml'!$L115*Fractions!AC$18,0)</f>
        <v>7</v>
      </c>
      <c r="AB55" s="342">
        <f>ROUNDUP('Forecasting for Bodymist 100ml'!$L115*Fractions!AD$18,0)</f>
        <v>13</v>
      </c>
      <c r="AC55" s="342">
        <f>ROUNDUP('Forecasting for Bodymist 100ml'!$L115*Fractions!AE$18,0)</f>
        <v>10</v>
      </c>
      <c r="AD55" s="342">
        <f>ROUNDUP('Forecasting for Bodymist 100ml'!$L115*Fractions!AF$18,0)</f>
        <v>8</v>
      </c>
      <c r="AE55" s="342">
        <f>ROUNDUP('Forecasting for Bodymist 100ml'!$L115*Fractions!AG$18,0)</f>
        <v>15</v>
      </c>
    </row>
    <row r="56" spans="1:31" x14ac:dyDescent="0.35">
      <c r="A56" s="394">
        <v>45108</v>
      </c>
      <c r="B56" s="342">
        <f>ROUNDUP('Forecasting for Perfume 30ml '!$L116*Fractions!D$18,0)</f>
        <v>10</v>
      </c>
      <c r="C56" s="342">
        <f>ROUNDUP('Forecasting for Perfume 30ml '!$L116*Fractions!E$18,0)</f>
        <v>11</v>
      </c>
      <c r="D56" s="342">
        <f>ROUNDUP('Forecasting for Perfume 30ml '!$L116*Fractions!F$18,0)</f>
        <v>7</v>
      </c>
      <c r="E56" s="342">
        <f>ROUNDUP('Forecasting for Perfume 30ml '!$L116*Fractions!G$18,0)</f>
        <v>16</v>
      </c>
      <c r="F56" s="342">
        <f>ROUNDUP('Forecasting for Perfume 30ml '!$L116*Fractions!H$18,0)</f>
        <v>9</v>
      </c>
      <c r="G56" s="342">
        <f>ROUNDUP('Forecasting for Perfume 30ml '!$L116*Fractions!I$18,0)</f>
        <v>8</v>
      </c>
      <c r="H56" s="342">
        <f>ROUNDUP('Forecasting for Perfume 30ml '!$L116*Fractions!J$18,0)</f>
        <v>9</v>
      </c>
      <c r="I56" s="342">
        <f>ROUNDUP('Forecasting for Perfume 30ml '!$L116*Fractions!K$18,0)</f>
        <v>8</v>
      </c>
      <c r="J56" s="342">
        <f>ROUNDUP('Forecasting for Perfume 30ml '!$L116*Fractions!L$18,0)</f>
        <v>6</v>
      </c>
      <c r="K56" s="342">
        <f>ROUNDUP('Forecasting for Perfume 30ml '!$L116*Fractions!M$18,0)</f>
        <v>9</v>
      </c>
      <c r="L56" s="342">
        <f>ROUNDUP('Forecasting for Perfume 30ml '!$L116*Fractions!N$18,0)</f>
        <v>21</v>
      </c>
      <c r="M56" s="342">
        <f>ROUNDUP('Forecasting for Perfume 30ml '!$L116*Fractions!O$18,0)</f>
        <v>8</v>
      </c>
      <c r="N56" s="342">
        <f>ROUNDUP('Forecasting for Perfume 30ml '!$L116*Fractions!P$18,0)</f>
        <v>6</v>
      </c>
      <c r="O56" s="342">
        <f>ROUNDUP('Forecasting for Perfume 50ml'!$L116*Fractions!Q$18,0)</f>
        <v>11</v>
      </c>
      <c r="P56" s="342">
        <f>ROUNDUP('Forecasting for Perfume 50ml'!$L116*Fractions!R$18,0)</f>
        <v>12</v>
      </c>
      <c r="Q56" s="342">
        <f>ROUNDUP('Forecasting for Perfume 50ml'!$L116*Fractions!S$18,0)</f>
        <v>7</v>
      </c>
      <c r="R56" s="342">
        <f>ROUNDUP('Forecasting for Perfume 50ml'!$L116*Fractions!T$18,0)</f>
        <v>17</v>
      </c>
      <c r="S56" s="342">
        <f>ROUNDUP('Forecasting for Perfume 50ml'!$L116*Fractions!U$18,0)</f>
        <v>10</v>
      </c>
      <c r="T56" s="342">
        <f>ROUNDUP('Forecasting for Perfume 50ml'!$L116*Fractions!V$18,0)</f>
        <v>9</v>
      </c>
      <c r="U56" s="342">
        <f>ROUNDUP('Forecasting for Perfume 50ml'!$L116*Fractions!W$18,0)</f>
        <v>8</v>
      </c>
      <c r="V56" s="342">
        <f>ROUNDUP('Forecasting for Perfume 50ml'!$L116*Fractions!X$18,0)</f>
        <v>10</v>
      </c>
      <c r="W56" s="342">
        <f>ROUNDUP('Forecasting for Perfume 50ml'!$L116*Fractions!Y$18,0)</f>
        <v>6</v>
      </c>
      <c r="X56" s="342">
        <f>ROUNDUP('Forecasting for Perfume 50ml'!$L116*Fractions!Z$18,0)</f>
        <v>11</v>
      </c>
      <c r="Y56" s="342">
        <f>ROUNDUP('Forecasting for Perfume 50ml'!$L116*Fractions!AA$18,0)</f>
        <v>20</v>
      </c>
      <c r="Z56" s="342">
        <f>ROUNDUP('Forecasting for Perfume 50ml'!$L116*Fractions!AB$18,0)</f>
        <v>10</v>
      </c>
      <c r="AA56" s="342">
        <f>ROUNDUP('Forecasting for Perfume 50ml'!$L116*Fractions!AC$18,0)</f>
        <v>6</v>
      </c>
      <c r="AB56" s="342">
        <f>ROUNDUP('Forecasting for Bodymist 100ml'!$L116*Fractions!AD$18,0)</f>
        <v>8</v>
      </c>
      <c r="AC56" s="342">
        <f>ROUNDUP('Forecasting for Bodymist 100ml'!$L116*Fractions!AE$18,0)</f>
        <v>6</v>
      </c>
      <c r="AD56" s="342">
        <f>ROUNDUP('Forecasting for Bodymist 100ml'!$L116*Fractions!AF$18,0)</f>
        <v>5</v>
      </c>
      <c r="AE56" s="342">
        <f>ROUNDUP('Forecasting for Bodymist 100ml'!$L116*Fractions!AG$18,0)</f>
        <v>9</v>
      </c>
    </row>
    <row r="57" spans="1:31" x14ac:dyDescent="0.35">
      <c r="A57" s="394">
        <v>45139</v>
      </c>
      <c r="B57" s="342">
        <f>ROUNDUP('Forecasting for Perfume 30ml '!$L117*Fractions!D$18,0)</f>
        <v>11</v>
      </c>
      <c r="C57" s="342">
        <f>ROUNDUP('Forecasting for Perfume 30ml '!$L117*Fractions!E$18,0)</f>
        <v>11</v>
      </c>
      <c r="D57" s="342">
        <f>ROUNDUP('Forecasting for Perfume 30ml '!$L117*Fractions!F$18,0)</f>
        <v>7</v>
      </c>
      <c r="E57" s="342">
        <f>ROUNDUP('Forecasting for Perfume 30ml '!$L117*Fractions!G$18,0)</f>
        <v>18</v>
      </c>
      <c r="F57" s="342">
        <f>ROUNDUP('Forecasting for Perfume 30ml '!$L117*Fractions!H$18,0)</f>
        <v>10</v>
      </c>
      <c r="G57" s="342">
        <f>ROUNDUP('Forecasting for Perfume 30ml '!$L117*Fractions!I$18,0)</f>
        <v>8</v>
      </c>
      <c r="H57" s="342">
        <f>ROUNDUP('Forecasting for Perfume 30ml '!$L117*Fractions!J$18,0)</f>
        <v>10</v>
      </c>
      <c r="I57" s="342">
        <f>ROUNDUP('Forecasting for Perfume 30ml '!$L117*Fractions!K$18,0)</f>
        <v>9</v>
      </c>
      <c r="J57" s="342">
        <f>ROUNDUP('Forecasting for Perfume 30ml '!$L117*Fractions!L$18,0)</f>
        <v>7</v>
      </c>
      <c r="K57" s="342">
        <f>ROUNDUP('Forecasting for Perfume 30ml '!$L117*Fractions!M$18,0)</f>
        <v>10</v>
      </c>
      <c r="L57" s="342">
        <f>ROUNDUP('Forecasting for Perfume 30ml '!$L117*Fractions!N$18,0)</f>
        <v>23</v>
      </c>
      <c r="M57" s="342">
        <f>ROUNDUP('Forecasting for Perfume 30ml '!$L117*Fractions!O$18,0)</f>
        <v>9</v>
      </c>
      <c r="N57" s="342">
        <f>ROUNDUP('Forecasting for Perfume 30ml '!$L117*Fractions!P$18,0)</f>
        <v>6</v>
      </c>
      <c r="O57" s="342">
        <f>ROUNDUP('Forecasting for Perfume 50ml'!$L117*Fractions!Q$18,0)</f>
        <v>12</v>
      </c>
      <c r="P57" s="342">
        <f>ROUNDUP('Forecasting for Perfume 50ml'!$L117*Fractions!R$18,0)</f>
        <v>12</v>
      </c>
      <c r="Q57" s="342">
        <f>ROUNDUP('Forecasting for Perfume 50ml'!$L117*Fractions!S$18,0)</f>
        <v>7</v>
      </c>
      <c r="R57" s="342">
        <f>ROUNDUP('Forecasting for Perfume 50ml'!$L117*Fractions!T$18,0)</f>
        <v>18</v>
      </c>
      <c r="S57" s="342">
        <f>ROUNDUP('Forecasting for Perfume 50ml'!$L117*Fractions!U$18,0)</f>
        <v>11</v>
      </c>
      <c r="T57" s="342">
        <f>ROUNDUP('Forecasting for Perfume 50ml'!$L117*Fractions!V$18,0)</f>
        <v>10</v>
      </c>
      <c r="U57" s="342">
        <f>ROUNDUP('Forecasting for Perfume 50ml'!$L117*Fractions!W$18,0)</f>
        <v>8</v>
      </c>
      <c r="V57" s="342">
        <f>ROUNDUP('Forecasting for Perfume 50ml'!$L117*Fractions!X$18,0)</f>
        <v>11</v>
      </c>
      <c r="W57" s="342">
        <f>ROUNDUP('Forecasting for Perfume 50ml'!$L117*Fractions!Y$18,0)</f>
        <v>7</v>
      </c>
      <c r="X57" s="342">
        <f>ROUNDUP('Forecasting for Perfume 50ml'!$L117*Fractions!Z$18,0)</f>
        <v>11</v>
      </c>
      <c r="Y57" s="342">
        <f>ROUNDUP('Forecasting for Perfume 50ml'!$L117*Fractions!AA$18,0)</f>
        <v>22</v>
      </c>
      <c r="Z57" s="342">
        <f>ROUNDUP('Forecasting for Perfume 50ml'!$L117*Fractions!AB$18,0)</f>
        <v>11</v>
      </c>
      <c r="AA57" s="342">
        <f>ROUNDUP('Forecasting for Perfume 50ml'!$L117*Fractions!AC$18,0)</f>
        <v>7</v>
      </c>
      <c r="AB57" s="342">
        <f>ROUNDUP('Forecasting for Bodymist 100ml'!$L117*Fractions!AD$18,0)</f>
        <v>10</v>
      </c>
      <c r="AC57" s="342">
        <f>ROUNDUP('Forecasting for Bodymist 100ml'!$L117*Fractions!AE$18,0)</f>
        <v>7</v>
      </c>
      <c r="AD57" s="342">
        <f>ROUNDUP('Forecasting for Bodymist 100ml'!$L117*Fractions!AF$18,0)</f>
        <v>6</v>
      </c>
      <c r="AE57" s="342">
        <f>ROUNDUP('Forecasting for Bodymist 100ml'!$L117*Fractions!AG$18,0)</f>
        <v>11</v>
      </c>
    </row>
    <row r="58" spans="1:31" x14ac:dyDescent="0.35">
      <c r="A58" s="394">
        <v>45170</v>
      </c>
      <c r="B58" s="342">
        <f>ROUNDUP('Forecasting for Perfume 30ml '!$L118*Fractions!D$18,0)</f>
        <v>11</v>
      </c>
      <c r="C58" s="342">
        <f>ROUNDUP('Forecasting for Perfume 30ml '!$L118*Fractions!E$18,0)</f>
        <v>11</v>
      </c>
      <c r="D58" s="342">
        <f>ROUNDUP('Forecasting for Perfume 30ml '!$L118*Fractions!F$18,0)</f>
        <v>7</v>
      </c>
      <c r="E58" s="342">
        <f>ROUNDUP('Forecasting for Perfume 30ml '!$L118*Fractions!G$18,0)</f>
        <v>18</v>
      </c>
      <c r="F58" s="342">
        <f>ROUNDUP('Forecasting for Perfume 30ml '!$L118*Fractions!H$18,0)</f>
        <v>10</v>
      </c>
      <c r="G58" s="342">
        <f>ROUNDUP('Forecasting for Perfume 30ml '!$L118*Fractions!I$18,0)</f>
        <v>8</v>
      </c>
      <c r="H58" s="342">
        <f>ROUNDUP('Forecasting for Perfume 30ml '!$L118*Fractions!J$18,0)</f>
        <v>10</v>
      </c>
      <c r="I58" s="342">
        <f>ROUNDUP('Forecasting for Perfume 30ml '!$L118*Fractions!K$18,0)</f>
        <v>9</v>
      </c>
      <c r="J58" s="342">
        <f>ROUNDUP('Forecasting for Perfume 30ml '!$L118*Fractions!L$18,0)</f>
        <v>7</v>
      </c>
      <c r="K58" s="342">
        <f>ROUNDUP('Forecasting for Perfume 30ml '!$L118*Fractions!M$18,0)</f>
        <v>10</v>
      </c>
      <c r="L58" s="342">
        <f>ROUNDUP('Forecasting for Perfume 30ml '!$L118*Fractions!N$18,0)</f>
        <v>23</v>
      </c>
      <c r="M58" s="342">
        <f>ROUNDUP('Forecasting for Perfume 30ml '!$L118*Fractions!O$18,0)</f>
        <v>9</v>
      </c>
      <c r="N58" s="342">
        <f>ROUNDUP('Forecasting for Perfume 30ml '!$L118*Fractions!P$18,0)</f>
        <v>6</v>
      </c>
      <c r="O58" s="342">
        <f>ROUNDUP('Forecasting for Perfume 50ml'!$L118*Fractions!Q$18,0)</f>
        <v>12</v>
      </c>
      <c r="P58" s="342">
        <f>ROUNDUP('Forecasting for Perfume 50ml'!$L118*Fractions!R$18,0)</f>
        <v>12</v>
      </c>
      <c r="Q58" s="342">
        <f>ROUNDUP('Forecasting for Perfume 50ml'!$L118*Fractions!S$18,0)</f>
        <v>7</v>
      </c>
      <c r="R58" s="342">
        <f>ROUNDUP('Forecasting for Perfume 50ml'!$L118*Fractions!T$18,0)</f>
        <v>18</v>
      </c>
      <c r="S58" s="342">
        <f>ROUNDUP('Forecasting for Perfume 50ml'!$L118*Fractions!U$18,0)</f>
        <v>11</v>
      </c>
      <c r="T58" s="342">
        <f>ROUNDUP('Forecasting for Perfume 50ml'!$L118*Fractions!V$18,0)</f>
        <v>10</v>
      </c>
      <c r="U58" s="342">
        <f>ROUNDUP('Forecasting for Perfume 50ml'!$L118*Fractions!W$18,0)</f>
        <v>8</v>
      </c>
      <c r="V58" s="342">
        <f>ROUNDUP('Forecasting for Perfume 50ml'!$L118*Fractions!X$18,0)</f>
        <v>11</v>
      </c>
      <c r="W58" s="342">
        <f>ROUNDUP('Forecasting for Perfume 50ml'!$L118*Fractions!Y$18,0)</f>
        <v>7</v>
      </c>
      <c r="X58" s="342">
        <f>ROUNDUP('Forecasting for Perfume 50ml'!$L118*Fractions!Z$18,0)</f>
        <v>11</v>
      </c>
      <c r="Y58" s="342">
        <f>ROUNDUP('Forecasting for Perfume 50ml'!$L118*Fractions!AA$18,0)</f>
        <v>22</v>
      </c>
      <c r="Z58" s="342">
        <f>ROUNDUP('Forecasting for Perfume 50ml'!$L118*Fractions!AB$18,0)</f>
        <v>11</v>
      </c>
      <c r="AA58" s="342">
        <f>ROUNDUP('Forecasting for Perfume 50ml'!$L118*Fractions!AC$18,0)</f>
        <v>7</v>
      </c>
      <c r="AB58" s="342">
        <f>ROUNDUP('Forecasting for Bodymist 100ml'!$L118*Fractions!AD$18,0)</f>
        <v>10</v>
      </c>
      <c r="AC58" s="342">
        <f>ROUNDUP('Forecasting for Bodymist 100ml'!$L118*Fractions!AE$18,0)</f>
        <v>7</v>
      </c>
      <c r="AD58" s="342">
        <f>ROUNDUP('Forecasting for Bodymist 100ml'!$L118*Fractions!AF$18,0)</f>
        <v>6</v>
      </c>
      <c r="AE58" s="342">
        <f>ROUNDUP('Forecasting for Bodymist 100ml'!$L118*Fractions!AG$18,0)</f>
        <v>11</v>
      </c>
    </row>
    <row r="59" spans="1:31" x14ac:dyDescent="0.35">
      <c r="A59" s="394">
        <v>45200</v>
      </c>
      <c r="B59" s="342">
        <f>ROUNDUP('Forecasting for Perfume 30ml '!$L119*Fractions!D$18,0)</f>
        <v>11</v>
      </c>
      <c r="C59" s="342">
        <f>ROUNDUP('Forecasting for Perfume 30ml '!$L119*Fractions!E$18,0)</f>
        <v>11</v>
      </c>
      <c r="D59" s="342">
        <f>ROUNDUP('Forecasting for Perfume 30ml '!$L119*Fractions!F$18,0)</f>
        <v>7</v>
      </c>
      <c r="E59" s="342">
        <f>ROUNDUP('Forecasting for Perfume 30ml '!$L119*Fractions!G$18,0)</f>
        <v>18</v>
      </c>
      <c r="F59" s="342">
        <f>ROUNDUP('Forecasting for Perfume 30ml '!$L119*Fractions!H$18,0)</f>
        <v>10</v>
      </c>
      <c r="G59" s="342">
        <f>ROUNDUP('Forecasting for Perfume 30ml '!$L119*Fractions!I$18,0)</f>
        <v>8</v>
      </c>
      <c r="H59" s="342">
        <f>ROUNDUP('Forecasting for Perfume 30ml '!$L119*Fractions!J$18,0)</f>
        <v>10</v>
      </c>
      <c r="I59" s="342">
        <f>ROUNDUP('Forecasting for Perfume 30ml '!$L119*Fractions!K$18,0)</f>
        <v>9</v>
      </c>
      <c r="J59" s="342">
        <f>ROUNDUP('Forecasting for Perfume 30ml '!$L119*Fractions!L$18,0)</f>
        <v>7</v>
      </c>
      <c r="K59" s="342">
        <f>ROUNDUP('Forecasting for Perfume 30ml '!$L119*Fractions!M$18,0)</f>
        <v>10</v>
      </c>
      <c r="L59" s="342">
        <f>ROUNDUP('Forecasting for Perfume 30ml '!$L119*Fractions!N$18,0)</f>
        <v>23</v>
      </c>
      <c r="M59" s="342">
        <f>ROUNDUP('Forecasting for Perfume 30ml '!$L119*Fractions!O$18,0)</f>
        <v>9</v>
      </c>
      <c r="N59" s="342">
        <f>ROUNDUP('Forecasting for Perfume 30ml '!$L119*Fractions!P$18,0)</f>
        <v>6</v>
      </c>
      <c r="O59" s="342">
        <f>ROUNDUP('Forecasting for Perfume 50ml'!$L119*Fractions!Q$18,0)</f>
        <v>12</v>
      </c>
      <c r="P59" s="342">
        <f>ROUNDUP('Forecasting for Perfume 50ml'!$L119*Fractions!R$18,0)</f>
        <v>12</v>
      </c>
      <c r="Q59" s="342">
        <f>ROUNDUP('Forecasting for Perfume 50ml'!$L119*Fractions!S$18,0)</f>
        <v>7</v>
      </c>
      <c r="R59" s="342">
        <f>ROUNDUP('Forecasting for Perfume 50ml'!$L119*Fractions!T$18,0)</f>
        <v>18</v>
      </c>
      <c r="S59" s="342">
        <f>ROUNDUP('Forecasting for Perfume 50ml'!$L119*Fractions!U$18,0)</f>
        <v>11</v>
      </c>
      <c r="T59" s="342">
        <f>ROUNDUP('Forecasting for Perfume 50ml'!$L119*Fractions!V$18,0)</f>
        <v>10</v>
      </c>
      <c r="U59" s="342">
        <f>ROUNDUP('Forecasting for Perfume 50ml'!$L119*Fractions!W$18,0)</f>
        <v>8</v>
      </c>
      <c r="V59" s="342">
        <f>ROUNDUP('Forecasting for Perfume 50ml'!$L119*Fractions!X$18,0)</f>
        <v>11</v>
      </c>
      <c r="W59" s="342">
        <f>ROUNDUP('Forecasting for Perfume 50ml'!$L119*Fractions!Y$18,0)</f>
        <v>7</v>
      </c>
      <c r="X59" s="342">
        <f>ROUNDUP('Forecasting for Perfume 50ml'!$L119*Fractions!Z$18,0)</f>
        <v>11</v>
      </c>
      <c r="Y59" s="342">
        <f>ROUNDUP('Forecasting for Perfume 50ml'!$L119*Fractions!AA$18,0)</f>
        <v>22</v>
      </c>
      <c r="Z59" s="342">
        <f>ROUNDUP('Forecasting for Perfume 50ml'!$L119*Fractions!AB$18,0)</f>
        <v>11</v>
      </c>
      <c r="AA59" s="342">
        <f>ROUNDUP('Forecasting for Perfume 50ml'!$L119*Fractions!AC$18,0)</f>
        <v>7</v>
      </c>
      <c r="AB59" s="342">
        <f>ROUNDUP('Forecasting for Bodymist 100ml'!$L119*Fractions!AD$18,0)</f>
        <v>10</v>
      </c>
      <c r="AC59" s="342">
        <f>ROUNDUP('Forecasting for Bodymist 100ml'!$L119*Fractions!AE$18,0)</f>
        <v>7</v>
      </c>
      <c r="AD59" s="342">
        <f>ROUNDUP('Forecasting for Bodymist 100ml'!$L119*Fractions!AF$18,0)</f>
        <v>6</v>
      </c>
      <c r="AE59" s="342">
        <f>ROUNDUP('Forecasting for Bodymist 100ml'!$L119*Fractions!AG$18,0)</f>
        <v>11</v>
      </c>
    </row>
    <row r="60" spans="1:31" x14ac:dyDescent="0.35">
      <c r="A60" s="394">
        <v>45231</v>
      </c>
      <c r="B60" s="342">
        <f>ROUNDUP('Forecasting for Perfume 30ml '!$L120*Fractions!D$18,0)</f>
        <v>11</v>
      </c>
      <c r="C60" s="342">
        <f>ROUNDUP('Forecasting for Perfume 30ml '!$L120*Fractions!E$18,0)</f>
        <v>11</v>
      </c>
      <c r="D60" s="342">
        <f>ROUNDUP('Forecasting for Perfume 30ml '!$L120*Fractions!F$18,0)</f>
        <v>7</v>
      </c>
      <c r="E60" s="342">
        <f>ROUNDUP('Forecasting for Perfume 30ml '!$L120*Fractions!G$18,0)</f>
        <v>18</v>
      </c>
      <c r="F60" s="342">
        <f>ROUNDUP('Forecasting for Perfume 30ml '!$L120*Fractions!H$18,0)</f>
        <v>10</v>
      </c>
      <c r="G60" s="342">
        <f>ROUNDUP('Forecasting for Perfume 30ml '!$L120*Fractions!I$18,0)</f>
        <v>8</v>
      </c>
      <c r="H60" s="342">
        <f>ROUNDUP('Forecasting for Perfume 30ml '!$L120*Fractions!J$18,0)</f>
        <v>10</v>
      </c>
      <c r="I60" s="342">
        <f>ROUNDUP('Forecasting for Perfume 30ml '!$L120*Fractions!K$18,0)</f>
        <v>9</v>
      </c>
      <c r="J60" s="342">
        <f>ROUNDUP('Forecasting for Perfume 30ml '!$L120*Fractions!L$18,0)</f>
        <v>7</v>
      </c>
      <c r="K60" s="342">
        <f>ROUNDUP('Forecasting for Perfume 30ml '!$L120*Fractions!M$18,0)</f>
        <v>10</v>
      </c>
      <c r="L60" s="342">
        <f>ROUNDUP('Forecasting for Perfume 30ml '!$L120*Fractions!N$18,0)</f>
        <v>23</v>
      </c>
      <c r="M60" s="342">
        <f>ROUNDUP('Forecasting for Perfume 30ml '!$L120*Fractions!O$18,0)</f>
        <v>9</v>
      </c>
      <c r="N60" s="342">
        <f>ROUNDUP('Forecasting for Perfume 30ml '!$L120*Fractions!P$18,0)</f>
        <v>6</v>
      </c>
      <c r="O60" s="342">
        <f>ROUNDUP('Forecasting for Perfume 50ml'!$L120*Fractions!Q$18,0)</f>
        <v>12</v>
      </c>
      <c r="P60" s="342">
        <f>ROUNDUP('Forecasting for Perfume 50ml'!$L120*Fractions!R$18,0)</f>
        <v>12</v>
      </c>
      <c r="Q60" s="342">
        <f>ROUNDUP('Forecasting for Perfume 50ml'!$L120*Fractions!S$18,0)</f>
        <v>7</v>
      </c>
      <c r="R60" s="342">
        <f>ROUNDUP('Forecasting for Perfume 50ml'!$L120*Fractions!T$18,0)</f>
        <v>18</v>
      </c>
      <c r="S60" s="342">
        <f>ROUNDUP('Forecasting for Perfume 50ml'!$L120*Fractions!U$18,0)</f>
        <v>11</v>
      </c>
      <c r="T60" s="342">
        <f>ROUNDUP('Forecasting for Perfume 50ml'!$L120*Fractions!V$18,0)</f>
        <v>10</v>
      </c>
      <c r="U60" s="342">
        <f>ROUNDUP('Forecasting for Perfume 50ml'!$L120*Fractions!W$18,0)</f>
        <v>8</v>
      </c>
      <c r="V60" s="342">
        <f>ROUNDUP('Forecasting for Perfume 50ml'!$L120*Fractions!X$18,0)</f>
        <v>11</v>
      </c>
      <c r="W60" s="342">
        <f>ROUNDUP('Forecasting for Perfume 50ml'!$L120*Fractions!Y$18,0)</f>
        <v>7</v>
      </c>
      <c r="X60" s="342">
        <f>ROUNDUP('Forecasting for Perfume 50ml'!$L120*Fractions!Z$18,0)</f>
        <v>11</v>
      </c>
      <c r="Y60" s="342">
        <f>ROUNDUP('Forecasting for Perfume 50ml'!$L120*Fractions!AA$18,0)</f>
        <v>22</v>
      </c>
      <c r="Z60" s="342">
        <f>ROUNDUP('Forecasting for Perfume 50ml'!$L120*Fractions!AB$18,0)</f>
        <v>11</v>
      </c>
      <c r="AA60" s="342">
        <f>ROUNDUP('Forecasting for Perfume 50ml'!$L120*Fractions!AC$18,0)</f>
        <v>7</v>
      </c>
      <c r="AB60" s="342">
        <f>ROUNDUP('Forecasting for Bodymist 100ml'!$L120*Fractions!AD$18,0)</f>
        <v>10</v>
      </c>
      <c r="AC60" s="342">
        <f>ROUNDUP('Forecasting for Bodymist 100ml'!$L120*Fractions!AE$18,0)</f>
        <v>7</v>
      </c>
      <c r="AD60" s="342">
        <f>ROUNDUP('Forecasting for Bodymist 100ml'!$L120*Fractions!AF$18,0)</f>
        <v>6</v>
      </c>
      <c r="AE60" s="342">
        <f>ROUNDUP('Forecasting for Bodymist 100ml'!$L120*Fractions!AG$18,0)</f>
        <v>11</v>
      </c>
    </row>
    <row r="61" spans="1:31" x14ac:dyDescent="0.35">
      <c r="A61" s="394">
        <v>45261</v>
      </c>
      <c r="B61" s="342">
        <f>ROUNDUP('Forecasting for Perfume 30ml '!$L121*Fractions!D$18,0)</f>
        <v>23</v>
      </c>
      <c r="C61" s="342">
        <f>ROUNDUP('Forecasting for Perfume 30ml '!$L121*Fractions!E$18,0)</f>
        <v>23</v>
      </c>
      <c r="D61" s="342">
        <f>ROUNDUP('Forecasting for Perfume 30ml '!$L121*Fractions!F$18,0)</f>
        <v>15</v>
      </c>
      <c r="E61" s="342">
        <f>ROUNDUP('Forecasting for Perfume 30ml '!$L121*Fractions!G$18,0)</f>
        <v>36</v>
      </c>
      <c r="F61" s="342">
        <f>ROUNDUP('Forecasting for Perfume 30ml '!$L121*Fractions!H$18,0)</f>
        <v>19</v>
      </c>
      <c r="G61" s="342">
        <f>ROUNDUP('Forecasting for Perfume 30ml '!$L121*Fractions!I$18,0)</f>
        <v>17</v>
      </c>
      <c r="H61" s="342">
        <f>ROUNDUP('Forecasting for Perfume 30ml '!$L121*Fractions!J$18,0)</f>
        <v>20</v>
      </c>
      <c r="I61" s="342">
        <f>ROUNDUP('Forecasting for Perfume 30ml '!$L121*Fractions!K$18,0)</f>
        <v>18</v>
      </c>
      <c r="J61" s="342">
        <f>ROUNDUP('Forecasting for Perfume 30ml '!$L121*Fractions!L$18,0)</f>
        <v>13</v>
      </c>
      <c r="K61" s="342">
        <f>ROUNDUP('Forecasting for Perfume 30ml '!$L121*Fractions!M$18,0)</f>
        <v>19</v>
      </c>
      <c r="L61" s="342">
        <f>ROUNDUP('Forecasting for Perfume 30ml '!$L121*Fractions!N$18,0)</f>
        <v>46</v>
      </c>
      <c r="M61" s="342">
        <f>ROUNDUP('Forecasting for Perfume 30ml '!$L121*Fractions!O$18,0)</f>
        <v>18</v>
      </c>
      <c r="N61" s="342">
        <f>ROUNDUP('Forecasting for Perfume 30ml '!$L121*Fractions!P$18,0)</f>
        <v>12</v>
      </c>
      <c r="O61" s="342">
        <f>ROUNDUP('Forecasting for Perfume 50ml'!$L121*Fractions!Q$18,0)</f>
        <v>25</v>
      </c>
      <c r="P61" s="342">
        <f>ROUNDUP('Forecasting for Perfume 50ml'!$L121*Fractions!R$18,0)</f>
        <v>26</v>
      </c>
      <c r="Q61" s="342">
        <f>ROUNDUP('Forecasting for Perfume 50ml'!$L121*Fractions!S$18,0)</f>
        <v>15</v>
      </c>
      <c r="R61" s="342">
        <f>ROUNDUP('Forecasting for Perfume 50ml'!$L121*Fractions!T$18,0)</f>
        <v>38</v>
      </c>
      <c r="S61" s="342">
        <f>ROUNDUP('Forecasting for Perfume 50ml'!$L121*Fractions!U$18,0)</f>
        <v>23</v>
      </c>
      <c r="T61" s="342">
        <f>ROUNDUP('Forecasting for Perfume 50ml'!$L121*Fractions!V$18,0)</f>
        <v>20</v>
      </c>
      <c r="U61" s="342">
        <f>ROUNDUP('Forecasting for Perfume 50ml'!$L121*Fractions!W$18,0)</f>
        <v>17</v>
      </c>
      <c r="V61" s="342">
        <f>ROUNDUP('Forecasting for Perfume 50ml'!$L121*Fractions!X$18,0)</f>
        <v>23</v>
      </c>
      <c r="W61" s="342">
        <f>ROUNDUP('Forecasting for Perfume 50ml'!$L121*Fractions!Y$18,0)</f>
        <v>14</v>
      </c>
      <c r="X61" s="342">
        <f>ROUNDUP('Forecasting for Perfume 50ml'!$L121*Fractions!Z$18,0)</f>
        <v>24</v>
      </c>
      <c r="Y61" s="342">
        <f>ROUNDUP('Forecasting for Perfume 50ml'!$L121*Fractions!AA$18,0)</f>
        <v>46</v>
      </c>
      <c r="Z61" s="342">
        <f>ROUNDUP('Forecasting for Perfume 50ml'!$L121*Fractions!AB$18,0)</f>
        <v>23</v>
      </c>
      <c r="AA61" s="342">
        <f>ROUNDUP('Forecasting for Perfume 50ml'!$L121*Fractions!AC$18,0)</f>
        <v>14</v>
      </c>
      <c r="AB61" s="342">
        <f>ROUNDUP('Forecasting for Bodymist 100ml'!$L121*Fractions!AD$18,0)</f>
        <v>25</v>
      </c>
      <c r="AC61" s="342">
        <f>ROUNDUP('Forecasting for Bodymist 100ml'!$L121*Fractions!AE$18,0)</f>
        <v>19</v>
      </c>
      <c r="AD61" s="342">
        <f>ROUNDUP('Forecasting for Bodymist 100ml'!$L121*Fractions!AF$18,0)</f>
        <v>14</v>
      </c>
      <c r="AE61" s="342">
        <f>ROUNDUP('Forecasting for Bodymist 100ml'!$L121*Fractions!AG$18,0)</f>
        <v>29</v>
      </c>
    </row>
    <row r="62" spans="1:31" x14ac:dyDescent="0.35">
      <c r="A62" s="395">
        <v>45292</v>
      </c>
      <c r="B62" s="396">
        <f>ROUNDUP('Forecasting for Perfume 30ml '!$L122*Fractions!D$18,0)</f>
        <v>8</v>
      </c>
      <c r="C62" s="396">
        <f>ROUNDUP('Forecasting for Perfume 30ml '!$L122*Fractions!E$18,0)</f>
        <v>8</v>
      </c>
      <c r="D62" s="396">
        <f>ROUNDUP('Forecasting for Perfume 30ml '!$L122*Fractions!F$18,0)</f>
        <v>5</v>
      </c>
      <c r="E62" s="396">
        <f>ROUNDUP('Forecasting for Perfume 30ml '!$L122*Fractions!G$18,0)</f>
        <v>12</v>
      </c>
      <c r="F62" s="396">
        <f>ROUNDUP('Forecasting for Perfume 30ml '!$L122*Fractions!H$18,0)</f>
        <v>7</v>
      </c>
      <c r="G62" s="396">
        <f>ROUNDUP('Forecasting for Perfume 30ml '!$L122*Fractions!I$18,0)</f>
        <v>6</v>
      </c>
      <c r="H62" s="396">
        <f>ROUNDUP('Forecasting for Perfume 30ml '!$L122*Fractions!J$18,0)</f>
        <v>7</v>
      </c>
      <c r="I62" s="396">
        <f>ROUNDUP('Forecasting for Perfume 30ml '!$L122*Fractions!K$18,0)</f>
        <v>6</v>
      </c>
      <c r="J62" s="396">
        <f>ROUNDUP('Forecasting for Perfume 30ml '!$L122*Fractions!L$18,0)</f>
        <v>5</v>
      </c>
      <c r="K62" s="396">
        <f>ROUNDUP('Forecasting for Perfume 30ml '!$L122*Fractions!M$18,0)</f>
        <v>7</v>
      </c>
      <c r="L62" s="396">
        <f>ROUNDUP('Forecasting for Perfume 30ml '!$L122*Fractions!N$18,0)</f>
        <v>15</v>
      </c>
      <c r="M62" s="396">
        <f>ROUNDUP('Forecasting for Perfume 30ml '!$L122*Fractions!O$18,0)</f>
        <v>6</v>
      </c>
      <c r="N62" s="396">
        <f>ROUNDUP('Forecasting for Perfume 30ml '!$L122*Fractions!P$18,0)</f>
        <v>4</v>
      </c>
      <c r="O62" s="396">
        <f>ROUNDUP('Forecasting for Perfume 50ml'!$L122*Fractions!Q$18,0)</f>
        <v>8</v>
      </c>
      <c r="P62" s="396">
        <f>ROUNDUP('Forecasting for Perfume 50ml'!$L122*Fractions!R$18,0)</f>
        <v>9</v>
      </c>
      <c r="Q62" s="396">
        <f>ROUNDUP('Forecasting for Perfume 50ml'!$L122*Fractions!S$18,0)</f>
        <v>5</v>
      </c>
      <c r="R62" s="396">
        <f>ROUNDUP('Forecasting for Perfume 50ml'!$L122*Fractions!T$18,0)</f>
        <v>12</v>
      </c>
      <c r="S62" s="396">
        <f>ROUNDUP('Forecasting for Perfume 50ml'!$L122*Fractions!U$18,0)</f>
        <v>7</v>
      </c>
      <c r="T62" s="396">
        <f>ROUNDUP('Forecasting for Perfume 50ml'!$L122*Fractions!V$18,0)</f>
        <v>7</v>
      </c>
      <c r="U62" s="396">
        <f>ROUNDUP('Forecasting for Perfume 50ml'!$L122*Fractions!W$18,0)</f>
        <v>6</v>
      </c>
      <c r="V62" s="396">
        <f>ROUNDUP('Forecasting for Perfume 50ml'!$L122*Fractions!X$18,0)</f>
        <v>7</v>
      </c>
      <c r="W62" s="396">
        <f>ROUNDUP('Forecasting for Perfume 50ml'!$L122*Fractions!Y$18,0)</f>
        <v>5</v>
      </c>
      <c r="X62" s="396">
        <f>ROUNDUP('Forecasting for Perfume 50ml'!$L122*Fractions!Z$18,0)</f>
        <v>8</v>
      </c>
      <c r="Y62" s="396">
        <f>ROUNDUP('Forecasting for Perfume 50ml'!$L122*Fractions!AA$18,0)</f>
        <v>15</v>
      </c>
      <c r="Z62" s="396">
        <f>ROUNDUP('Forecasting for Perfume 50ml'!$L122*Fractions!AB$18,0)</f>
        <v>8</v>
      </c>
      <c r="AA62" s="396">
        <f>ROUNDUP('Forecasting for Perfume 50ml'!$L122*Fractions!AC$18,0)</f>
        <v>5</v>
      </c>
      <c r="AB62" s="396">
        <f>ROUNDUP('Forecasting for Bodymist 100ml'!$L122*Fractions!AD$18,0)</f>
        <v>4</v>
      </c>
      <c r="AC62" s="396">
        <f>ROUNDUP('Forecasting for Bodymist 100ml'!$L122*Fractions!AE$18,0)</f>
        <v>3</v>
      </c>
      <c r="AD62" s="396">
        <f>ROUNDUP('Forecasting for Bodymist 100ml'!$L122*Fractions!AF$18,0)</f>
        <v>3</v>
      </c>
      <c r="AE62" s="396">
        <f>ROUNDUP('Forecasting for Bodymist 100ml'!$L122*Fractions!AG$18,0)</f>
        <v>5</v>
      </c>
    </row>
    <row r="63" spans="1:31" x14ac:dyDescent="0.35">
      <c r="A63" s="395">
        <v>45323</v>
      </c>
      <c r="B63" s="396">
        <f>ROUNDUP('Forecasting for Perfume 30ml '!$L123*Fractions!D$18,0)</f>
        <v>25</v>
      </c>
      <c r="C63" s="396">
        <f>ROUNDUP('Forecasting for Perfume 30ml '!$L123*Fractions!E$18,0)</f>
        <v>25</v>
      </c>
      <c r="D63" s="396">
        <f>ROUNDUP('Forecasting for Perfume 30ml '!$L123*Fractions!F$18,0)</f>
        <v>16</v>
      </c>
      <c r="E63" s="396">
        <f>ROUNDUP('Forecasting for Perfume 30ml '!$L123*Fractions!G$18,0)</f>
        <v>39</v>
      </c>
      <c r="F63" s="396">
        <f>ROUNDUP('Forecasting for Perfume 30ml '!$L123*Fractions!H$18,0)</f>
        <v>21</v>
      </c>
      <c r="G63" s="396">
        <f>ROUNDUP('Forecasting for Perfume 30ml '!$L123*Fractions!I$18,0)</f>
        <v>18</v>
      </c>
      <c r="H63" s="396">
        <f>ROUNDUP('Forecasting for Perfume 30ml '!$L123*Fractions!J$18,0)</f>
        <v>21</v>
      </c>
      <c r="I63" s="396">
        <f>ROUNDUP('Forecasting for Perfume 30ml '!$L123*Fractions!K$18,0)</f>
        <v>19</v>
      </c>
      <c r="J63" s="396">
        <f>ROUNDUP('Forecasting for Perfume 30ml '!$L123*Fractions!L$18,0)</f>
        <v>15</v>
      </c>
      <c r="K63" s="396">
        <f>ROUNDUP('Forecasting for Perfume 30ml '!$L123*Fractions!M$18,0)</f>
        <v>21</v>
      </c>
      <c r="L63" s="396">
        <f>ROUNDUP('Forecasting for Perfume 30ml '!$L123*Fractions!N$18,0)</f>
        <v>50</v>
      </c>
      <c r="M63" s="396">
        <f>ROUNDUP('Forecasting for Perfume 30ml '!$L123*Fractions!O$18,0)</f>
        <v>20</v>
      </c>
      <c r="N63" s="396">
        <f>ROUNDUP('Forecasting for Perfume 30ml '!$L123*Fractions!P$18,0)</f>
        <v>13</v>
      </c>
      <c r="O63" s="396">
        <f>ROUNDUP('Forecasting for Perfume 50ml'!$L123*Fractions!Q$18,0)</f>
        <v>23</v>
      </c>
      <c r="P63" s="396">
        <f>ROUNDUP('Forecasting for Perfume 50ml'!$L123*Fractions!R$18,0)</f>
        <v>24</v>
      </c>
      <c r="Q63" s="396">
        <f>ROUNDUP('Forecasting for Perfume 50ml'!$L123*Fractions!S$18,0)</f>
        <v>14</v>
      </c>
      <c r="R63" s="396">
        <f>ROUNDUP('Forecasting for Perfume 50ml'!$L123*Fractions!T$18,0)</f>
        <v>35</v>
      </c>
      <c r="S63" s="396">
        <f>ROUNDUP('Forecasting for Perfume 50ml'!$L123*Fractions!U$18,0)</f>
        <v>21</v>
      </c>
      <c r="T63" s="396">
        <f>ROUNDUP('Forecasting for Perfume 50ml'!$L123*Fractions!V$18,0)</f>
        <v>19</v>
      </c>
      <c r="U63" s="396">
        <f>ROUNDUP('Forecasting for Perfume 50ml'!$L123*Fractions!W$18,0)</f>
        <v>16</v>
      </c>
      <c r="V63" s="396">
        <f>ROUNDUP('Forecasting for Perfume 50ml'!$L123*Fractions!X$18,0)</f>
        <v>21</v>
      </c>
      <c r="W63" s="396">
        <f>ROUNDUP('Forecasting for Perfume 50ml'!$L123*Fractions!Y$18,0)</f>
        <v>13</v>
      </c>
      <c r="X63" s="396">
        <f>ROUNDUP('Forecasting for Perfume 50ml'!$L123*Fractions!Z$18,0)</f>
        <v>22</v>
      </c>
      <c r="Y63" s="396">
        <f>ROUNDUP('Forecasting for Perfume 50ml'!$L123*Fractions!AA$18,0)</f>
        <v>42</v>
      </c>
      <c r="Z63" s="396">
        <f>ROUNDUP('Forecasting for Perfume 50ml'!$L123*Fractions!AB$18,0)</f>
        <v>21</v>
      </c>
      <c r="AA63" s="396">
        <f>ROUNDUP('Forecasting for Perfume 50ml'!$L123*Fractions!AC$18,0)</f>
        <v>13</v>
      </c>
      <c r="AB63" s="396">
        <f>ROUNDUP('Forecasting for Bodymist 100ml'!$L123*Fractions!AD$18,0)</f>
        <v>16</v>
      </c>
      <c r="AC63" s="396">
        <f>ROUNDUP('Forecasting for Bodymist 100ml'!$L123*Fractions!AE$18,0)</f>
        <v>11</v>
      </c>
      <c r="AD63" s="396">
        <f>ROUNDUP('Forecasting for Bodymist 100ml'!$L123*Fractions!AF$18,0)</f>
        <v>9</v>
      </c>
      <c r="AE63" s="396">
        <f>ROUNDUP('Forecasting for Bodymist 100ml'!$L123*Fractions!AG$18,0)</f>
        <v>18</v>
      </c>
    </row>
    <row r="64" spans="1:31" x14ac:dyDescent="0.35">
      <c r="A64" s="395">
        <v>45352</v>
      </c>
      <c r="B64" s="396">
        <f>ROUNDUP('Forecasting for Perfume 30ml '!$L124*Fractions!D$18,0)</f>
        <v>7</v>
      </c>
      <c r="C64" s="396">
        <f>ROUNDUP('Forecasting for Perfume 30ml '!$L124*Fractions!E$18,0)</f>
        <v>7</v>
      </c>
      <c r="D64" s="396">
        <f>ROUNDUP('Forecasting for Perfume 30ml '!$L124*Fractions!F$18,0)</f>
        <v>4</v>
      </c>
      <c r="E64" s="396">
        <f>ROUNDUP('Forecasting for Perfume 30ml '!$L124*Fractions!G$18,0)</f>
        <v>10</v>
      </c>
      <c r="F64" s="396">
        <f>ROUNDUP('Forecasting for Perfume 30ml '!$L124*Fractions!H$18,0)</f>
        <v>6</v>
      </c>
      <c r="G64" s="396">
        <f>ROUNDUP('Forecasting for Perfume 30ml '!$L124*Fractions!I$18,0)</f>
        <v>5</v>
      </c>
      <c r="H64" s="396">
        <f>ROUNDUP('Forecasting for Perfume 30ml '!$L124*Fractions!J$18,0)</f>
        <v>6</v>
      </c>
      <c r="I64" s="396">
        <f>ROUNDUP('Forecasting for Perfume 30ml '!$L124*Fractions!K$18,0)</f>
        <v>5</v>
      </c>
      <c r="J64" s="396">
        <f>ROUNDUP('Forecasting for Perfume 30ml '!$L124*Fractions!L$18,0)</f>
        <v>4</v>
      </c>
      <c r="K64" s="396">
        <f>ROUNDUP('Forecasting for Perfume 30ml '!$L124*Fractions!M$18,0)</f>
        <v>6</v>
      </c>
      <c r="L64" s="396">
        <f>ROUNDUP('Forecasting for Perfume 30ml '!$L124*Fractions!N$18,0)</f>
        <v>13</v>
      </c>
      <c r="M64" s="396">
        <f>ROUNDUP('Forecasting for Perfume 30ml '!$L124*Fractions!O$18,0)</f>
        <v>5</v>
      </c>
      <c r="N64" s="396">
        <f>ROUNDUP('Forecasting for Perfume 30ml '!$L124*Fractions!P$18,0)</f>
        <v>4</v>
      </c>
      <c r="O64" s="396">
        <f>ROUNDUP('Forecasting for Perfume 50ml'!$L124*Fractions!Q$18,0)</f>
        <v>9</v>
      </c>
      <c r="P64" s="396">
        <f>ROUNDUP('Forecasting for Perfume 50ml'!$L124*Fractions!R$18,0)</f>
        <v>9</v>
      </c>
      <c r="Q64" s="396">
        <f>ROUNDUP('Forecasting for Perfume 50ml'!$L124*Fractions!S$18,0)</f>
        <v>5</v>
      </c>
      <c r="R64" s="396">
        <f>ROUNDUP('Forecasting for Perfume 50ml'!$L124*Fractions!T$18,0)</f>
        <v>13</v>
      </c>
      <c r="S64" s="396">
        <f>ROUNDUP('Forecasting for Perfume 50ml'!$L124*Fractions!U$18,0)</f>
        <v>8</v>
      </c>
      <c r="T64" s="396">
        <f>ROUNDUP('Forecasting for Perfume 50ml'!$L124*Fractions!V$18,0)</f>
        <v>7</v>
      </c>
      <c r="U64" s="396">
        <f>ROUNDUP('Forecasting for Perfume 50ml'!$L124*Fractions!W$18,0)</f>
        <v>6</v>
      </c>
      <c r="V64" s="396">
        <f>ROUNDUP('Forecasting for Perfume 50ml'!$L124*Fractions!X$18,0)</f>
        <v>8</v>
      </c>
      <c r="W64" s="396">
        <f>ROUNDUP('Forecasting for Perfume 50ml'!$L124*Fractions!Y$18,0)</f>
        <v>5</v>
      </c>
      <c r="X64" s="396">
        <f>ROUNDUP('Forecasting for Perfume 50ml'!$L124*Fractions!Z$18,0)</f>
        <v>8</v>
      </c>
      <c r="Y64" s="396">
        <f>ROUNDUP('Forecasting for Perfume 50ml'!$L124*Fractions!AA$18,0)</f>
        <v>16</v>
      </c>
      <c r="Z64" s="396">
        <f>ROUNDUP('Forecasting for Perfume 50ml'!$L124*Fractions!AB$18,0)</f>
        <v>8</v>
      </c>
      <c r="AA64" s="396">
        <f>ROUNDUP('Forecasting for Perfume 50ml'!$L124*Fractions!AC$18,0)</f>
        <v>5</v>
      </c>
      <c r="AB64" s="396">
        <f>ROUNDUP('Forecasting for Bodymist 100ml'!$L124*Fractions!AD$18,0)</f>
        <v>8</v>
      </c>
      <c r="AC64" s="396">
        <f>ROUNDUP('Forecasting for Bodymist 100ml'!$L124*Fractions!AE$18,0)</f>
        <v>6</v>
      </c>
      <c r="AD64" s="396">
        <f>ROUNDUP('Forecasting for Bodymist 100ml'!$L124*Fractions!AF$18,0)</f>
        <v>5</v>
      </c>
      <c r="AE64" s="396">
        <f>ROUNDUP('Forecasting for Bodymist 100ml'!$L124*Fractions!AG$18,0)</f>
        <v>9</v>
      </c>
    </row>
    <row r="65" spans="1:31" x14ac:dyDescent="0.35">
      <c r="A65" s="395">
        <v>45383</v>
      </c>
      <c r="B65" s="396">
        <f>ROUNDUP('Forecasting for Perfume 30ml '!$L125*Fractions!D$18,0)</f>
        <v>12</v>
      </c>
      <c r="C65" s="396">
        <f>ROUNDUP('Forecasting for Perfume 30ml '!$L125*Fractions!E$18,0)</f>
        <v>12</v>
      </c>
      <c r="D65" s="396">
        <f>ROUNDUP('Forecasting for Perfume 30ml '!$L125*Fractions!F$18,0)</f>
        <v>8</v>
      </c>
      <c r="E65" s="396">
        <f>ROUNDUP('Forecasting for Perfume 30ml '!$L125*Fractions!G$18,0)</f>
        <v>19</v>
      </c>
      <c r="F65" s="396">
        <f>ROUNDUP('Forecasting for Perfume 30ml '!$L125*Fractions!H$18,0)</f>
        <v>10</v>
      </c>
      <c r="G65" s="396">
        <f>ROUNDUP('Forecasting for Perfume 30ml '!$L125*Fractions!I$18,0)</f>
        <v>9</v>
      </c>
      <c r="H65" s="396">
        <f>ROUNDUP('Forecasting for Perfume 30ml '!$L125*Fractions!J$18,0)</f>
        <v>11</v>
      </c>
      <c r="I65" s="396">
        <f>ROUNDUP('Forecasting for Perfume 30ml '!$L125*Fractions!K$18,0)</f>
        <v>10</v>
      </c>
      <c r="J65" s="396">
        <f>ROUNDUP('Forecasting for Perfume 30ml '!$L125*Fractions!L$18,0)</f>
        <v>7</v>
      </c>
      <c r="K65" s="396">
        <f>ROUNDUP('Forecasting for Perfume 30ml '!$L125*Fractions!M$18,0)</f>
        <v>10</v>
      </c>
      <c r="L65" s="396">
        <f>ROUNDUP('Forecasting for Perfume 30ml '!$L125*Fractions!N$18,0)</f>
        <v>24</v>
      </c>
      <c r="M65" s="396">
        <f>ROUNDUP('Forecasting for Perfume 30ml '!$L125*Fractions!O$18,0)</f>
        <v>10</v>
      </c>
      <c r="N65" s="396">
        <f>ROUNDUP('Forecasting for Perfume 30ml '!$L125*Fractions!P$18,0)</f>
        <v>7</v>
      </c>
      <c r="O65" s="396">
        <f>ROUNDUP('Forecasting for Perfume 50ml'!$L125*Fractions!Q$18,0)</f>
        <v>13</v>
      </c>
      <c r="P65" s="396">
        <f>ROUNDUP('Forecasting for Perfume 50ml'!$L125*Fractions!R$18,0)</f>
        <v>13</v>
      </c>
      <c r="Q65" s="396">
        <f>ROUNDUP('Forecasting for Perfume 50ml'!$L125*Fractions!S$18,0)</f>
        <v>8</v>
      </c>
      <c r="R65" s="396">
        <f>ROUNDUP('Forecasting for Perfume 50ml'!$L125*Fractions!T$18,0)</f>
        <v>20</v>
      </c>
      <c r="S65" s="396">
        <f>ROUNDUP('Forecasting for Perfume 50ml'!$L125*Fractions!U$18,0)</f>
        <v>12</v>
      </c>
      <c r="T65" s="396">
        <f>ROUNDUP('Forecasting for Perfume 50ml'!$L125*Fractions!V$18,0)</f>
        <v>10</v>
      </c>
      <c r="U65" s="396">
        <f>ROUNDUP('Forecasting for Perfume 50ml'!$L125*Fractions!W$18,0)</f>
        <v>9</v>
      </c>
      <c r="V65" s="396">
        <f>ROUNDUP('Forecasting for Perfume 50ml'!$L125*Fractions!X$18,0)</f>
        <v>12</v>
      </c>
      <c r="W65" s="396">
        <f>ROUNDUP('Forecasting for Perfume 50ml'!$L125*Fractions!Y$18,0)</f>
        <v>7</v>
      </c>
      <c r="X65" s="396">
        <f>ROUNDUP('Forecasting for Perfume 50ml'!$L125*Fractions!Z$18,0)</f>
        <v>12</v>
      </c>
      <c r="Y65" s="396">
        <f>ROUNDUP('Forecasting for Perfume 50ml'!$L125*Fractions!AA$18,0)</f>
        <v>24</v>
      </c>
      <c r="Z65" s="396">
        <f>ROUNDUP('Forecasting for Perfume 50ml'!$L125*Fractions!AB$18,0)</f>
        <v>12</v>
      </c>
      <c r="AA65" s="396">
        <f>ROUNDUP('Forecasting for Perfume 50ml'!$L125*Fractions!AC$18,0)</f>
        <v>7</v>
      </c>
      <c r="AB65" s="396">
        <f>ROUNDUP('Forecasting for Bodymist 100ml'!$L125*Fractions!AD$18,0)</f>
        <v>11</v>
      </c>
      <c r="AC65" s="396">
        <f>ROUNDUP('Forecasting for Bodymist 100ml'!$L125*Fractions!AE$18,0)</f>
        <v>8</v>
      </c>
      <c r="AD65" s="396">
        <f>ROUNDUP('Forecasting for Bodymist 100ml'!$L125*Fractions!AF$18,0)</f>
        <v>6</v>
      </c>
      <c r="AE65" s="396">
        <f>ROUNDUP('Forecasting for Bodymist 100ml'!$L125*Fractions!AG$18,0)</f>
        <v>12</v>
      </c>
    </row>
    <row r="66" spans="1:31" x14ac:dyDescent="0.35">
      <c r="A66" s="395">
        <v>45413</v>
      </c>
      <c r="B66" s="396">
        <f>ROUNDUP('Forecasting for Perfume 30ml '!$L126*Fractions!D$18,0)</f>
        <v>15</v>
      </c>
      <c r="C66" s="396">
        <f>ROUNDUP('Forecasting for Perfume 30ml '!$L126*Fractions!E$18,0)</f>
        <v>15</v>
      </c>
      <c r="D66" s="396">
        <f>ROUNDUP('Forecasting for Perfume 30ml '!$L126*Fractions!F$18,0)</f>
        <v>10</v>
      </c>
      <c r="E66" s="396">
        <f>ROUNDUP('Forecasting for Perfume 30ml '!$L126*Fractions!G$18,0)</f>
        <v>24</v>
      </c>
      <c r="F66" s="396">
        <f>ROUNDUP('Forecasting for Perfume 30ml '!$L126*Fractions!H$18,0)</f>
        <v>13</v>
      </c>
      <c r="G66" s="396">
        <f>ROUNDUP('Forecasting for Perfume 30ml '!$L126*Fractions!I$18,0)</f>
        <v>11</v>
      </c>
      <c r="H66" s="396">
        <f>ROUNDUP('Forecasting for Perfume 30ml '!$L126*Fractions!J$18,0)</f>
        <v>13</v>
      </c>
      <c r="I66" s="396">
        <f>ROUNDUP('Forecasting for Perfume 30ml '!$L126*Fractions!K$18,0)</f>
        <v>12</v>
      </c>
      <c r="J66" s="396">
        <f>ROUNDUP('Forecasting for Perfume 30ml '!$L126*Fractions!L$18,0)</f>
        <v>9</v>
      </c>
      <c r="K66" s="396">
        <f>ROUNDUP('Forecasting for Perfume 30ml '!$L126*Fractions!M$18,0)</f>
        <v>13</v>
      </c>
      <c r="L66" s="396">
        <f>ROUNDUP('Forecasting for Perfume 30ml '!$L126*Fractions!N$18,0)</f>
        <v>30</v>
      </c>
      <c r="M66" s="396">
        <f>ROUNDUP('Forecasting for Perfume 30ml '!$L126*Fractions!O$18,0)</f>
        <v>12</v>
      </c>
      <c r="N66" s="396">
        <f>ROUNDUP('Forecasting for Perfume 30ml '!$L126*Fractions!P$18,0)</f>
        <v>8</v>
      </c>
      <c r="O66" s="396">
        <f>ROUNDUP('Forecasting for Perfume 50ml'!$L126*Fractions!Q$18,0)</f>
        <v>17</v>
      </c>
      <c r="P66" s="396">
        <f>ROUNDUP('Forecasting for Perfume 50ml'!$L126*Fractions!R$18,0)</f>
        <v>18</v>
      </c>
      <c r="Q66" s="396">
        <f>ROUNDUP('Forecasting for Perfume 50ml'!$L126*Fractions!S$18,0)</f>
        <v>10</v>
      </c>
      <c r="R66" s="396">
        <f>ROUNDUP('Forecasting for Perfume 50ml'!$L126*Fractions!T$18,0)</f>
        <v>26</v>
      </c>
      <c r="S66" s="396">
        <f>ROUNDUP('Forecasting for Perfume 50ml'!$L126*Fractions!U$18,0)</f>
        <v>16</v>
      </c>
      <c r="T66" s="396">
        <f>ROUNDUP('Forecasting for Perfume 50ml'!$L126*Fractions!V$18,0)</f>
        <v>14</v>
      </c>
      <c r="U66" s="396">
        <f>ROUNDUP('Forecasting for Perfume 50ml'!$L126*Fractions!W$18,0)</f>
        <v>12</v>
      </c>
      <c r="V66" s="396">
        <f>ROUNDUP('Forecasting for Perfume 50ml'!$L126*Fractions!X$18,0)</f>
        <v>16</v>
      </c>
      <c r="W66" s="396">
        <f>ROUNDUP('Forecasting for Perfume 50ml'!$L126*Fractions!Y$18,0)</f>
        <v>10</v>
      </c>
      <c r="X66" s="396">
        <f>ROUNDUP('Forecasting for Perfume 50ml'!$L126*Fractions!Z$18,0)</f>
        <v>16</v>
      </c>
      <c r="Y66" s="396">
        <f>ROUNDUP('Forecasting for Perfume 50ml'!$L126*Fractions!AA$18,0)</f>
        <v>32</v>
      </c>
      <c r="Z66" s="396">
        <f>ROUNDUP('Forecasting for Perfume 50ml'!$L126*Fractions!AB$18,0)</f>
        <v>16</v>
      </c>
      <c r="AA66" s="396">
        <f>ROUNDUP('Forecasting for Perfume 50ml'!$L126*Fractions!AC$18,0)</f>
        <v>10</v>
      </c>
      <c r="AB66" s="396">
        <f>ROUNDUP('Forecasting for Bodymist 100ml'!$L126*Fractions!AD$18,0)</f>
        <v>14</v>
      </c>
      <c r="AC66" s="396">
        <f>ROUNDUP('Forecasting for Bodymist 100ml'!$L126*Fractions!AE$18,0)</f>
        <v>10</v>
      </c>
      <c r="AD66" s="396">
        <f>ROUNDUP('Forecasting for Bodymist 100ml'!$L126*Fractions!AF$18,0)</f>
        <v>8</v>
      </c>
      <c r="AE66" s="396">
        <f>ROUNDUP('Forecasting for Bodymist 100ml'!$L126*Fractions!AG$18,0)</f>
        <v>15</v>
      </c>
    </row>
    <row r="67" spans="1:31" x14ac:dyDescent="0.35">
      <c r="A67" s="395">
        <v>45444</v>
      </c>
      <c r="B67" s="396">
        <f>ROUNDUP('Forecasting for Perfume 30ml '!$L127*Fractions!D$18,0)</f>
        <v>13</v>
      </c>
      <c r="C67" s="396">
        <f>ROUNDUP('Forecasting for Perfume 30ml '!$L127*Fractions!E$18,0)</f>
        <v>13</v>
      </c>
      <c r="D67" s="396">
        <f>ROUNDUP('Forecasting for Perfume 30ml '!$L127*Fractions!F$18,0)</f>
        <v>8</v>
      </c>
      <c r="E67" s="396">
        <f>ROUNDUP('Forecasting for Perfume 30ml '!$L127*Fractions!G$18,0)</f>
        <v>20</v>
      </c>
      <c r="F67" s="396">
        <f>ROUNDUP('Forecasting for Perfume 30ml '!$L127*Fractions!H$18,0)</f>
        <v>11</v>
      </c>
      <c r="G67" s="396">
        <f>ROUNDUP('Forecasting for Perfume 30ml '!$L127*Fractions!I$18,0)</f>
        <v>10</v>
      </c>
      <c r="H67" s="396">
        <f>ROUNDUP('Forecasting for Perfume 30ml '!$L127*Fractions!J$18,0)</f>
        <v>11</v>
      </c>
      <c r="I67" s="396">
        <f>ROUNDUP('Forecasting for Perfume 30ml '!$L127*Fractions!K$18,0)</f>
        <v>10</v>
      </c>
      <c r="J67" s="396">
        <f>ROUNDUP('Forecasting for Perfume 30ml '!$L127*Fractions!L$18,0)</f>
        <v>8</v>
      </c>
      <c r="K67" s="396">
        <f>ROUNDUP('Forecasting for Perfume 30ml '!$L127*Fractions!M$18,0)</f>
        <v>11</v>
      </c>
      <c r="L67" s="396">
        <f>ROUNDUP('Forecasting for Perfume 30ml '!$L127*Fractions!N$18,0)</f>
        <v>26</v>
      </c>
      <c r="M67" s="396">
        <f>ROUNDUP('Forecasting for Perfume 30ml '!$L127*Fractions!O$18,0)</f>
        <v>10</v>
      </c>
      <c r="N67" s="396">
        <f>ROUNDUP('Forecasting for Perfume 30ml '!$L127*Fractions!P$18,0)</f>
        <v>7</v>
      </c>
      <c r="O67" s="396">
        <f>ROUNDUP('Forecasting for Perfume 50ml'!$L127*Fractions!Q$18,0)</f>
        <v>13</v>
      </c>
      <c r="P67" s="396">
        <f>ROUNDUP('Forecasting for Perfume 50ml'!$L127*Fractions!R$18,0)</f>
        <v>14</v>
      </c>
      <c r="Q67" s="396">
        <f>ROUNDUP('Forecasting for Perfume 50ml'!$L127*Fractions!S$18,0)</f>
        <v>8</v>
      </c>
      <c r="R67" s="396">
        <f>ROUNDUP('Forecasting for Perfume 50ml'!$L127*Fractions!T$18,0)</f>
        <v>20</v>
      </c>
      <c r="S67" s="396">
        <f>ROUNDUP('Forecasting for Perfume 50ml'!$L127*Fractions!U$18,0)</f>
        <v>12</v>
      </c>
      <c r="T67" s="396">
        <f>ROUNDUP('Forecasting for Perfume 50ml'!$L127*Fractions!V$18,0)</f>
        <v>11</v>
      </c>
      <c r="U67" s="396">
        <f>ROUNDUP('Forecasting for Perfume 50ml'!$L127*Fractions!W$18,0)</f>
        <v>9</v>
      </c>
      <c r="V67" s="396">
        <f>ROUNDUP('Forecasting for Perfume 50ml'!$L127*Fractions!X$18,0)</f>
        <v>12</v>
      </c>
      <c r="W67" s="396">
        <f>ROUNDUP('Forecasting for Perfume 50ml'!$L127*Fractions!Y$18,0)</f>
        <v>7</v>
      </c>
      <c r="X67" s="396">
        <f>ROUNDUP('Forecasting for Perfume 50ml'!$L127*Fractions!Z$18,0)</f>
        <v>12</v>
      </c>
      <c r="Y67" s="396">
        <f>ROUNDUP('Forecasting for Perfume 50ml'!$L127*Fractions!AA$18,0)</f>
        <v>24</v>
      </c>
      <c r="Z67" s="396">
        <f>ROUNDUP('Forecasting for Perfume 50ml'!$L127*Fractions!AB$18,0)</f>
        <v>12</v>
      </c>
      <c r="AA67" s="396">
        <f>ROUNDUP('Forecasting for Perfume 50ml'!$L127*Fractions!AC$18,0)</f>
        <v>7</v>
      </c>
      <c r="AB67" s="396">
        <f>ROUNDUP('Forecasting for Bodymist 100ml'!$L127*Fractions!AD$18,0)</f>
        <v>14</v>
      </c>
      <c r="AC67" s="396">
        <f>ROUNDUP('Forecasting for Bodymist 100ml'!$L127*Fractions!AE$18,0)</f>
        <v>10</v>
      </c>
      <c r="AD67" s="396">
        <f>ROUNDUP('Forecasting for Bodymist 100ml'!$L127*Fractions!AF$18,0)</f>
        <v>8</v>
      </c>
      <c r="AE67" s="396">
        <f>ROUNDUP('Forecasting for Bodymist 100ml'!$L127*Fractions!AG$18,0)</f>
        <v>16</v>
      </c>
    </row>
    <row r="68" spans="1:31" x14ac:dyDescent="0.35">
      <c r="A68" s="395">
        <v>45474</v>
      </c>
      <c r="B68" s="396">
        <f>ROUNDUP('Forecasting for Perfume 30ml '!$L128*Fractions!D$18,0)</f>
        <v>11</v>
      </c>
      <c r="C68" s="396">
        <f>ROUNDUP('Forecasting for Perfume 30ml '!$L128*Fractions!E$18,0)</f>
        <v>11</v>
      </c>
      <c r="D68" s="396">
        <f>ROUNDUP('Forecasting for Perfume 30ml '!$L128*Fractions!F$18,0)</f>
        <v>7</v>
      </c>
      <c r="E68" s="396">
        <f>ROUNDUP('Forecasting for Perfume 30ml '!$L128*Fractions!G$18,0)</f>
        <v>18</v>
      </c>
      <c r="F68" s="396">
        <f>ROUNDUP('Forecasting for Perfume 30ml '!$L128*Fractions!H$18,0)</f>
        <v>10</v>
      </c>
      <c r="G68" s="396">
        <f>ROUNDUP('Forecasting for Perfume 30ml '!$L128*Fractions!I$18,0)</f>
        <v>8</v>
      </c>
      <c r="H68" s="396">
        <f>ROUNDUP('Forecasting for Perfume 30ml '!$L128*Fractions!J$18,0)</f>
        <v>10</v>
      </c>
      <c r="I68" s="396">
        <f>ROUNDUP('Forecasting for Perfume 30ml '!$L128*Fractions!K$18,0)</f>
        <v>9</v>
      </c>
      <c r="J68" s="396">
        <f>ROUNDUP('Forecasting for Perfume 30ml '!$L128*Fractions!L$18,0)</f>
        <v>7</v>
      </c>
      <c r="K68" s="396">
        <f>ROUNDUP('Forecasting for Perfume 30ml '!$L128*Fractions!M$18,0)</f>
        <v>10</v>
      </c>
      <c r="L68" s="396">
        <f>ROUNDUP('Forecasting for Perfume 30ml '!$L128*Fractions!N$18,0)</f>
        <v>22</v>
      </c>
      <c r="M68" s="396">
        <f>ROUNDUP('Forecasting for Perfume 30ml '!$L128*Fractions!O$18,0)</f>
        <v>9</v>
      </c>
      <c r="N68" s="396">
        <f>ROUNDUP('Forecasting for Perfume 30ml '!$L128*Fractions!P$18,0)</f>
        <v>6</v>
      </c>
      <c r="O68" s="396">
        <f>ROUNDUP('Forecasting for Perfume 50ml'!$L128*Fractions!Q$18,0)</f>
        <v>12</v>
      </c>
      <c r="P68" s="396">
        <f>ROUNDUP('Forecasting for Perfume 50ml'!$L128*Fractions!R$18,0)</f>
        <v>13</v>
      </c>
      <c r="Q68" s="396">
        <f>ROUNDUP('Forecasting for Perfume 50ml'!$L128*Fractions!S$18,0)</f>
        <v>7</v>
      </c>
      <c r="R68" s="396">
        <f>ROUNDUP('Forecasting for Perfume 50ml'!$L128*Fractions!T$18,0)</f>
        <v>18</v>
      </c>
      <c r="S68" s="396">
        <f>ROUNDUP('Forecasting for Perfume 50ml'!$L128*Fractions!U$18,0)</f>
        <v>11</v>
      </c>
      <c r="T68" s="396">
        <f>ROUNDUP('Forecasting for Perfume 50ml'!$L128*Fractions!V$18,0)</f>
        <v>10</v>
      </c>
      <c r="U68" s="396">
        <f>ROUNDUP('Forecasting for Perfume 50ml'!$L128*Fractions!W$18,0)</f>
        <v>8</v>
      </c>
      <c r="V68" s="396">
        <f>ROUNDUP('Forecasting for Perfume 50ml'!$L128*Fractions!X$18,0)</f>
        <v>11</v>
      </c>
      <c r="W68" s="396">
        <f>ROUNDUP('Forecasting for Perfume 50ml'!$L128*Fractions!Y$18,0)</f>
        <v>7</v>
      </c>
      <c r="X68" s="396">
        <f>ROUNDUP('Forecasting for Perfume 50ml'!$L128*Fractions!Z$18,0)</f>
        <v>11</v>
      </c>
      <c r="Y68" s="396">
        <f>ROUNDUP('Forecasting for Perfume 50ml'!$L128*Fractions!AA$18,0)</f>
        <v>22</v>
      </c>
      <c r="Z68" s="396">
        <f>ROUNDUP('Forecasting for Perfume 50ml'!$L128*Fractions!AB$18,0)</f>
        <v>11</v>
      </c>
      <c r="AA68" s="396">
        <f>ROUNDUP('Forecasting for Perfume 50ml'!$L128*Fractions!AC$18,0)</f>
        <v>7</v>
      </c>
      <c r="AB68" s="396">
        <f>ROUNDUP('Forecasting for Bodymist 100ml'!$L128*Fractions!AD$18,0)</f>
        <v>9</v>
      </c>
      <c r="AC68" s="396">
        <f>ROUNDUP('Forecasting for Bodymist 100ml'!$L128*Fractions!AE$18,0)</f>
        <v>6</v>
      </c>
      <c r="AD68" s="396">
        <f>ROUNDUP('Forecasting for Bodymist 100ml'!$L128*Fractions!AF$18,0)</f>
        <v>5</v>
      </c>
      <c r="AE68" s="396">
        <f>ROUNDUP('Forecasting for Bodymist 100ml'!$L128*Fractions!AG$18,0)</f>
        <v>10</v>
      </c>
    </row>
    <row r="69" spans="1:31" x14ac:dyDescent="0.35">
      <c r="A69" s="395">
        <v>45505</v>
      </c>
      <c r="B69" s="396">
        <f>ROUNDUP('Forecasting for Perfume 30ml '!$L129*Fractions!D$18,0)</f>
        <v>12</v>
      </c>
      <c r="C69" s="396">
        <f>ROUNDUP('Forecasting for Perfume 30ml '!$L129*Fractions!E$18,0)</f>
        <v>12</v>
      </c>
      <c r="D69" s="396">
        <f>ROUNDUP('Forecasting for Perfume 30ml '!$L129*Fractions!F$18,0)</f>
        <v>8</v>
      </c>
      <c r="E69" s="396">
        <f>ROUNDUP('Forecasting for Perfume 30ml '!$L129*Fractions!G$18,0)</f>
        <v>19</v>
      </c>
      <c r="F69" s="396">
        <f>ROUNDUP('Forecasting for Perfume 30ml '!$L129*Fractions!H$18,0)</f>
        <v>10</v>
      </c>
      <c r="G69" s="396">
        <f>ROUNDUP('Forecasting for Perfume 30ml '!$L129*Fractions!I$18,0)</f>
        <v>9</v>
      </c>
      <c r="H69" s="396">
        <f>ROUNDUP('Forecasting for Perfume 30ml '!$L129*Fractions!J$18,0)</f>
        <v>11</v>
      </c>
      <c r="I69" s="396">
        <f>ROUNDUP('Forecasting for Perfume 30ml '!$L129*Fractions!K$18,0)</f>
        <v>10</v>
      </c>
      <c r="J69" s="396">
        <f>ROUNDUP('Forecasting for Perfume 30ml '!$L129*Fractions!L$18,0)</f>
        <v>7</v>
      </c>
      <c r="K69" s="396">
        <f>ROUNDUP('Forecasting for Perfume 30ml '!$L129*Fractions!M$18,0)</f>
        <v>10</v>
      </c>
      <c r="L69" s="396">
        <f>ROUNDUP('Forecasting for Perfume 30ml '!$L129*Fractions!N$18,0)</f>
        <v>24</v>
      </c>
      <c r="M69" s="396">
        <f>ROUNDUP('Forecasting for Perfume 30ml '!$L129*Fractions!O$18,0)</f>
        <v>10</v>
      </c>
      <c r="N69" s="396">
        <f>ROUNDUP('Forecasting for Perfume 30ml '!$L129*Fractions!P$18,0)</f>
        <v>7</v>
      </c>
      <c r="O69" s="396">
        <f>ROUNDUP('Forecasting for Perfume 50ml'!$L129*Fractions!Q$18,0)</f>
        <v>13</v>
      </c>
      <c r="P69" s="396">
        <f>ROUNDUP('Forecasting for Perfume 50ml'!$L129*Fractions!R$18,0)</f>
        <v>13</v>
      </c>
      <c r="Q69" s="396">
        <f>ROUNDUP('Forecasting for Perfume 50ml'!$L129*Fractions!S$18,0)</f>
        <v>8</v>
      </c>
      <c r="R69" s="396">
        <f>ROUNDUP('Forecasting for Perfume 50ml'!$L129*Fractions!T$18,0)</f>
        <v>20</v>
      </c>
      <c r="S69" s="396">
        <f>ROUNDUP('Forecasting for Perfume 50ml'!$L129*Fractions!U$18,0)</f>
        <v>12</v>
      </c>
      <c r="T69" s="396">
        <f>ROUNDUP('Forecasting for Perfume 50ml'!$L129*Fractions!V$18,0)</f>
        <v>10</v>
      </c>
      <c r="U69" s="396">
        <f>ROUNDUP('Forecasting for Perfume 50ml'!$L129*Fractions!W$18,0)</f>
        <v>9</v>
      </c>
      <c r="V69" s="396">
        <f>ROUNDUP('Forecasting for Perfume 50ml'!$L129*Fractions!X$18,0)</f>
        <v>12</v>
      </c>
      <c r="W69" s="396">
        <f>ROUNDUP('Forecasting for Perfume 50ml'!$L129*Fractions!Y$18,0)</f>
        <v>7</v>
      </c>
      <c r="X69" s="396">
        <f>ROUNDUP('Forecasting for Perfume 50ml'!$L129*Fractions!Z$18,0)</f>
        <v>12</v>
      </c>
      <c r="Y69" s="396">
        <f>ROUNDUP('Forecasting for Perfume 50ml'!$L129*Fractions!AA$18,0)</f>
        <v>24</v>
      </c>
      <c r="Z69" s="396">
        <f>ROUNDUP('Forecasting for Perfume 50ml'!$L129*Fractions!AB$18,0)</f>
        <v>12</v>
      </c>
      <c r="AA69" s="396">
        <f>ROUNDUP('Forecasting for Perfume 50ml'!$L129*Fractions!AC$18,0)</f>
        <v>7</v>
      </c>
      <c r="AB69" s="396">
        <f>ROUNDUP('Forecasting for Bodymist 100ml'!$L129*Fractions!AD$18,0)</f>
        <v>11</v>
      </c>
      <c r="AC69" s="396">
        <f>ROUNDUP('Forecasting for Bodymist 100ml'!$L129*Fractions!AE$18,0)</f>
        <v>8</v>
      </c>
      <c r="AD69" s="396">
        <f>ROUNDUP('Forecasting for Bodymist 100ml'!$L129*Fractions!AF$18,0)</f>
        <v>6</v>
      </c>
      <c r="AE69" s="396">
        <f>ROUNDUP('Forecasting for Bodymist 100ml'!$L129*Fractions!AG$18,0)</f>
        <v>12</v>
      </c>
    </row>
    <row r="70" spans="1:31" x14ac:dyDescent="0.35">
      <c r="A70" s="395">
        <v>45536</v>
      </c>
      <c r="B70" s="396">
        <f>ROUNDUP('Forecasting for Perfume 30ml '!$L130*Fractions!D$18,0)</f>
        <v>12</v>
      </c>
      <c r="C70" s="396">
        <f>ROUNDUP('Forecasting for Perfume 30ml '!$L130*Fractions!E$18,0)</f>
        <v>12</v>
      </c>
      <c r="D70" s="396">
        <f>ROUNDUP('Forecasting for Perfume 30ml '!$L130*Fractions!F$18,0)</f>
        <v>8</v>
      </c>
      <c r="E70" s="396">
        <f>ROUNDUP('Forecasting for Perfume 30ml '!$L130*Fractions!G$18,0)</f>
        <v>19</v>
      </c>
      <c r="F70" s="396">
        <f>ROUNDUP('Forecasting for Perfume 30ml '!$L130*Fractions!H$18,0)</f>
        <v>10</v>
      </c>
      <c r="G70" s="396">
        <f>ROUNDUP('Forecasting for Perfume 30ml '!$L130*Fractions!I$18,0)</f>
        <v>9</v>
      </c>
      <c r="H70" s="396">
        <f>ROUNDUP('Forecasting for Perfume 30ml '!$L130*Fractions!J$18,0)</f>
        <v>11</v>
      </c>
      <c r="I70" s="396">
        <f>ROUNDUP('Forecasting for Perfume 30ml '!$L130*Fractions!K$18,0)</f>
        <v>10</v>
      </c>
      <c r="J70" s="396">
        <f>ROUNDUP('Forecasting for Perfume 30ml '!$L130*Fractions!L$18,0)</f>
        <v>7</v>
      </c>
      <c r="K70" s="396">
        <f>ROUNDUP('Forecasting for Perfume 30ml '!$L130*Fractions!M$18,0)</f>
        <v>10</v>
      </c>
      <c r="L70" s="396">
        <f>ROUNDUP('Forecasting for Perfume 30ml '!$L130*Fractions!N$18,0)</f>
        <v>24</v>
      </c>
      <c r="M70" s="396">
        <f>ROUNDUP('Forecasting for Perfume 30ml '!$L130*Fractions!O$18,0)</f>
        <v>10</v>
      </c>
      <c r="N70" s="396">
        <f>ROUNDUP('Forecasting for Perfume 30ml '!$L130*Fractions!P$18,0)</f>
        <v>7</v>
      </c>
      <c r="O70" s="396">
        <f>ROUNDUP('Forecasting for Perfume 50ml'!$L130*Fractions!Q$18,0)</f>
        <v>13</v>
      </c>
      <c r="P70" s="396">
        <f>ROUNDUP('Forecasting for Perfume 50ml'!$L130*Fractions!R$18,0)</f>
        <v>13</v>
      </c>
      <c r="Q70" s="396">
        <f>ROUNDUP('Forecasting for Perfume 50ml'!$L130*Fractions!S$18,0)</f>
        <v>8</v>
      </c>
      <c r="R70" s="396">
        <f>ROUNDUP('Forecasting for Perfume 50ml'!$L130*Fractions!T$18,0)</f>
        <v>20</v>
      </c>
      <c r="S70" s="396">
        <f>ROUNDUP('Forecasting for Perfume 50ml'!$L130*Fractions!U$18,0)</f>
        <v>12</v>
      </c>
      <c r="T70" s="396">
        <f>ROUNDUP('Forecasting for Perfume 50ml'!$L130*Fractions!V$18,0)</f>
        <v>10</v>
      </c>
      <c r="U70" s="396">
        <f>ROUNDUP('Forecasting for Perfume 50ml'!$L130*Fractions!W$18,0)</f>
        <v>9</v>
      </c>
      <c r="V70" s="396">
        <f>ROUNDUP('Forecasting for Perfume 50ml'!$L130*Fractions!X$18,0)</f>
        <v>12</v>
      </c>
      <c r="W70" s="396">
        <f>ROUNDUP('Forecasting for Perfume 50ml'!$L130*Fractions!Y$18,0)</f>
        <v>7</v>
      </c>
      <c r="X70" s="396">
        <f>ROUNDUP('Forecasting for Perfume 50ml'!$L130*Fractions!Z$18,0)</f>
        <v>12</v>
      </c>
      <c r="Y70" s="396">
        <f>ROUNDUP('Forecasting for Perfume 50ml'!$L130*Fractions!AA$18,0)</f>
        <v>24</v>
      </c>
      <c r="Z70" s="396">
        <f>ROUNDUP('Forecasting for Perfume 50ml'!$L130*Fractions!AB$18,0)</f>
        <v>12</v>
      </c>
      <c r="AA70" s="396">
        <f>ROUNDUP('Forecasting for Perfume 50ml'!$L130*Fractions!AC$18,0)</f>
        <v>7</v>
      </c>
      <c r="AB70" s="396">
        <f>ROUNDUP('Forecasting for Bodymist 100ml'!$L130*Fractions!AD$18,0)</f>
        <v>11</v>
      </c>
      <c r="AC70" s="396">
        <f>ROUNDUP('Forecasting for Bodymist 100ml'!$L130*Fractions!AE$18,0)</f>
        <v>8</v>
      </c>
      <c r="AD70" s="396">
        <f>ROUNDUP('Forecasting for Bodymist 100ml'!$L130*Fractions!AF$18,0)</f>
        <v>6</v>
      </c>
      <c r="AE70" s="396">
        <f>ROUNDUP('Forecasting for Bodymist 100ml'!$L130*Fractions!AG$18,0)</f>
        <v>12</v>
      </c>
    </row>
    <row r="71" spans="1:31" x14ac:dyDescent="0.35">
      <c r="A71" s="395">
        <v>45566</v>
      </c>
      <c r="B71" s="396">
        <f>ROUNDUP('Forecasting for Perfume 30ml '!$L131*Fractions!D$18,0)</f>
        <v>12</v>
      </c>
      <c r="C71" s="396">
        <f>ROUNDUP('Forecasting for Perfume 30ml '!$L131*Fractions!E$18,0)</f>
        <v>12</v>
      </c>
      <c r="D71" s="396">
        <f>ROUNDUP('Forecasting for Perfume 30ml '!$L131*Fractions!F$18,0)</f>
        <v>8</v>
      </c>
      <c r="E71" s="396">
        <f>ROUNDUP('Forecasting for Perfume 30ml '!$L131*Fractions!G$18,0)</f>
        <v>19</v>
      </c>
      <c r="F71" s="396">
        <f>ROUNDUP('Forecasting for Perfume 30ml '!$L131*Fractions!H$18,0)</f>
        <v>10</v>
      </c>
      <c r="G71" s="396">
        <f>ROUNDUP('Forecasting for Perfume 30ml '!$L131*Fractions!I$18,0)</f>
        <v>9</v>
      </c>
      <c r="H71" s="396">
        <f>ROUNDUP('Forecasting for Perfume 30ml '!$L131*Fractions!J$18,0)</f>
        <v>11</v>
      </c>
      <c r="I71" s="396">
        <f>ROUNDUP('Forecasting for Perfume 30ml '!$L131*Fractions!K$18,0)</f>
        <v>10</v>
      </c>
      <c r="J71" s="396">
        <f>ROUNDUP('Forecasting for Perfume 30ml '!$L131*Fractions!L$18,0)</f>
        <v>7</v>
      </c>
      <c r="K71" s="396">
        <f>ROUNDUP('Forecasting for Perfume 30ml '!$L131*Fractions!M$18,0)</f>
        <v>10</v>
      </c>
      <c r="L71" s="396">
        <f>ROUNDUP('Forecasting for Perfume 30ml '!$L131*Fractions!N$18,0)</f>
        <v>24</v>
      </c>
      <c r="M71" s="396">
        <f>ROUNDUP('Forecasting for Perfume 30ml '!$L131*Fractions!O$18,0)</f>
        <v>10</v>
      </c>
      <c r="N71" s="396">
        <f>ROUNDUP('Forecasting for Perfume 30ml '!$L131*Fractions!P$18,0)</f>
        <v>7</v>
      </c>
      <c r="O71" s="396">
        <f>ROUNDUP('Forecasting for Perfume 50ml'!$L131*Fractions!Q$18,0)</f>
        <v>13</v>
      </c>
      <c r="P71" s="396">
        <f>ROUNDUP('Forecasting for Perfume 50ml'!$L131*Fractions!R$18,0)</f>
        <v>13</v>
      </c>
      <c r="Q71" s="396">
        <f>ROUNDUP('Forecasting for Perfume 50ml'!$L131*Fractions!S$18,0)</f>
        <v>8</v>
      </c>
      <c r="R71" s="396">
        <f>ROUNDUP('Forecasting for Perfume 50ml'!$L131*Fractions!T$18,0)</f>
        <v>20</v>
      </c>
      <c r="S71" s="396">
        <f>ROUNDUP('Forecasting for Perfume 50ml'!$L131*Fractions!U$18,0)</f>
        <v>12</v>
      </c>
      <c r="T71" s="396">
        <f>ROUNDUP('Forecasting for Perfume 50ml'!$L131*Fractions!V$18,0)</f>
        <v>10</v>
      </c>
      <c r="U71" s="396">
        <f>ROUNDUP('Forecasting for Perfume 50ml'!$L131*Fractions!W$18,0)</f>
        <v>9</v>
      </c>
      <c r="V71" s="396">
        <f>ROUNDUP('Forecasting for Perfume 50ml'!$L131*Fractions!X$18,0)</f>
        <v>12</v>
      </c>
      <c r="W71" s="396">
        <f>ROUNDUP('Forecasting for Perfume 50ml'!$L131*Fractions!Y$18,0)</f>
        <v>7</v>
      </c>
      <c r="X71" s="396">
        <f>ROUNDUP('Forecasting for Perfume 50ml'!$L131*Fractions!Z$18,0)</f>
        <v>12</v>
      </c>
      <c r="Y71" s="396">
        <f>ROUNDUP('Forecasting for Perfume 50ml'!$L131*Fractions!AA$18,0)</f>
        <v>24</v>
      </c>
      <c r="Z71" s="396">
        <f>ROUNDUP('Forecasting for Perfume 50ml'!$L131*Fractions!AB$18,0)</f>
        <v>12</v>
      </c>
      <c r="AA71" s="396">
        <f>ROUNDUP('Forecasting for Perfume 50ml'!$L131*Fractions!AC$18,0)</f>
        <v>7</v>
      </c>
      <c r="AB71" s="396">
        <f>ROUNDUP('Forecasting for Bodymist 100ml'!$L131*Fractions!AD$18,0)</f>
        <v>11</v>
      </c>
      <c r="AC71" s="396">
        <f>ROUNDUP('Forecasting for Bodymist 100ml'!$L131*Fractions!AE$18,0)</f>
        <v>8</v>
      </c>
      <c r="AD71" s="396">
        <f>ROUNDUP('Forecasting for Bodymist 100ml'!$L131*Fractions!AF$18,0)</f>
        <v>6</v>
      </c>
      <c r="AE71" s="396">
        <f>ROUNDUP('Forecasting for Bodymist 100ml'!$L131*Fractions!AG$18,0)</f>
        <v>12</v>
      </c>
    </row>
    <row r="72" spans="1:31" x14ac:dyDescent="0.35">
      <c r="A72" s="395">
        <v>45597</v>
      </c>
      <c r="B72" s="396">
        <f>ROUNDUP('Forecasting for Perfume 30ml '!$L132*Fractions!D$18,0)</f>
        <v>12</v>
      </c>
      <c r="C72" s="396">
        <f>ROUNDUP('Forecasting for Perfume 30ml '!$L132*Fractions!E$18,0)</f>
        <v>12</v>
      </c>
      <c r="D72" s="396">
        <f>ROUNDUP('Forecasting for Perfume 30ml '!$L132*Fractions!F$18,0)</f>
        <v>8</v>
      </c>
      <c r="E72" s="396">
        <f>ROUNDUP('Forecasting for Perfume 30ml '!$L132*Fractions!G$18,0)</f>
        <v>19</v>
      </c>
      <c r="F72" s="396">
        <f>ROUNDUP('Forecasting for Perfume 30ml '!$L132*Fractions!H$18,0)</f>
        <v>10</v>
      </c>
      <c r="G72" s="396">
        <f>ROUNDUP('Forecasting for Perfume 30ml '!$L132*Fractions!I$18,0)</f>
        <v>9</v>
      </c>
      <c r="H72" s="396">
        <f>ROUNDUP('Forecasting for Perfume 30ml '!$L132*Fractions!J$18,0)</f>
        <v>11</v>
      </c>
      <c r="I72" s="396">
        <f>ROUNDUP('Forecasting for Perfume 30ml '!$L132*Fractions!K$18,0)</f>
        <v>10</v>
      </c>
      <c r="J72" s="396">
        <f>ROUNDUP('Forecasting for Perfume 30ml '!$L132*Fractions!L$18,0)</f>
        <v>7</v>
      </c>
      <c r="K72" s="396">
        <f>ROUNDUP('Forecasting for Perfume 30ml '!$L132*Fractions!M$18,0)</f>
        <v>10</v>
      </c>
      <c r="L72" s="396">
        <f>ROUNDUP('Forecasting for Perfume 30ml '!$L132*Fractions!N$18,0)</f>
        <v>24</v>
      </c>
      <c r="M72" s="396">
        <f>ROUNDUP('Forecasting for Perfume 30ml '!$L132*Fractions!O$18,0)</f>
        <v>10</v>
      </c>
      <c r="N72" s="396">
        <f>ROUNDUP('Forecasting for Perfume 30ml '!$L132*Fractions!P$18,0)</f>
        <v>7</v>
      </c>
      <c r="O72" s="396">
        <f>ROUNDUP('Forecasting for Perfume 50ml'!$L132*Fractions!Q$18,0)</f>
        <v>13</v>
      </c>
      <c r="P72" s="396">
        <f>ROUNDUP('Forecasting for Perfume 50ml'!$L132*Fractions!R$18,0)</f>
        <v>13</v>
      </c>
      <c r="Q72" s="396">
        <f>ROUNDUP('Forecasting for Perfume 50ml'!$L132*Fractions!S$18,0)</f>
        <v>8</v>
      </c>
      <c r="R72" s="396">
        <f>ROUNDUP('Forecasting for Perfume 50ml'!$L132*Fractions!T$18,0)</f>
        <v>20</v>
      </c>
      <c r="S72" s="396">
        <f>ROUNDUP('Forecasting for Perfume 50ml'!$L132*Fractions!U$18,0)</f>
        <v>12</v>
      </c>
      <c r="T72" s="396">
        <f>ROUNDUP('Forecasting for Perfume 50ml'!$L132*Fractions!V$18,0)</f>
        <v>10</v>
      </c>
      <c r="U72" s="396">
        <f>ROUNDUP('Forecasting for Perfume 50ml'!$L132*Fractions!W$18,0)</f>
        <v>9</v>
      </c>
      <c r="V72" s="396">
        <f>ROUNDUP('Forecasting for Perfume 50ml'!$L132*Fractions!X$18,0)</f>
        <v>12</v>
      </c>
      <c r="W72" s="396">
        <f>ROUNDUP('Forecasting for Perfume 50ml'!$L132*Fractions!Y$18,0)</f>
        <v>7</v>
      </c>
      <c r="X72" s="396">
        <f>ROUNDUP('Forecasting for Perfume 50ml'!$L132*Fractions!Z$18,0)</f>
        <v>12</v>
      </c>
      <c r="Y72" s="396">
        <f>ROUNDUP('Forecasting for Perfume 50ml'!$L132*Fractions!AA$18,0)</f>
        <v>24</v>
      </c>
      <c r="Z72" s="396">
        <f>ROUNDUP('Forecasting for Perfume 50ml'!$L132*Fractions!AB$18,0)</f>
        <v>12</v>
      </c>
      <c r="AA72" s="396">
        <f>ROUNDUP('Forecasting for Perfume 50ml'!$L132*Fractions!AC$18,0)</f>
        <v>7</v>
      </c>
      <c r="AB72" s="396">
        <f>ROUNDUP('Forecasting for Bodymist 100ml'!$L132*Fractions!AD$18,0)</f>
        <v>11</v>
      </c>
      <c r="AC72" s="396">
        <f>ROUNDUP('Forecasting for Bodymist 100ml'!$L132*Fractions!AE$18,0)</f>
        <v>8</v>
      </c>
      <c r="AD72" s="396">
        <f>ROUNDUP('Forecasting for Bodymist 100ml'!$L132*Fractions!AF$18,0)</f>
        <v>6</v>
      </c>
      <c r="AE72" s="396">
        <f>ROUNDUP('Forecasting for Bodymist 100ml'!$L132*Fractions!AG$18,0)</f>
        <v>12</v>
      </c>
    </row>
    <row r="73" spans="1:31" x14ac:dyDescent="0.35">
      <c r="A73" s="395">
        <v>45627</v>
      </c>
      <c r="B73" s="396">
        <f>ROUNDUP('Forecasting for Perfume 30ml '!$L133*Fractions!D$18,0)</f>
        <v>24</v>
      </c>
      <c r="C73" s="396">
        <f>ROUNDUP('Forecasting for Perfume 30ml '!$L133*Fractions!E$18,0)</f>
        <v>25</v>
      </c>
      <c r="D73" s="396">
        <f>ROUNDUP('Forecasting for Perfume 30ml '!$L133*Fractions!F$18,0)</f>
        <v>16</v>
      </c>
      <c r="E73" s="396">
        <f>ROUNDUP('Forecasting for Perfume 30ml '!$L133*Fractions!G$18,0)</f>
        <v>39</v>
      </c>
      <c r="F73" s="396">
        <f>ROUNDUP('Forecasting for Perfume 30ml '!$L133*Fractions!H$18,0)</f>
        <v>21</v>
      </c>
      <c r="G73" s="396">
        <f>ROUNDUP('Forecasting for Perfume 30ml '!$L133*Fractions!I$18,0)</f>
        <v>18</v>
      </c>
      <c r="H73" s="396">
        <f>ROUNDUP('Forecasting for Perfume 30ml '!$L133*Fractions!J$18,0)</f>
        <v>21</v>
      </c>
      <c r="I73" s="396">
        <f>ROUNDUP('Forecasting for Perfume 30ml '!$L133*Fractions!K$18,0)</f>
        <v>19</v>
      </c>
      <c r="J73" s="396">
        <f>ROUNDUP('Forecasting for Perfume 30ml '!$L133*Fractions!L$18,0)</f>
        <v>14</v>
      </c>
      <c r="K73" s="396">
        <f>ROUNDUP('Forecasting for Perfume 30ml '!$L133*Fractions!M$18,0)</f>
        <v>21</v>
      </c>
      <c r="L73" s="396">
        <f>ROUNDUP('Forecasting for Perfume 30ml '!$L133*Fractions!N$18,0)</f>
        <v>50</v>
      </c>
      <c r="M73" s="396">
        <f>ROUNDUP('Forecasting for Perfume 30ml '!$L133*Fractions!O$18,0)</f>
        <v>20</v>
      </c>
      <c r="N73" s="396">
        <f>ROUNDUP('Forecasting for Perfume 30ml '!$L133*Fractions!P$18,0)</f>
        <v>13</v>
      </c>
      <c r="O73" s="396">
        <f>ROUNDUP('Forecasting for Perfume 50ml'!$L133*Fractions!Q$18,0)</f>
        <v>27</v>
      </c>
      <c r="P73" s="396">
        <f>ROUNDUP('Forecasting for Perfume 50ml'!$L133*Fractions!R$18,0)</f>
        <v>28</v>
      </c>
      <c r="Q73" s="396">
        <f>ROUNDUP('Forecasting for Perfume 50ml'!$L133*Fractions!S$18,0)</f>
        <v>16</v>
      </c>
      <c r="R73" s="396">
        <f>ROUNDUP('Forecasting for Perfume 50ml'!$L133*Fractions!T$18,0)</f>
        <v>41</v>
      </c>
      <c r="S73" s="396">
        <f>ROUNDUP('Forecasting for Perfume 50ml'!$L133*Fractions!U$18,0)</f>
        <v>24</v>
      </c>
      <c r="T73" s="396">
        <f>ROUNDUP('Forecasting for Perfume 50ml'!$L133*Fractions!V$18,0)</f>
        <v>22</v>
      </c>
      <c r="U73" s="396">
        <f>ROUNDUP('Forecasting for Perfume 50ml'!$L133*Fractions!W$18,0)</f>
        <v>18</v>
      </c>
      <c r="V73" s="396">
        <f>ROUNDUP('Forecasting for Perfume 50ml'!$L133*Fractions!X$18,0)</f>
        <v>24</v>
      </c>
      <c r="W73" s="396">
        <f>ROUNDUP('Forecasting for Perfume 50ml'!$L133*Fractions!Y$18,0)</f>
        <v>15</v>
      </c>
      <c r="X73" s="396">
        <f>ROUNDUP('Forecasting for Perfume 50ml'!$L133*Fractions!Z$18,0)</f>
        <v>26</v>
      </c>
      <c r="Y73" s="396">
        <f>ROUNDUP('Forecasting for Perfume 50ml'!$L133*Fractions!AA$18,0)</f>
        <v>50</v>
      </c>
      <c r="Z73" s="396">
        <f>ROUNDUP('Forecasting for Perfume 50ml'!$L133*Fractions!AB$18,0)</f>
        <v>25</v>
      </c>
      <c r="AA73" s="396">
        <f>ROUNDUP('Forecasting for Perfume 50ml'!$L133*Fractions!AC$18,0)</f>
        <v>15</v>
      </c>
      <c r="AB73" s="396">
        <f>ROUNDUP('Forecasting for Bodymist 100ml'!$L133*Fractions!AD$18,0)</f>
        <v>27</v>
      </c>
      <c r="AC73" s="396">
        <f>ROUNDUP('Forecasting for Bodymist 100ml'!$L133*Fractions!AE$18,0)</f>
        <v>20</v>
      </c>
      <c r="AD73" s="396">
        <f>ROUNDUP('Forecasting for Bodymist 100ml'!$L133*Fractions!AF$18,0)</f>
        <v>15</v>
      </c>
      <c r="AE73" s="396">
        <f>ROUNDUP('Forecasting for Bodymist 100ml'!$L133*Fractions!AG$18,0)</f>
        <v>30</v>
      </c>
    </row>
    <row r="74" spans="1:31" x14ac:dyDescent="0.35">
      <c r="A74" s="394">
        <v>45658</v>
      </c>
      <c r="B74" s="342">
        <f>ROUNDUP('Forecasting for Perfume 30ml '!$L134*Fractions!D$18,0)</f>
        <v>14</v>
      </c>
      <c r="C74" s="342">
        <f>ROUNDUP('Forecasting for Perfume 30ml '!$L134*Fractions!E$18,0)</f>
        <v>14</v>
      </c>
      <c r="D74" s="342">
        <f>ROUNDUP('Forecasting for Perfume 30ml '!$L134*Fractions!F$18,0)</f>
        <v>9</v>
      </c>
      <c r="E74" s="342">
        <f>ROUNDUP('Forecasting for Perfume 30ml '!$L134*Fractions!G$18,0)</f>
        <v>22</v>
      </c>
      <c r="F74" s="342">
        <f>ROUNDUP('Forecasting for Perfume 30ml '!$L134*Fractions!H$18,0)</f>
        <v>12</v>
      </c>
      <c r="G74" s="342">
        <f>ROUNDUP('Forecasting for Perfume 30ml '!$L134*Fractions!I$18,0)</f>
        <v>10</v>
      </c>
      <c r="H74" s="342">
        <f>ROUNDUP('Forecasting for Perfume 30ml '!$L134*Fractions!J$18,0)</f>
        <v>12</v>
      </c>
      <c r="I74" s="342">
        <f>ROUNDUP('Forecasting for Perfume 30ml '!$L134*Fractions!K$18,0)</f>
        <v>11</v>
      </c>
      <c r="J74" s="342">
        <f>ROUNDUP('Forecasting for Perfume 30ml '!$L134*Fractions!L$18,0)</f>
        <v>8</v>
      </c>
      <c r="K74" s="342">
        <f>ROUNDUP('Forecasting for Perfume 30ml '!$L134*Fractions!M$18,0)</f>
        <v>12</v>
      </c>
      <c r="L74" s="342">
        <f>ROUNDUP('Forecasting for Perfume 30ml '!$L134*Fractions!N$18,0)</f>
        <v>28</v>
      </c>
      <c r="M74" s="342">
        <f>ROUNDUP('Forecasting for Perfume 30ml '!$L134*Fractions!O$18,0)</f>
        <v>11</v>
      </c>
      <c r="N74" s="342">
        <f>ROUNDUP('Forecasting for Perfume 30ml '!$L134*Fractions!P$18,0)</f>
        <v>8</v>
      </c>
      <c r="O74" s="342">
        <f>ROUNDUP('Forecasting for Perfume 50ml'!$L134*Fractions!Q$18,0)</f>
        <v>14</v>
      </c>
      <c r="P74" s="342">
        <f>ROUNDUP('Forecasting for Perfume 50ml'!$L134*Fractions!R$18,0)</f>
        <v>14</v>
      </c>
      <c r="Q74" s="342">
        <f>ROUNDUP('Forecasting for Perfume 50ml'!$L134*Fractions!S$18,0)</f>
        <v>8</v>
      </c>
      <c r="R74" s="342">
        <f>ROUNDUP('Forecasting for Perfume 50ml'!$L134*Fractions!T$18,0)</f>
        <v>21</v>
      </c>
      <c r="S74" s="342">
        <f>ROUNDUP('Forecasting for Perfume 50ml'!$L134*Fractions!U$18,0)</f>
        <v>13</v>
      </c>
      <c r="T74" s="342">
        <f>ROUNDUP('Forecasting for Perfume 50ml'!$L134*Fractions!V$18,0)</f>
        <v>11</v>
      </c>
      <c r="U74" s="342">
        <f>ROUNDUP('Forecasting for Perfume 50ml'!$L134*Fractions!W$18,0)</f>
        <v>9</v>
      </c>
      <c r="V74" s="342">
        <f>ROUNDUP('Forecasting for Perfume 50ml'!$L134*Fractions!X$18,0)</f>
        <v>13</v>
      </c>
      <c r="W74" s="342">
        <f>ROUNDUP('Forecasting for Perfume 50ml'!$L134*Fractions!Y$18,0)</f>
        <v>8</v>
      </c>
      <c r="X74" s="342">
        <f>ROUNDUP('Forecasting for Perfume 50ml'!$L134*Fractions!Z$18,0)</f>
        <v>13</v>
      </c>
      <c r="Y74" s="342">
        <f>ROUNDUP('Forecasting for Perfume 50ml'!$L134*Fractions!AA$18,0)</f>
        <v>25</v>
      </c>
      <c r="Z74" s="342">
        <f>ROUNDUP('Forecasting for Perfume 50ml'!$L134*Fractions!AB$18,0)</f>
        <v>13</v>
      </c>
      <c r="AA74" s="342">
        <f>ROUNDUP('Forecasting for Perfume 50ml'!$L134*Fractions!AC$18,0)</f>
        <v>8</v>
      </c>
      <c r="AB74" s="342">
        <f>ROUNDUP('Forecasting for Bodymist 100ml'!$L134*Fractions!AD$18,0)</f>
        <v>5</v>
      </c>
      <c r="AC74" s="342">
        <f>ROUNDUP('Forecasting for Bodymist 100ml'!$L134*Fractions!AE$18,0)</f>
        <v>4</v>
      </c>
      <c r="AD74" s="342">
        <f>ROUNDUP('Forecasting for Bodymist 100ml'!$L134*Fractions!AF$18,0)</f>
        <v>3</v>
      </c>
      <c r="AE74" s="342">
        <f>ROUNDUP('Forecasting for Bodymist 100ml'!$L134*Fractions!AG$18,0)</f>
        <v>6</v>
      </c>
    </row>
    <row r="75" spans="1:31" x14ac:dyDescent="0.35">
      <c r="A75" s="394">
        <v>45689</v>
      </c>
      <c r="B75" s="342">
        <f>ROUNDUP('Forecasting for Perfume 30ml '!$L135*Fractions!D$18,0)</f>
        <v>20</v>
      </c>
      <c r="C75" s="342">
        <f>ROUNDUP('Forecasting for Perfume 30ml '!$L135*Fractions!E$18,0)</f>
        <v>20</v>
      </c>
      <c r="D75" s="342">
        <f>ROUNDUP('Forecasting for Perfume 30ml '!$L135*Fractions!F$18,0)</f>
        <v>13</v>
      </c>
      <c r="E75" s="342">
        <f>ROUNDUP('Forecasting for Perfume 30ml '!$L135*Fractions!G$18,0)</f>
        <v>31</v>
      </c>
      <c r="F75" s="342">
        <f>ROUNDUP('Forecasting for Perfume 30ml '!$L135*Fractions!H$18,0)</f>
        <v>17</v>
      </c>
      <c r="G75" s="342">
        <f>ROUNDUP('Forecasting for Perfume 30ml '!$L135*Fractions!I$18,0)</f>
        <v>15</v>
      </c>
      <c r="H75" s="342">
        <f>ROUNDUP('Forecasting for Perfume 30ml '!$L135*Fractions!J$18,0)</f>
        <v>17</v>
      </c>
      <c r="I75" s="342">
        <f>ROUNDUP('Forecasting for Perfume 30ml '!$L135*Fractions!K$18,0)</f>
        <v>16</v>
      </c>
      <c r="J75" s="342">
        <f>ROUNDUP('Forecasting for Perfume 30ml '!$L135*Fractions!L$18,0)</f>
        <v>12</v>
      </c>
      <c r="K75" s="342">
        <f>ROUNDUP('Forecasting for Perfume 30ml '!$L135*Fractions!M$18,0)</f>
        <v>17</v>
      </c>
      <c r="L75" s="342">
        <f>ROUNDUP('Forecasting for Perfume 30ml '!$L135*Fractions!N$18,0)</f>
        <v>40</v>
      </c>
      <c r="M75" s="342">
        <f>ROUNDUP('Forecasting for Perfume 30ml '!$L135*Fractions!O$18,0)</f>
        <v>16</v>
      </c>
      <c r="N75" s="342">
        <f>ROUNDUP('Forecasting for Perfume 30ml '!$L135*Fractions!P$18,0)</f>
        <v>11</v>
      </c>
      <c r="O75" s="342">
        <f>ROUNDUP('Forecasting for Perfume 50ml'!$L135*Fractions!Q$18,0)</f>
        <v>20</v>
      </c>
      <c r="P75" s="342">
        <f>ROUNDUP('Forecasting for Perfume 50ml'!$L135*Fractions!R$18,0)</f>
        <v>20</v>
      </c>
      <c r="Q75" s="342">
        <f>ROUNDUP('Forecasting for Perfume 50ml'!$L135*Fractions!S$18,0)</f>
        <v>12</v>
      </c>
      <c r="R75" s="342">
        <f>ROUNDUP('Forecasting for Perfume 50ml'!$L135*Fractions!T$18,0)</f>
        <v>30</v>
      </c>
      <c r="S75" s="342">
        <f>ROUNDUP('Forecasting for Perfume 50ml'!$L135*Fractions!U$18,0)</f>
        <v>18</v>
      </c>
      <c r="T75" s="342">
        <f>ROUNDUP('Forecasting for Perfume 50ml'!$L135*Fractions!V$18,0)</f>
        <v>16</v>
      </c>
      <c r="U75" s="342">
        <f>ROUNDUP('Forecasting for Perfume 50ml'!$L135*Fractions!W$18,0)</f>
        <v>13</v>
      </c>
      <c r="V75" s="342">
        <f>ROUNDUP('Forecasting for Perfume 50ml'!$L135*Fractions!X$18,0)</f>
        <v>18</v>
      </c>
      <c r="W75" s="342">
        <f>ROUNDUP('Forecasting for Perfume 50ml'!$L135*Fractions!Y$18,0)</f>
        <v>11</v>
      </c>
      <c r="X75" s="342">
        <f>ROUNDUP('Forecasting for Perfume 50ml'!$L135*Fractions!Z$18,0)</f>
        <v>19</v>
      </c>
      <c r="Y75" s="342">
        <f>ROUNDUP('Forecasting for Perfume 50ml'!$L135*Fractions!AA$18,0)</f>
        <v>36</v>
      </c>
      <c r="Z75" s="342">
        <f>ROUNDUP('Forecasting for Perfume 50ml'!$L135*Fractions!AB$18,0)</f>
        <v>18</v>
      </c>
      <c r="AA75" s="342">
        <f>ROUNDUP('Forecasting for Perfume 50ml'!$L135*Fractions!AC$18,0)</f>
        <v>11</v>
      </c>
      <c r="AB75" s="342">
        <f>ROUNDUP('Forecasting for Bodymist 100ml'!$L135*Fractions!AD$18,0)</f>
        <v>18</v>
      </c>
      <c r="AC75" s="342">
        <f>ROUNDUP('Forecasting for Bodymist 100ml'!$L135*Fractions!AE$18,0)</f>
        <v>13</v>
      </c>
      <c r="AD75" s="342">
        <f>ROUNDUP('Forecasting for Bodymist 100ml'!$L135*Fractions!AF$18,0)</f>
        <v>10</v>
      </c>
      <c r="AE75" s="342">
        <f>ROUNDUP('Forecasting for Bodymist 100ml'!$L135*Fractions!AG$18,0)</f>
        <v>20</v>
      </c>
    </row>
    <row r="76" spans="1:31" x14ac:dyDescent="0.35">
      <c r="A76" s="394">
        <v>45717</v>
      </c>
      <c r="B76" s="342">
        <f>ROUNDUP('Forecasting for Perfume 30ml '!$L136*Fractions!D$18,0)</f>
        <v>13</v>
      </c>
      <c r="C76" s="342">
        <f>ROUNDUP('Forecasting for Perfume 30ml '!$L136*Fractions!E$18,0)</f>
        <v>13</v>
      </c>
      <c r="D76" s="342">
        <f>ROUNDUP('Forecasting for Perfume 30ml '!$L136*Fractions!F$18,0)</f>
        <v>8</v>
      </c>
      <c r="E76" s="342">
        <f>ROUNDUP('Forecasting for Perfume 30ml '!$L136*Fractions!G$18,0)</f>
        <v>20</v>
      </c>
      <c r="F76" s="342">
        <f>ROUNDUP('Forecasting for Perfume 30ml '!$L136*Fractions!H$18,0)</f>
        <v>11</v>
      </c>
      <c r="G76" s="342">
        <f>ROUNDUP('Forecasting for Perfume 30ml '!$L136*Fractions!I$18,0)</f>
        <v>10</v>
      </c>
      <c r="H76" s="342">
        <f>ROUNDUP('Forecasting for Perfume 30ml '!$L136*Fractions!J$18,0)</f>
        <v>11</v>
      </c>
      <c r="I76" s="342">
        <f>ROUNDUP('Forecasting for Perfume 30ml '!$L136*Fractions!K$18,0)</f>
        <v>10</v>
      </c>
      <c r="J76" s="342">
        <f>ROUNDUP('Forecasting for Perfume 30ml '!$L136*Fractions!L$18,0)</f>
        <v>8</v>
      </c>
      <c r="K76" s="342">
        <f>ROUNDUP('Forecasting for Perfume 30ml '!$L136*Fractions!M$18,0)</f>
        <v>11</v>
      </c>
      <c r="L76" s="342">
        <f>ROUNDUP('Forecasting for Perfume 30ml '!$L136*Fractions!N$18,0)</f>
        <v>26</v>
      </c>
      <c r="M76" s="342">
        <f>ROUNDUP('Forecasting for Perfume 30ml '!$L136*Fractions!O$18,0)</f>
        <v>10</v>
      </c>
      <c r="N76" s="342">
        <f>ROUNDUP('Forecasting for Perfume 30ml '!$L136*Fractions!P$18,0)</f>
        <v>7</v>
      </c>
      <c r="O76" s="342">
        <f>ROUNDUP('Forecasting for Perfume 50ml'!$L136*Fractions!Q$18,0)</f>
        <v>16</v>
      </c>
      <c r="P76" s="342">
        <f>ROUNDUP('Forecasting for Perfume 50ml'!$L136*Fractions!R$18,0)</f>
        <v>17</v>
      </c>
      <c r="Q76" s="342">
        <f>ROUNDUP('Forecasting for Perfume 50ml'!$L136*Fractions!S$18,0)</f>
        <v>10</v>
      </c>
      <c r="R76" s="342">
        <f>ROUNDUP('Forecasting for Perfume 50ml'!$L136*Fractions!T$18,0)</f>
        <v>25</v>
      </c>
      <c r="S76" s="342">
        <f>ROUNDUP('Forecasting for Perfume 50ml'!$L136*Fractions!U$18,0)</f>
        <v>15</v>
      </c>
      <c r="T76" s="342">
        <f>ROUNDUP('Forecasting for Perfume 50ml'!$L136*Fractions!V$18,0)</f>
        <v>13</v>
      </c>
      <c r="U76" s="342">
        <f>ROUNDUP('Forecasting for Perfume 50ml'!$L136*Fractions!W$18,0)</f>
        <v>11</v>
      </c>
      <c r="V76" s="342">
        <f>ROUNDUP('Forecasting for Perfume 50ml'!$L136*Fractions!X$18,0)</f>
        <v>15</v>
      </c>
      <c r="W76" s="342">
        <f>ROUNDUP('Forecasting for Perfume 50ml'!$L136*Fractions!Y$18,0)</f>
        <v>9</v>
      </c>
      <c r="X76" s="342">
        <f>ROUNDUP('Forecasting for Perfume 50ml'!$L136*Fractions!Z$18,0)</f>
        <v>15</v>
      </c>
      <c r="Y76" s="342">
        <f>ROUNDUP('Forecasting for Perfume 50ml'!$L136*Fractions!AA$18,0)</f>
        <v>30</v>
      </c>
      <c r="Z76" s="342">
        <f>ROUNDUP('Forecasting for Perfume 50ml'!$L136*Fractions!AB$18,0)</f>
        <v>15</v>
      </c>
      <c r="AA76" s="342">
        <f>ROUNDUP('Forecasting for Perfume 50ml'!$L136*Fractions!AC$18,0)</f>
        <v>9</v>
      </c>
      <c r="AB76" s="342">
        <f>ROUNDUP('Forecasting for Bodymist 100ml'!$L136*Fractions!AD$18,0)</f>
        <v>14</v>
      </c>
      <c r="AC76" s="342">
        <f>ROUNDUP('Forecasting for Bodymist 100ml'!$L136*Fractions!AE$18,0)</f>
        <v>11</v>
      </c>
      <c r="AD76" s="342">
        <f>ROUNDUP('Forecasting for Bodymist 100ml'!$L136*Fractions!AF$18,0)</f>
        <v>8</v>
      </c>
      <c r="AE76" s="342">
        <f>ROUNDUP('Forecasting for Bodymist 100ml'!$L136*Fractions!AG$18,0)</f>
        <v>16</v>
      </c>
    </row>
    <row r="77" spans="1:31" x14ac:dyDescent="0.35">
      <c r="A77" s="394">
        <v>45748</v>
      </c>
      <c r="B77" s="342">
        <f>ROUNDUP('Forecasting for Perfume 30ml '!$L137*Fractions!D$18,0)</f>
        <v>11</v>
      </c>
      <c r="C77" s="342">
        <f>ROUNDUP('Forecasting for Perfume 30ml '!$L137*Fractions!E$18,0)</f>
        <v>11</v>
      </c>
      <c r="D77" s="342">
        <f>ROUNDUP('Forecasting for Perfume 30ml '!$L137*Fractions!F$18,0)</f>
        <v>7</v>
      </c>
      <c r="E77" s="342">
        <f>ROUNDUP('Forecasting for Perfume 30ml '!$L137*Fractions!G$18,0)</f>
        <v>18</v>
      </c>
      <c r="F77" s="342">
        <f>ROUNDUP('Forecasting for Perfume 30ml '!$L137*Fractions!H$18,0)</f>
        <v>10</v>
      </c>
      <c r="G77" s="342">
        <f>ROUNDUP('Forecasting for Perfume 30ml '!$L137*Fractions!I$18,0)</f>
        <v>8</v>
      </c>
      <c r="H77" s="342">
        <f>ROUNDUP('Forecasting for Perfume 30ml '!$L137*Fractions!J$18,0)</f>
        <v>10</v>
      </c>
      <c r="I77" s="342">
        <f>ROUNDUP('Forecasting for Perfume 30ml '!$L137*Fractions!K$18,0)</f>
        <v>9</v>
      </c>
      <c r="J77" s="342">
        <f>ROUNDUP('Forecasting for Perfume 30ml '!$L137*Fractions!L$18,0)</f>
        <v>7</v>
      </c>
      <c r="K77" s="342">
        <f>ROUNDUP('Forecasting for Perfume 30ml '!$L137*Fractions!M$18,0)</f>
        <v>10</v>
      </c>
      <c r="L77" s="342">
        <f>ROUNDUP('Forecasting for Perfume 30ml '!$L137*Fractions!N$18,0)</f>
        <v>22</v>
      </c>
      <c r="M77" s="342">
        <f>ROUNDUP('Forecasting for Perfume 30ml '!$L137*Fractions!O$18,0)</f>
        <v>9</v>
      </c>
      <c r="N77" s="342">
        <f>ROUNDUP('Forecasting for Perfume 30ml '!$L137*Fractions!P$18,0)</f>
        <v>6</v>
      </c>
      <c r="O77" s="342">
        <f>ROUNDUP('Forecasting for Perfume 50ml'!$L137*Fractions!Q$18,0)</f>
        <v>12</v>
      </c>
      <c r="P77" s="342">
        <f>ROUNDUP('Forecasting for Perfume 50ml'!$L137*Fractions!R$18,0)</f>
        <v>12</v>
      </c>
      <c r="Q77" s="342">
        <f>ROUNDUP('Forecasting for Perfume 50ml'!$L137*Fractions!S$18,0)</f>
        <v>7</v>
      </c>
      <c r="R77" s="342">
        <f>ROUNDUP('Forecasting for Perfume 50ml'!$L137*Fractions!T$18,0)</f>
        <v>17</v>
      </c>
      <c r="S77" s="342">
        <f>ROUNDUP('Forecasting for Perfume 50ml'!$L137*Fractions!U$18,0)</f>
        <v>10</v>
      </c>
      <c r="T77" s="342">
        <f>ROUNDUP('Forecasting for Perfume 50ml'!$L137*Fractions!V$18,0)</f>
        <v>9</v>
      </c>
      <c r="U77" s="342">
        <f>ROUNDUP('Forecasting for Perfume 50ml'!$L137*Fractions!W$18,0)</f>
        <v>8</v>
      </c>
      <c r="V77" s="342">
        <f>ROUNDUP('Forecasting for Perfume 50ml'!$L137*Fractions!X$18,0)</f>
        <v>11</v>
      </c>
      <c r="W77" s="342">
        <f>ROUNDUP('Forecasting for Perfume 50ml'!$L137*Fractions!Y$18,0)</f>
        <v>6</v>
      </c>
      <c r="X77" s="342">
        <f>ROUNDUP('Forecasting for Perfume 50ml'!$L137*Fractions!Z$18,0)</f>
        <v>11</v>
      </c>
      <c r="Y77" s="342">
        <f>ROUNDUP('Forecasting for Perfume 50ml'!$L137*Fractions!AA$18,0)</f>
        <v>21</v>
      </c>
      <c r="Z77" s="342">
        <f>ROUNDUP('Forecasting for Perfume 50ml'!$L137*Fractions!AB$18,0)</f>
        <v>11</v>
      </c>
      <c r="AA77" s="342">
        <f>ROUNDUP('Forecasting for Perfume 50ml'!$L137*Fractions!AC$18,0)</f>
        <v>7</v>
      </c>
      <c r="AB77" s="342">
        <f>ROUNDUP('Forecasting for Bodymist 100ml'!$L137*Fractions!AD$18,0)</f>
        <v>8</v>
      </c>
      <c r="AC77" s="342">
        <f>ROUNDUP('Forecasting for Bodymist 100ml'!$L137*Fractions!AE$18,0)</f>
        <v>6</v>
      </c>
      <c r="AD77" s="342">
        <f>ROUNDUP('Forecasting for Bodymist 100ml'!$L137*Fractions!AF$18,0)</f>
        <v>5</v>
      </c>
      <c r="AE77" s="342">
        <f>ROUNDUP('Forecasting for Bodymist 100ml'!$L137*Fractions!AG$18,0)</f>
        <v>9</v>
      </c>
    </row>
    <row r="78" spans="1:31" x14ac:dyDescent="0.35">
      <c r="A78" s="394">
        <v>45778</v>
      </c>
      <c r="B78" s="342">
        <f>ROUNDUP('Forecasting for Perfume 30ml '!$L138*Fractions!D$18,0)</f>
        <v>16</v>
      </c>
      <c r="C78" s="342">
        <f>ROUNDUP('Forecasting for Perfume 30ml '!$L138*Fractions!E$18,0)</f>
        <v>16</v>
      </c>
      <c r="D78" s="342">
        <f>ROUNDUP('Forecasting for Perfume 30ml '!$L138*Fractions!F$18,0)</f>
        <v>10</v>
      </c>
      <c r="E78" s="342">
        <f>ROUNDUP('Forecasting for Perfume 30ml '!$L138*Fractions!G$18,0)</f>
        <v>26</v>
      </c>
      <c r="F78" s="342">
        <f>ROUNDUP('Forecasting for Perfume 30ml '!$L138*Fractions!H$18,0)</f>
        <v>14</v>
      </c>
      <c r="G78" s="342">
        <f>ROUNDUP('Forecasting for Perfume 30ml '!$L138*Fractions!I$18,0)</f>
        <v>12</v>
      </c>
      <c r="H78" s="342">
        <f>ROUNDUP('Forecasting for Perfume 30ml '!$L138*Fractions!J$18,0)</f>
        <v>14</v>
      </c>
      <c r="I78" s="342">
        <f>ROUNDUP('Forecasting for Perfume 30ml '!$L138*Fractions!K$18,0)</f>
        <v>13</v>
      </c>
      <c r="J78" s="342">
        <f>ROUNDUP('Forecasting for Perfume 30ml '!$L138*Fractions!L$18,0)</f>
        <v>10</v>
      </c>
      <c r="K78" s="342">
        <f>ROUNDUP('Forecasting for Perfume 30ml '!$L138*Fractions!M$18,0)</f>
        <v>14</v>
      </c>
      <c r="L78" s="342">
        <f>ROUNDUP('Forecasting for Perfume 30ml '!$L138*Fractions!N$18,0)</f>
        <v>33</v>
      </c>
      <c r="M78" s="342">
        <f>ROUNDUP('Forecasting for Perfume 30ml '!$L138*Fractions!O$18,0)</f>
        <v>13</v>
      </c>
      <c r="N78" s="342">
        <f>ROUNDUP('Forecasting for Perfume 30ml '!$L138*Fractions!P$18,0)</f>
        <v>9</v>
      </c>
      <c r="O78" s="342">
        <f>ROUNDUP('Forecasting for Perfume 50ml'!$L138*Fractions!Q$18,0)</f>
        <v>19</v>
      </c>
      <c r="P78" s="342">
        <f>ROUNDUP('Forecasting for Perfume 50ml'!$L138*Fractions!R$18,0)</f>
        <v>19</v>
      </c>
      <c r="Q78" s="342">
        <f>ROUNDUP('Forecasting for Perfume 50ml'!$L138*Fractions!S$18,0)</f>
        <v>11</v>
      </c>
      <c r="R78" s="342">
        <f>ROUNDUP('Forecasting for Perfume 50ml'!$L138*Fractions!T$18,0)</f>
        <v>28</v>
      </c>
      <c r="S78" s="342">
        <f>ROUNDUP('Forecasting for Perfume 50ml'!$L138*Fractions!U$18,0)</f>
        <v>17</v>
      </c>
      <c r="T78" s="342">
        <f>ROUNDUP('Forecasting for Perfume 50ml'!$L138*Fractions!V$18,0)</f>
        <v>15</v>
      </c>
      <c r="U78" s="342">
        <f>ROUNDUP('Forecasting for Perfume 50ml'!$L138*Fractions!W$18,0)</f>
        <v>13</v>
      </c>
      <c r="V78" s="342">
        <f>ROUNDUP('Forecasting for Perfume 50ml'!$L138*Fractions!X$18,0)</f>
        <v>17</v>
      </c>
      <c r="W78" s="342">
        <f>ROUNDUP('Forecasting for Perfume 50ml'!$L138*Fractions!Y$18,0)</f>
        <v>10</v>
      </c>
      <c r="X78" s="342">
        <f>ROUNDUP('Forecasting for Perfume 50ml'!$L138*Fractions!Z$18,0)</f>
        <v>18</v>
      </c>
      <c r="Y78" s="342">
        <f>ROUNDUP('Forecasting for Perfume 50ml'!$L138*Fractions!AA$18,0)</f>
        <v>34</v>
      </c>
      <c r="Z78" s="342">
        <f>ROUNDUP('Forecasting for Perfume 50ml'!$L138*Fractions!AB$18,0)</f>
        <v>17</v>
      </c>
      <c r="AA78" s="342">
        <f>ROUNDUP('Forecasting for Perfume 50ml'!$L138*Fractions!AC$18,0)</f>
        <v>10</v>
      </c>
      <c r="AB78" s="342">
        <f>ROUNDUP('Forecasting for Bodymist 100ml'!$L138*Fractions!AD$18,0)</f>
        <v>14</v>
      </c>
      <c r="AC78" s="342">
        <f>ROUNDUP('Forecasting for Bodymist 100ml'!$L138*Fractions!AE$18,0)</f>
        <v>11</v>
      </c>
      <c r="AD78" s="342">
        <f>ROUNDUP('Forecasting for Bodymist 100ml'!$L138*Fractions!AF$18,0)</f>
        <v>8</v>
      </c>
      <c r="AE78" s="342">
        <f>ROUNDUP('Forecasting for Bodymist 100ml'!$L138*Fractions!AG$18,0)</f>
        <v>16</v>
      </c>
    </row>
    <row r="79" spans="1:31" x14ac:dyDescent="0.35">
      <c r="A79" s="394">
        <v>45809</v>
      </c>
      <c r="B79" s="342">
        <f>ROUNDUP('Forecasting for Perfume 30ml '!$L139*Fractions!D$18,0)</f>
        <v>14</v>
      </c>
      <c r="C79" s="342">
        <f>ROUNDUP('Forecasting for Perfume 30ml '!$L139*Fractions!E$18,0)</f>
        <v>14</v>
      </c>
      <c r="D79" s="342">
        <f>ROUNDUP('Forecasting for Perfume 30ml '!$L139*Fractions!F$18,0)</f>
        <v>9</v>
      </c>
      <c r="E79" s="342">
        <f>ROUNDUP('Forecasting for Perfume 30ml '!$L139*Fractions!G$18,0)</f>
        <v>22</v>
      </c>
      <c r="F79" s="342">
        <f>ROUNDUP('Forecasting for Perfume 30ml '!$L139*Fractions!H$18,0)</f>
        <v>12</v>
      </c>
      <c r="G79" s="342">
        <f>ROUNDUP('Forecasting for Perfume 30ml '!$L139*Fractions!I$18,0)</f>
        <v>10</v>
      </c>
      <c r="H79" s="342">
        <f>ROUNDUP('Forecasting for Perfume 30ml '!$L139*Fractions!J$18,0)</f>
        <v>12</v>
      </c>
      <c r="I79" s="342">
        <f>ROUNDUP('Forecasting for Perfume 30ml '!$L139*Fractions!K$18,0)</f>
        <v>11</v>
      </c>
      <c r="J79" s="342">
        <f>ROUNDUP('Forecasting for Perfume 30ml '!$L139*Fractions!L$18,0)</f>
        <v>8</v>
      </c>
      <c r="K79" s="342">
        <f>ROUNDUP('Forecasting for Perfume 30ml '!$L139*Fractions!M$18,0)</f>
        <v>12</v>
      </c>
      <c r="L79" s="342">
        <f>ROUNDUP('Forecasting for Perfume 30ml '!$L139*Fractions!N$18,0)</f>
        <v>27</v>
      </c>
      <c r="M79" s="342">
        <f>ROUNDUP('Forecasting for Perfume 30ml '!$L139*Fractions!O$18,0)</f>
        <v>11</v>
      </c>
      <c r="N79" s="342">
        <f>ROUNDUP('Forecasting for Perfume 30ml '!$L139*Fractions!P$18,0)</f>
        <v>8</v>
      </c>
      <c r="O79" s="342">
        <f>ROUNDUP('Forecasting for Perfume 50ml'!$L139*Fractions!Q$18,0)</f>
        <v>14</v>
      </c>
      <c r="P79" s="342">
        <f>ROUNDUP('Forecasting for Perfume 50ml'!$L139*Fractions!R$18,0)</f>
        <v>15</v>
      </c>
      <c r="Q79" s="342">
        <f>ROUNDUP('Forecasting for Perfume 50ml'!$L139*Fractions!S$18,0)</f>
        <v>8</v>
      </c>
      <c r="R79" s="342">
        <f>ROUNDUP('Forecasting for Perfume 50ml'!$L139*Fractions!T$18,0)</f>
        <v>21</v>
      </c>
      <c r="S79" s="342">
        <f>ROUNDUP('Forecasting for Perfume 50ml'!$L139*Fractions!U$18,0)</f>
        <v>13</v>
      </c>
      <c r="T79" s="342">
        <f>ROUNDUP('Forecasting for Perfume 50ml'!$L139*Fractions!V$18,0)</f>
        <v>11</v>
      </c>
      <c r="U79" s="342">
        <f>ROUNDUP('Forecasting for Perfume 50ml'!$L139*Fractions!W$18,0)</f>
        <v>10</v>
      </c>
      <c r="V79" s="342">
        <f>ROUNDUP('Forecasting for Perfume 50ml'!$L139*Fractions!X$18,0)</f>
        <v>13</v>
      </c>
      <c r="W79" s="342">
        <f>ROUNDUP('Forecasting for Perfume 50ml'!$L139*Fractions!Y$18,0)</f>
        <v>8</v>
      </c>
      <c r="X79" s="342">
        <f>ROUNDUP('Forecasting for Perfume 50ml'!$L139*Fractions!Z$18,0)</f>
        <v>13</v>
      </c>
      <c r="Y79" s="342">
        <f>ROUNDUP('Forecasting for Perfume 50ml'!$L139*Fractions!AA$18,0)</f>
        <v>26</v>
      </c>
      <c r="Z79" s="342">
        <f>ROUNDUP('Forecasting for Perfume 50ml'!$L139*Fractions!AB$18,0)</f>
        <v>13</v>
      </c>
      <c r="AA79" s="342">
        <f>ROUNDUP('Forecasting for Perfume 50ml'!$L139*Fractions!AC$18,0)</f>
        <v>8</v>
      </c>
      <c r="AB79" s="342">
        <f>ROUNDUP('Forecasting for Bodymist 100ml'!$L139*Fractions!AD$18,0)</f>
        <v>15</v>
      </c>
      <c r="AC79" s="342">
        <f>ROUNDUP('Forecasting for Bodymist 100ml'!$L139*Fractions!AE$18,0)</f>
        <v>11</v>
      </c>
      <c r="AD79" s="342">
        <f>ROUNDUP('Forecasting for Bodymist 100ml'!$L139*Fractions!AF$18,0)</f>
        <v>8</v>
      </c>
      <c r="AE79" s="342">
        <f>ROUNDUP('Forecasting for Bodymist 100ml'!$L139*Fractions!AG$18,0)</f>
        <v>16</v>
      </c>
    </row>
    <row r="80" spans="1:31" x14ac:dyDescent="0.35">
      <c r="A80" s="394">
        <v>45839</v>
      </c>
      <c r="B80" s="342">
        <f>ROUNDUP('Forecasting for Perfume 30ml '!$L140*Fractions!D$18,0)</f>
        <v>12</v>
      </c>
      <c r="C80" s="342">
        <f>ROUNDUP('Forecasting for Perfume 30ml '!$L140*Fractions!E$18,0)</f>
        <v>12</v>
      </c>
      <c r="D80" s="342">
        <f>ROUNDUP('Forecasting for Perfume 30ml '!$L140*Fractions!F$18,0)</f>
        <v>8</v>
      </c>
      <c r="E80" s="342">
        <f>ROUNDUP('Forecasting for Perfume 30ml '!$L140*Fractions!G$18,0)</f>
        <v>19</v>
      </c>
      <c r="F80" s="342">
        <f>ROUNDUP('Forecasting for Perfume 30ml '!$L140*Fractions!H$18,0)</f>
        <v>10</v>
      </c>
      <c r="G80" s="342">
        <f>ROUNDUP('Forecasting for Perfume 30ml '!$L140*Fractions!I$18,0)</f>
        <v>9</v>
      </c>
      <c r="H80" s="342">
        <f>ROUNDUP('Forecasting for Perfume 30ml '!$L140*Fractions!J$18,0)</f>
        <v>10</v>
      </c>
      <c r="I80" s="342">
        <f>ROUNDUP('Forecasting for Perfume 30ml '!$L140*Fractions!K$18,0)</f>
        <v>10</v>
      </c>
      <c r="J80" s="342">
        <f>ROUNDUP('Forecasting for Perfume 30ml '!$L140*Fractions!L$18,0)</f>
        <v>7</v>
      </c>
      <c r="K80" s="342">
        <f>ROUNDUP('Forecasting for Perfume 30ml '!$L140*Fractions!M$18,0)</f>
        <v>10</v>
      </c>
      <c r="L80" s="342">
        <f>ROUNDUP('Forecasting for Perfume 30ml '!$L140*Fractions!N$18,0)</f>
        <v>24</v>
      </c>
      <c r="M80" s="342">
        <f>ROUNDUP('Forecasting for Perfume 30ml '!$L140*Fractions!O$18,0)</f>
        <v>10</v>
      </c>
      <c r="N80" s="342">
        <f>ROUNDUP('Forecasting for Perfume 30ml '!$L140*Fractions!P$18,0)</f>
        <v>7</v>
      </c>
      <c r="O80" s="342">
        <f>ROUNDUP('Forecasting for Perfume 50ml'!$L140*Fractions!Q$18,0)</f>
        <v>13</v>
      </c>
      <c r="P80" s="342">
        <f>ROUNDUP('Forecasting for Perfume 50ml'!$L140*Fractions!R$18,0)</f>
        <v>14</v>
      </c>
      <c r="Q80" s="342">
        <f>ROUNDUP('Forecasting for Perfume 50ml'!$L140*Fractions!S$18,0)</f>
        <v>8</v>
      </c>
      <c r="R80" s="342">
        <f>ROUNDUP('Forecasting for Perfume 50ml'!$L140*Fractions!T$18,0)</f>
        <v>20</v>
      </c>
      <c r="S80" s="342">
        <f>ROUNDUP('Forecasting for Perfume 50ml'!$L140*Fractions!U$18,0)</f>
        <v>12</v>
      </c>
      <c r="T80" s="342">
        <f>ROUNDUP('Forecasting for Perfume 50ml'!$L140*Fractions!V$18,0)</f>
        <v>11</v>
      </c>
      <c r="U80" s="342">
        <f>ROUNDUP('Forecasting for Perfume 50ml'!$L140*Fractions!W$18,0)</f>
        <v>9</v>
      </c>
      <c r="V80" s="342">
        <f>ROUNDUP('Forecasting for Perfume 50ml'!$L140*Fractions!X$18,0)</f>
        <v>12</v>
      </c>
      <c r="W80" s="342">
        <f>ROUNDUP('Forecasting for Perfume 50ml'!$L140*Fractions!Y$18,0)</f>
        <v>7</v>
      </c>
      <c r="X80" s="342">
        <f>ROUNDUP('Forecasting for Perfume 50ml'!$L140*Fractions!Z$18,0)</f>
        <v>12</v>
      </c>
      <c r="Y80" s="342">
        <f>ROUNDUP('Forecasting for Perfume 50ml'!$L140*Fractions!AA$18,0)</f>
        <v>24</v>
      </c>
      <c r="Z80" s="342">
        <f>ROUNDUP('Forecasting for Perfume 50ml'!$L140*Fractions!AB$18,0)</f>
        <v>12</v>
      </c>
      <c r="AA80" s="342">
        <f>ROUNDUP('Forecasting for Perfume 50ml'!$L140*Fractions!AC$18,0)</f>
        <v>7</v>
      </c>
      <c r="AB80" s="342">
        <f>ROUNDUP('Forecasting for Bodymist 100ml'!$L140*Fractions!AD$18,0)</f>
        <v>9</v>
      </c>
      <c r="AC80" s="342">
        <f>ROUNDUP('Forecasting for Bodymist 100ml'!$L140*Fractions!AE$18,0)</f>
        <v>7</v>
      </c>
      <c r="AD80" s="342">
        <f>ROUNDUP('Forecasting for Bodymist 100ml'!$L140*Fractions!AF$18,0)</f>
        <v>5</v>
      </c>
      <c r="AE80" s="342">
        <f>ROUNDUP('Forecasting for Bodymist 100ml'!$L140*Fractions!AG$18,0)</f>
        <v>10</v>
      </c>
    </row>
    <row r="81" spans="1:31" x14ac:dyDescent="0.35">
      <c r="A81" s="394">
        <v>45870</v>
      </c>
      <c r="B81" s="342">
        <f>ROUNDUP('Forecasting for Perfume 30ml '!$L141*Fractions!D$18,0)</f>
        <v>13</v>
      </c>
      <c r="C81" s="342">
        <f>ROUNDUP('Forecasting for Perfume 30ml '!$L141*Fractions!E$18,0)</f>
        <v>13</v>
      </c>
      <c r="D81" s="342">
        <f>ROUNDUP('Forecasting for Perfume 30ml '!$L141*Fractions!F$18,0)</f>
        <v>8</v>
      </c>
      <c r="E81" s="342">
        <f>ROUNDUP('Forecasting for Perfume 30ml '!$L141*Fractions!G$18,0)</f>
        <v>20</v>
      </c>
      <c r="F81" s="342">
        <f>ROUNDUP('Forecasting for Perfume 30ml '!$L141*Fractions!H$18,0)</f>
        <v>11</v>
      </c>
      <c r="G81" s="342">
        <f>ROUNDUP('Forecasting for Perfume 30ml '!$L141*Fractions!I$18,0)</f>
        <v>10</v>
      </c>
      <c r="H81" s="342">
        <f>ROUNDUP('Forecasting for Perfume 30ml '!$L141*Fractions!J$18,0)</f>
        <v>11</v>
      </c>
      <c r="I81" s="342">
        <f>ROUNDUP('Forecasting for Perfume 30ml '!$L141*Fractions!K$18,0)</f>
        <v>10</v>
      </c>
      <c r="J81" s="342">
        <f>ROUNDUP('Forecasting for Perfume 30ml '!$L141*Fractions!L$18,0)</f>
        <v>8</v>
      </c>
      <c r="K81" s="342">
        <f>ROUNDUP('Forecasting for Perfume 30ml '!$L141*Fractions!M$18,0)</f>
        <v>11</v>
      </c>
      <c r="L81" s="342">
        <f>ROUNDUP('Forecasting for Perfume 30ml '!$L141*Fractions!N$18,0)</f>
        <v>26</v>
      </c>
      <c r="M81" s="342">
        <f>ROUNDUP('Forecasting for Perfume 30ml '!$L141*Fractions!O$18,0)</f>
        <v>10</v>
      </c>
      <c r="N81" s="342">
        <f>ROUNDUP('Forecasting for Perfume 30ml '!$L141*Fractions!P$18,0)</f>
        <v>7</v>
      </c>
      <c r="O81" s="342">
        <f>ROUNDUP('Forecasting for Perfume 50ml'!$L141*Fractions!Q$18,0)</f>
        <v>14</v>
      </c>
      <c r="P81" s="342">
        <f>ROUNDUP('Forecasting for Perfume 50ml'!$L141*Fractions!R$18,0)</f>
        <v>14</v>
      </c>
      <c r="Q81" s="342">
        <f>ROUNDUP('Forecasting for Perfume 50ml'!$L141*Fractions!S$18,0)</f>
        <v>8</v>
      </c>
      <c r="R81" s="342">
        <f>ROUNDUP('Forecasting for Perfume 50ml'!$L141*Fractions!T$18,0)</f>
        <v>21</v>
      </c>
      <c r="S81" s="342">
        <f>ROUNDUP('Forecasting for Perfume 50ml'!$L141*Fractions!U$18,0)</f>
        <v>12</v>
      </c>
      <c r="T81" s="342">
        <f>ROUNDUP('Forecasting for Perfume 50ml'!$L141*Fractions!V$18,0)</f>
        <v>11</v>
      </c>
      <c r="U81" s="342">
        <f>ROUNDUP('Forecasting for Perfume 50ml'!$L141*Fractions!W$18,0)</f>
        <v>9</v>
      </c>
      <c r="V81" s="342">
        <f>ROUNDUP('Forecasting for Perfume 50ml'!$L141*Fractions!X$18,0)</f>
        <v>13</v>
      </c>
      <c r="W81" s="342">
        <f>ROUNDUP('Forecasting for Perfume 50ml'!$L141*Fractions!Y$18,0)</f>
        <v>8</v>
      </c>
      <c r="X81" s="342">
        <f>ROUNDUP('Forecasting for Perfume 50ml'!$L141*Fractions!Z$18,0)</f>
        <v>13</v>
      </c>
      <c r="Y81" s="342">
        <f>ROUNDUP('Forecasting for Perfume 50ml'!$L141*Fractions!AA$18,0)</f>
        <v>25</v>
      </c>
      <c r="Z81" s="342">
        <f>ROUNDUP('Forecasting for Perfume 50ml'!$L141*Fractions!AB$18,0)</f>
        <v>13</v>
      </c>
      <c r="AA81" s="342">
        <f>ROUNDUP('Forecasting for Perfume 50ml'!$L141*Fractions!AC$18,0)</f>
        <v>8</v>
      </c>
      <c r="AB81" s="342">
        <f>ROUNDUP('Forecasting for Bodymist 100ml'!$L141*Fractions!AD$18,0)</f>
        <v>11</v>
      </c>
      <c r="AC81" s="342">
        <f>ROUNDUP('Forecasting for Bodymist 100ml'!$L141*Fractions!AE$18,0)</f>
        <v>8</v>
      </c>
      <c r="AD81" s="342">
        <f>ROUNDUP('Forecasting for Bodymist 100ml'!$L141*Fractions!AF$18,0)</f>
        <v>6</v>
      </c>
      <c r="AE81" s="342">
        <f>ROUNDUP('Forecasting for Bodymist 100ml'!$L141*Fractions!AG$18,0)</f>
        <v>12</v>
      </c>
    </row>
    <row r="82" spans="1:31" x14ac:dyDescent="0.35">
      <c r="A82" s="394">
        <v>45901</v>
      </c>
      <c r="B82" s="342">
        <f>ROUNDUP('Forecasting for Perfume 30ml '!$L142*Fractions!D$18,0)</f>
        <v>13</v>
      </c>
      <c r="C82" s="342">
        <f>ROUNDUP('Forecasting for Perfume 30ml '!$L142*Fractions!E$18,0)</f>
        <v>13</v>
      </c>
      <c r="D82" s="342">
        <f>ROUNDUP('Forecasting for Perfume 30ml '!$L142*Fractions!F$18,0)</f>
        <v>8</v>
      </c>
      <c r="E82" s="342">
        <f>ROUNDUP('Forecasting for Perfume 30ml '!$L142*Fractions!G$18,0)</f>
        <v>20</v>
      </c>
      <c r="F82" s="342">
        <f>ROUNDUP('Forecasting for Perfume 30ml '!$L142*Fractions!H$18,0)</f>
        <v>11</v>
      </c>
      <c r="G82" s="342">
        <f>ROUNDUP('Forecasting for Perfume 30ml '!$L142*Fractions!I$18,0)</f>
        <v>10</v>
      </c>
      <c r="H82" s="342">
        <f>ROUNDUP('Forecasting for Perfume 30ml '!$L142*Fractions!J$18,0)</f>
        <v>11</v>
      </c>
      <c r="I82" s="342">
        <f>ROUNDUP('Forecasting for Perfume 30ml '!$L142*Fractions!K$18,0)</f>
        <v>10</v>
      </c>
      <c r="J82" s="342">
        <f>ROUNDUP('Forecasting for Perfume 30ml '!$L142*Fractions!L$18,0)</f>
        <v>8</v>
      </c>
      <c r="K82" s="342">
        <f>ROUNDUP('Forecasting for Perfume 30ml '!$L142*Fractions!M$18,0)</f>
        <v>11</v>
      </c>
      <c r="L82" s="342">
        <f>ROUNDUP('Forecasting for Perfume 30ml '!$L142*Fractions!N$18,0)</f>
        <v>26</v>
      </c>
      <c r="M82" s="342">
        <f>ROUNDUP('Forecasting for Perfume 30ml '!$L142*Fractions!O$18,0)</f>
        <v>10</v>
      </c>
      <c r="N82" s="342">
        <f>ROUNDUP('Forecasting for Perfume 30ml '!$L142*Fractions!P$18,0)</f>
        <v>7</v>
      </c>
      <c r="O82" s="342">
        <f>ROUNDUP('Forecasting for Perfume 50ml'!$L142*Fractions!Q$18,0)</f>
        <v>14</v>
      </c>
      <c r="P82" s="342">
        <f>ROUNDUP('Forecasting for Perfume 50ml'!$L142*Fractions!R$18,0)</f>
        <v>14</v>
      </c>
      <c r="Q82" s="342">
        <f>ROUNDUP('Forecasting for Perfume 50ml'!$L142*Fractions!S$18,0)</f>
        <v>8</v>
      </c>
      <c r="R82" s="342">
        <f>ROUNDUP('Forecasting for Perfume 50ml'!$L142*Fractions!T$18,0)</f>
        <v>21</v>
      </c>
      <c r="S82" s="342">
        <f>ROUNDUP('Forecasting for Perfume 50ml'!$L142*Fractions!U$18,0)</f>
        <v>12</v>
      </c>
      <c r="T82" s="342">
        <f>ROUNDUP('Forecasting for Perfume 50ml'!$L142*Fractions!V$18,0)</f>
        <v>11</v>
      </c>
      <c r="U82" s="342">
        <f>ROUNDUP('Forecasting for Perfume 50ml'!$L142*Fractions!W$18,0)</f>
        <v>9</v>
      </c>
      <c r="V82" s="342">
        <f>ROUNDUP('Forecasting for Perfume 50ml'!$L142*Fractions!X$18,0)</f>
        <v>13</v>
      </c>
      <c r="W82" s="342">
        <f>ROUNDUP('Forecasting for Perfume 50ml'!$L142*Fractions!Y$18,0)</f>
        <v>8</v>
      </c>
      <c r="X82" s="342">
        <f>ROUNDUP('Forecasting for Perfume 50ml'!$L142*Fractions!Z$18,0)</f>
        <v>13</v>
      </c>
      <c r="Y82" s="342">
        <f>ROUNDUP('Forecasting for Perfume 50ml'!$L142*Fractions!AA$18,0)</f>
        <v>25</v>
      </c>
      <c r="Z82" s="342">
        <f>ROUNDUP('Forecasting for Perfume 50ml'!$L142*Fractions!AB$18,0)</f>
        <v>13</v>
      </c>
      <c r="AA82" s="342">
        <f>ROUNDUP('Forecasting for Perfume 50ml'!$L142*Fractions!AC$18,0)</f>
        <v>8</v>
      </c>
      <c r="AB82" s="342">
        <f>ROUNDUP('Forecasting for Bodymist 100ml'!$L142*Fractions!AD$18,0)</f>
        <v>11</v>
      </c>
      <c r="AC82" s="342">
        <f>ROUNDUP('Forecasting for Bodymist 100ml'!$L142*Fractions!AE$18,0)</f>
        <v>8</v>
      </c>
      <c r="AD82" s="342">
        <f>ROUNDUP('Forecasting for Bodymist 100ml'!$L142*Fractions!AF$18,0)</f>
        <v>6</v>
      </c>
      <c r="AE82" s="342">
        <f>ROUNDUP('Forecasting for Bodymist 100ml'!$L142*Fractions!AG$18,0)</f>
        <v>12</v>
      </c>
    </row>
    <row r="83" spans="1:31" x14ac:dyDescent="0.35">
      <c r="A83" s="394">
        <v>45931</v>
      </c>
      <c r="B83" s="342">
        <f>ROUNDUP('Forecasting for Perfume 30ml '!$L143*Fractions!D$18,0)</f>
        <v>13</v>
      </c>
      <c r="C83" s="342">
        <f>ROUNDUP('Forecasting for Perfume 30ml '!$L143*Fractions!E$18,0)</f>
        <v>13</v>
      </c>
      <c r="D83" s="342">
        <f>ROUNDUP('Forecasting for Perfume 30ml '!$L143*Fractions!F$18,0)</f>
        <v>8</v>
      </c>
      <c r="E83" s="342">
        <f>ROUNDUP('Forecasting for Perfume 30ml '!$L143*Fractions!G$18,0)</f>
        <v>20</v>
      </c>
      <c r="F83" s="342">
        <f>ROUNDUP('Forecasting for Perfume 30ml '!$L143*Fractions!H$18,0)</f>
        <v>11</v>
      </c>
      <c r="G83" s="342">
        <f>ROUNDUP('Forecasting for Perfume 30ml '!$L143*Fractions!I$18,0)</f>
        <v>10</v>
      </c>
      <c r="H83" s="342">
        <f>ROUNDUP('Forecasting for Perfume 30ml '!$L143*Fractions!J$18,0)</f>
        <v>11</v>
      </c>
      <c r="I83" s="342">
        <f>ROUNDUP('Forecasting for Perfume 30ml '!$L143*Fractions!K$18,0)</f>
        <v>10</v>
      </c>
      <c r="J83" s="342">
        <f>ROUNDUP('Forecasting for Perfume 30ml '!$L143*Fractions!L$18,0)</f>
        <v>8</v>
      </c>
      <c r="K83" s="342">
        <f>ROUNDUP('Forecasting for Perfume 30ml '!$L143*Fractions!M$18,0)</f>
        <v>11</v>
      </c>
      <c r="L83" s="342">
        <f>ROUNDUP('Forecasting for Perfume 30ml '!$L143*Fractions!N$18,0)</f>
        <v>26</v>
      </c>
      <c r="M83" s="342">
        <f>ROUNDUP('Forecasting for Perfume 30ml '!$L143*Fractions!O$18,0)</f>
        <v>10</v>
      </c>
      <c r="N83" s="342">
        <f>ROUNDUP('Forecasting for Perfume 30ml '!$L143*Fractions!P$18,0)</f>
        <v>7</v>
      </c>
      <c r="O83" s="342">
        <f>ROUNDUP('Forecasting for Perfume 50ml'!$L143*Fractions!Q$18,0)</f>
        <v>14</v>
      </c>
      <c r="P83" s="342">
        <f>ROUNDUP('Forecasting for Perfume 50ml'!$L143*Fractions!R$18,0)</f>
        <v>14</v>
      </c>
      <c r="Q83" s="342">
        <f>ROUNDUP('Forecasting for Perfume 50ml'!$L143*Fractions!S$18,0)</f>
        <v>8</v>
      </c>
      <c r="R83" s="342">
        <f>ROUNDUP('Forecasting for Perfume 50ml'!$L143*Fractions!T$18,0)</f>
        <v>21</v>
      </c>
      <c r="S83" s="342">
        <f>ROUNDUP('Forecasting for Perfume 50ml'!$L143*Fractions!U$18,0)</f>
        <v>12</v>
      </c>
      <c r="T83" s="342">
        <f>ROUNDUP('Forecasting for Perfume 50ml'!$L143*Fractions!V$18,0)</f>
        <v>11</v>
      </c>
      <c r="U83" s="342">
        <f>ROUNDUP('Forecasting for Perfume 50ml'!$L143*Fractions!W$18,0)</f>
        <v>9</v>
      </c>
      <c r="V83" s="342">
        <f>ROUNDUP('Forecasting for Perfume 50ml'!$L143*Fractions!X$18,0)</f>
        <v>13</v>
      </c>
      <c r="W83" s="342">
        <f>ROUNDUP('Forecasting for Perfume 50ml'!$L143*Fractions!Y$18,0)</f>
        <v>8</v>
      </c>
      <c r="X83" s="342">
        <f>ROUNDUP('Forecasting for Perfume 50ml'!$L143*Fractions!Z$18,0)</f>
        <v>13</v>
      </c>
      <c r="Y83" s="342">
        <f>ROUNDUP('Forecasting for Perfume 50ml'!$L143*Fractions!AA$18,0)</f>
        <v>25</v>
      </c>
      <c r="Z83" s="342">
        <f>ROUNDUP('Forecasting for Perfume 50ml'!$L143*Fractions!AB$18,0)</f>
        <v>13</v>
      </c>
      <c r="AA83" s="342">
        <f>ROUNDUP('Forecasting for Perfume 50ml'!$L143*Fractions!AC$18,0)</f>
        <v>8</v>
      </c>
      <c r="AB83" s="342">
        <f>ROUNDUP('Forecasting for Bodymist 100ml'!$L143*Fractions!AD$18,0)</f>
        <v>11</v>
      </c>
      <c r="AC83" s="342">
        <f>ROUNDUP('Forecasting for Bodymist 100ml'!$L143*Fractions!AE$18,0)</f>
        <v>8</v>
      </c>
      <c r="AD83" s="342">
        <f>ROUNDUP('Forecasting for Bodymist 100ml'!$L143*Fractions!AF$18,0)</f>
        <v>6</v>
      </c>
      <c r="AE83" s="342">
        <f>ROUNDUP('Forecasting for Bodymist 100ml'!$L143*Fractions!AG$18,0)</f>
        <v>12</v>
      </c>
    </row>
    <row r="84" spans="1:31" x14ac:dyDescent="0.35">
      <c r="A84" s="394">
        <v>45962</v>
      </c>
      <c r="B84" s="342">
        <f>ROUNDUP('Forecasting for Perfume 30ml '!$L144*Fractions!D$18,0)</f>
        <v>13</v>
      </c>
      <c r="C84" s="342">
        <f>ROUNDUP('Forecasting for Perfume 30ml '!$L144*Fractions!E$18,0)</f>
        <v>13</v>
      </c>
      <c r="D84" s="342">
        <f>ROUNDUP('Forecasting for Perfume 30ml '!$L144*Fractions!F$18,0)</f>
        <v>8</v>
      </c>
      <c r="E84" s="342">
        <f>ROUNDUP('Forecasting for Perfume 30ml '!$L144*Fractions!G$18,0)</f>
        <v>20</v>
      </c>
      <c r="F84" s="342">
        <f>ROUNDUP('Forecasting for Perfume 30ml '!$L144*Fractions!H$18,0)</f>
        <v>11</v>
      </c>
      <c r="G84" s="342">
        <f>ROUNDUP('Forecasting for Perfume 30ml '!$L144*Fractions!I$18,0)</f>
        <v>10</v>
      </c>
      <c r="H84" s="342">
        <f>ROUNDUP('Forecasting for Perfume 30ml '!$L144*Fractions!J$18,0)</f>
        <v>11</v>
      </c>
      <c r="I84" s="342">
        <f>ROUNDUP('Forecasting for Perfume 30ml '!$L144*Fractions!K$18,0)</f>
        <v>10</v>
      </c>
      <c r="J84" s="342">
        <f>ROUNDUP('Forecasting for Perfume 30ml '!$L144*Fractions!L$18,0)</f>
        <v>8</v>
      </c>
      <c r="K84" s="342">
        <f>ROUNDUP('Forecasting for Perfume 30ml '!$L144*Fractions!M$18,0)</f>
        <v>11</v>
      </c>
      <c r="L84" s="342">
        <f>ROUNDUP('Forecasting for Perfume 30ml '!$L144*Fractions!N$18,0)</f>
        <v>26</v>
      </c>
      <c r="M84" s="342">
        <f>ROUNDUP('Forecasting for Perfume 30ml '!$L144*Fractions!O$18,0)</f>
        <v>10</v>
      </c>
      <c r="N84" s="342">
        <f>ROUNDUP('Forecasting for Perfume 30ml '!$L144*Fractions!P$18,0)</f>
        <v>7</v>
      </c>
      <c r="O84" s="342">
        <f>ROUNDUP('Forecasting for Perfume 50ml'!$L144*Fractions!Q$18,0)</f>
        <v>14</v>
      </c>
      <c r="P84" s="342">
        <f>ROUNDUP('Forecasting for Perfume 50ml'!$L144*Fractions!R$18,0)</f>
        <v>14</v>
      </c>
      <c r="Q84" s="342">
        <f>ROUNDUP('Forecasting for Perfume 50ml'!$L144*Fractions!S$18,0)</f>
        <v>8</v>
      </c>
      <c r="R84" s="342">
        <f>ROUNDUP('Forecasting for Perfume 50ml'!$L144*Fractions!T$18,0)</f>
        <v>21</v>
      </c>
      <c r="S84" s="342">
        <f>ROUNDUP('Forecasting for Perfume 50ml'!$L144*Fractions!U$18,0)</f>
        <v>12</v>
      </c>
      <c r="T84" s="342">
        <f>ROUNDUP('Forecasting for Perfume 50ml'!$L144*Fractions!V$18,0)</f>
        <v>11</v>
      </c>
      <c r="U84" s="342">
        <f>ROUNDUP('Forecasting for Perfume 50ml'!$L144*Fractions!W$18,0)</f>
        <v>9</v>
      </c>
      <c r="V84" s="342">
        <f>ROUNDUP('Forecasting for Perfume 50ml'!$L144*Fractions!X$18,0)</f>
        <v>13</v>
      </c>
      <c r="W84" s="342">
        <f>ROUNDUP('Forecasting for Perfume 50ml'!$L144*Fractions!Y$18,0)</f>
        <v>8</v>
      </c>
      <c r="X84" s="342">
        <f>ROUNDUP('Forecasting for Perfume 50ml'!$L144*Fractions!Z$18,0)</f>
        <v>13</v>
      </c>
      <c r="Y84" s="342">
        <f>ROUNDUP('Forecasting for Perfume 50ml'!$L144*Fractions!AA$18,0)</f>
        <v>25</v>
      </c>
      <c r="Z84" s="342">
        <f>ROUNDUP('Forecasting for Perfume 50ml'!$L144*Fractions!AB$18,0)</f>
        <v>13</v>
      </c>
      <c r="AA84" s="342">
        <f>ROUNDUP('Forecasting for Perfume 50ml'!$L144*Fractions!AC$18,0)</f>
        <v>8</v>
      </c>
      <c r="AB84" s="342">
        <f>ROUNDUP('Forecasting for Bodymist 100ml'!$L144*Fractions!AD$18,0)</f>
        <v>11</v>
      </c>
      <c r="AC84" s="342">
        <f>ROUNDUP('Forecasting for Bodymist 100ml'!$L144*Fractions!AE$18,0)</f>
        <v>8</v>
      </c>
      <c r="AD84" s="342">
        <f>ROUNDUP('Forecasting for Bodymist 100ml'!$L144*Fractions!AF$18,0)</f>
        <v>6</v>
      </c>
      <c r="AE84" s="342">
        <f>ROUNDUP('Forecasting for Bodymist 100ml'!$L144*Fractions!AG$18,0)</f>
        <v>12</v>
      </c>
    </row>
    <row r="85" spans="1:31" x14ac:dyDescent="0.35">
      <c r="A85" s="394">
        <v>45992</v>
      </c>
      <c r="B85" s="342">
        <f>ROUNDUP('Forecasting for Perfume 30ml '!$L145*Fractions!D$18,0)</f>
        <v>26</v>
      </c>
      <c r="C85" s="342">
        <f>ROUNDUP('Forecasting for Perfume 30ml '!$L145*Fractions!E$18,0)</f>
        <v>26</v>
      </c>
      <c r="D85" s="342">
        <f>ROUNDUP('Forecasting for Perfume 30ml '!$L145*Fractions!F$18,0)</f>
        <v>17</v>
      </c>
      <c r="E85" s="342">
        <f>ROUNDUP('Forecasting for Perfume 30ml '!$L145*Fractions!G$18,0)</f>
        <v>42</v>
      </c>
      <c r="F85" s="342">
        <f>ROUNDUP('Forecasting for Perfume 30ml '!$L145*Fractions!H$18,0)</f>
        <v>22</v>
      </c>
      <c r="G85" s="342">
        <f>ROUNDUP('Forecasting for Perfume 30ml '!$L145*Fractions!I$18,0)</f>
        <v>19</v>
      </c>
      <c r="H85" s="342">
        <f>ROUNDUP('Forecasting for Perfume 30ml '!$L145*Fractions!J$18,0)</f>
        <v>23</v>
      </c>
      <c r="I85" s="342">
        <f>ROUNDUP('Forecasting for Perfume 30ml '!$L145*Fractions!K$18,0)</f>
        <v>21</v>
      </c>
      <c r="J85" s="342">
        <f>ROUNDUP('Forecasting for Perfume 30ml '!$L145*Fractions!L$18,0)</f>
        <v>15</v>
      </c>
      <c r="K85" s="342">
        <f>ROUNDUP('Forecasting for Perfume 30ml '!$L145*Fractions!M$18,0)</f>
        <v>22</v>
      </c>
      <c r="L85" s="342">
        <f>ROUNDUP('Forecasting for Perfume 30ml '!$L145*Fractions!N$18,0)</f>
        <v>53</v>
      </c>
      <c r="M85" s="342">
        <f>ROUNDUP('Forecasting for Perfume 30ml '!$L145*Fractions!O$18,0)</f>
        <v>21</v>
      </c>
      <c r="N85" s="342">
        <f>ROUNDUP('Forecasting for Perfume 30ml '!$L145*Fractions!P$18,0)</f>
        <v>14</v>
      </c>
      <c r="O85" s="342">
        <f>ROUNDUP('Forecasting for Perfume 50ml'!$L145*Fractions!Q$18,0)</f>
        <v>29</v>
      </c>
      <c r="P85" s="342">
        <f>ROUNDUP('Forecasting for Perfume 50ml'!$L145*Fractions!R$18,0)</f>
        <v>30</v>
      </c>
      <c r="Q85" s="342">
        <f>ROUNDUP('Forecasting for Perfume 50ml'!$L145*Fractions!S$18,0)</f>
        <v>17</v>
      </c>
      <c r="R85" s="342">
        <f>ROUNDUP('Forecasting for Perfume 50ml'!$L145*Fractions!T$18,0)</f>
        <v>44</v>
      </c>
      <c r="S85" s="342">
        <f>ROUNDUP('Forecasting for Perfume 50ml'!$L145*Fractions!U$18,0)</f>
        <v>26</v>
      </c>
      <c r="T85" s="342">
        <f>ROUNDUP('Forecasting for Perfume 50ml'!$L145*Fractions!V$18,0)</f>
        <v>23</v>
      </c>
      <c r="U85" s="342">
        <f>ROUNDUP('Forecasting for Perfume 50ml'!$L145*Fractions!W$18,0)</f>
        <v>20</v>
      </c>
      <c r="V85" s="342">
        <f>ROUNDUP('Forecasting for Perfume 50ml'!$L145*Fractions!X$18,0)</f>
        <v>26</v>
      </c>
      <c r="W85" s="342">
        <f>ROUNDUP('Forecasting for Perfume 50ml'!$L145*Fractions!Y$18,0)</f>
        <v>16</v>
      </c>
      <c r="X85" s="342">
        <f>ROUNDUP('Forecasting for Perfume 50ml'!$L145*Fractions!Z$18,0)</f>
        <v>27</v>
      </c>
      <c r="Y85" s="342">
        <f>ROUNDUP('Forecasting for Perfume 50ml'!$L145*Fractions!AA$18,0)</f>
        <v>54</v>
      </c>
      <c r="Z85" s="342">
        <f>ROUNDUP('Forecasting for Perfume 50ml'!$L145*Fractions!AB$18,0)</f>
        <v>26</v>
      </c>
      <c r="AA85" s="342">
        <f>ROUNDUP('Forecasting for Perfume 50ml'!$L145*Fractions!AC$18,0)</f>
        <v>16</v>
      </c>
      <c r="AB85" s="342">
        <f>ROUNDUP('Forecasting for Bodymist 100ml'!$L145*Fractions!AD$18,0)</f>
        <v>28</v>
      </c>
      <c r="AC85" s="342">
        <f>ROUNDUP('Forecasting for Bodymist 100ml'!$L145*Fractions!AE$18,0)</f>
        <v>21</v>
      </c>
      <c r="AD85" s="342">
        <f>ROUNDUP('Forecasting for Bodymist 100ml'!$L145*Fractions!AF$18,0)</f>
        <v>16</v>
      </c>
      <c r="AE85" s="342">
        <f>ROUNDUP('Forecasting for Bodymist 100ml'!$L145*Fractions!AG$18,0)</f>
        <v>32</v>
      </c>
    </row>
    <row r="86" spans="1:31" x14ac:dyDescent="0.35">
      <c r="A86" s="395">
        <v>46023</v>
      </c>
      <c r="B86" s="396">
        <f>ROUNDUP('Forecasting for Perfume 30ml '!$L146*Fractions!D$18,0)</f>
        <v>9</v>
      </c>
      <c r="C86" s="396">
        <f>ROUNDUP('Forecasting for Perfume 30ml '!$L146*Fractions!E$18,0)</f>
        <v>9</v>
      </c>
      <c r="D86" s="396">
        <f>ROUNDUP('Forecasting for Perfume 30ml '!$L146*Fractions!F$18,0)</f>
        <v>6</v>
      </c>
      <c r="E86" s="396">
        <f>ROUNDUP('Forecasting for Perfume 30ml '!$L146*Fractions!G$18,0)</f>
        <v>13</v>
      </c>
      <c r="F86" s="396">
        <f>ROUNDUP('Forecasting for Perfume 30ml '!$L146*Fractions!H$18,0)</f>
        <v>7</v>
      </c>
      <c r="G86" s="396">
        <f>ROUNDUP('Forecasting for Perfume 30ml '!$L146*Fractions!I$18,0)</f>
        <v>7</v>
      </c>
      <c r="H86" s="396">
        <f>ROUNDUP('Forecasting for Perfume 30ml '!$L146*Fractions!J$18,0)</f>
        <v>8</v>
      </c>
      <c r="I86" s="396">
        <f>ROUNDUP('Forecasting for Perfume 30ml '!$L146*Fractions!K$18,0)</f>
        <v>7</v>
      </c>
      <c r="J86" s="396">
        <f>ROUNDUP('Forecasting for Perfume 30ml '!$L146*Fractions!L$18,0)</f>
        <v>5</v>
      </c>
      <c r="K86" s="396">
        <f>ROUNDUP('Forecasting for Perfume 30ml '!$L146*Fractions!M$18,0)</f>
        <v>7</v>
      </c>
      <c r="L86" s="396">
        <f>ROUNDUP('Forecasting for Perfume 30ml '!$L146*Fractions!N$18,0)</f>
        <v>17</v>
      </c>
      <c r="M86" s="396">
        <f>ROUNDUP('Forecasting for Perfume 30ml '!$L146*Fractions!O$18,0)</f>
        <v>7</v>
      </c>
      <c r="N86" s="396">
        <f>ROUNDUP('Forecasting for Perfume 30ml '!$L146*Fractions!P$18,0)</f>
        <v>5</v>
      </c>
      <c r="O86" s="396">
        <f>ROUNDUP('Forecasting for Perfume 50ml'!$L146*Fractions!Q$18,0)</f>
        <v>9</v>
      </c>
      <c r="P86" s="396">
        <f>ROUNDUP('Forecasting for Perfume 50ml'!$L146*Fractions!R$18,0)</f>
        <v>10</v>
      </c>
      <c r="Q86" s="396">
        <f>ROUNDUP('Forecasting for Perfume 50ml'!$L146*Fractions!S$18,0)</f>
        <v>6</v>
      </c>
      <c r="R86" s="396">
        <f>ROUNDUP('Forecasting for Perfume 50ml'!$L146*Fractions!T$18,0)</f>
        <v>14</v>
      </c>
      <c r="S86" s="396">
        <f>ROUNDUP('Forecasting for Perfume 50ml'!$L146*Fractions!U$18,0)</f>
        <v>8</v>
      </c>
      <c r="T86" s="396">
        <f>ROUNDUP('Forecasting for Perfume 50ml'!$L146*Fractions!V$18,0)</f>
        <v>8</v>
      </c>
      <c r="U86" s="396">
        <f>ROUNDUP('Forecasting for Perfume 50ml'!$L146*Fractions!W$18,0)</f>
        <v>6</v>
      </c>
      <c r="V86" s="396">
        <f>ROUNDUP('Forecasting for Perfume 50ml'!$L146*Fractions!X$18,0)</f>
        <v>8</v>
      </c>
      <c r="W86" s="396">
        <f>ROUNDUP('Forecasting for Perfume 50ml'!$L146*Fractions!Y$18,0)</f>
        <v>5</v>
      </c>
      <c r="X86" s="396">
        <f>ROUNDUP('Forecasting for Perfume 50ml'!$L146*Fractions!Z$18,0)</f>
        <v>9</v>
      </c>
      <c r="Y86" s="396">
        <f>ROUNDUP('Forecasting for Perfume 50ml'!$L146*Fractions!AA$18,0)</f>
        <v>17</v>
      </c>
      <c r="Z86" s="396">
        <f>ROUNDUP('Forecasting for Perfume 50ml'!$L146*Fractions!AB$18,0)</f>
        <v>8</v>
      </c>
      <c r="AA86" s="396">
        <f>ROUNDUP('Forecasting for Perfume 50ml'!$L146*Fractions!AC$18,0)</f>
        <v>5</v>
      </c>
      <c r="AB86" s="396">
        <f>ROUNDUP('Forecasting for Bodymist 100ml'!$L146*Fractions!AD$18,0)</f>
        <v>5</v>
      </c>
      <c r="AC86" s="396">
        <f>ROUNDUP('Forecasting for Bodymist 100ml'!$L146*Fractions!AE$18,0)</f>
        <v>4</v>
      </c>
      <c r="AD86" s="396">
        <f>ROUNDUP('Forecasting for Bodymist 100ml'!$L146*Fractions!AF$18,0)</f>
        <v>3</v>
      </c>
      <c r="AE86" s="396">
        <f>ROUNDUP('Forecasting for Bodymist 100ml'!$L146*Fractions!AG$18,0)</f>
        <v>5</v>
      </c>
    </row>
    <row r="87" spans="1:31" x14ac:dyDescent="0.35">
      <c r="A87" s="395">
        <v>46054</v>
      </c>
      <c r="B87" s="396">
        <f>ROUNDUP('Forecasting for Perfume 30ml '!$L147*Fractions!D$18,0)</f>
        <v>28</v>
      </c>
      <c r="C87" s="396">
        <f>ROUNDUP('Forecasting for Perfume 30ml '!$L147*Fractions!E$18,0)</f>
        <v>28</v>
      </c>
      <c r="D87" s="396">
        <f>ROUNDUP('Forecasting for Perfume 30ml '!$L147*Fractions!F$18,0)</f>
        <v>18</v>
      </c>
      <c r="E87" s="396">
        <f>ROUNDUP('Forecasting for Perfume 30ml '!$L147*Fractions!G$18,0)</f>
        <v>45</v>
      </c>
      <c r="F87" s="396">
        <f>ROUNDUP('Forecasting for Perfume 30ml '!$L147*Fractions!H$18,0)</f>
        <v>24</v>
      </c>
      <c r="G87" s="396">
        <f>ROUNDUP('Forecasting for Perfume 30ml '!$L147*Fractions!I$18,0)</f>
        <v>21</v>
      </c>
      <c r="H87" s="396">
        <f>ROUNDUP('Forecasting for Perfume 30ml '!$L147*Fractions!J$18,0)</f>
        <v>24</v>
      </c>
      <c r="I87" s="396">
        <f>ROUNDUP('Forecasting for Perfume 30ml '!$L147*Fractions!K$18,0)</f>
        <v>22</v>
      </c>
      <c r="J87" s="396">
        <f>ROUNDUP('Forecasting for Perfume 30ml '!$L147*Fractions!L$18,0)</f>
        <v>17</v>
      </c>
      <c r="K87" s="396">
        <f>ROUNDUP('Forecasting for Perfume 30ml '!$L147*Fractions!M$18,0)</f>
        <v>24</v>
      </c>
      <c r="L87" s="396">
        <f>ROUNDUP('Forecasting for Perfume 30ml '!$L147*Fractions!N$18,0)</f>
        <v>57</v>
      </c>
      <c r="M87" s="396">
        <f>ROUNDUP('Forecasting for Perfume 30ml '!$L147*Fractions!O$18,0)</f>
        <v>22</v>
      </c>
      <c r="N87" s="396">
        <f>ROUNDUP('Forecasting for Perfume 30ml '!$L147*Fractions!P$18,0)</f>
        <v>15</v>
      </c>
      <c r="O87" s="396">
        <f>ROUNDUP('Forecasting for Perfume 50ml'!$L147*Fractions!Q$18,0)</f>
        <v>26</v>
      </c>
      <c r="P87" s="396">
        <f>ROUNDUP('Forecasting for Perfume 50ml'!$L147*Fractions!R$18,0)</f>
        <v>28</v>
      </c>
      <c r="Q87" s="396">
        <f>ROUNDUP('Forecasting for Perfume 50ml'!$L147*Fractions!S$18,0)</f>
        <v>16</v>
      </c>
      <c r="R87" s="396">
        <f>ROUNDUP('Forecasting for Perfume 50ml'!$L147*Fractions!T$18,0)</f>
        <v>40</v>
      </c>
      <c r="S87" s="396">
        <f>ROUNDUP('Forecasting for Perfume 50ml'!$L147*Fractions!U$18,0)</f>
        <v>24</v>
      </c>
      <c r="T87" s="396">
        <f>ROUNDUP('Forecasting for Perfume 50ml'!$L147*Fractions!V$18,0)</f>
        <v>21</v>
      </c>
      <c r="U87" s="396">
        <f>ROUNDUP('Forecasting for Perfume 50ml'!$L147*Fractions!W$18,0)</f>
        <v>18</v>
      </c>
      <c r="V87" s="396">
        <f>ROUNDUP('Forecasting for Perfume 50ml'!$L147*Fractions!X$18,0)</f>
        <v>24</v>
      </c>
      <c r="W87" s="396">
        <f>ROUNDUP('Forecasting for Perfume 50ml'!$L147*Fractions!Y$18,0)</f>
        <v>14</v>
      </c>
      <c r="X87" s="396">
        <f>ROUNDUP('Forecasting for Perfume 50ml'!$L147*Fractions!Z$18,0)</f>
        <v>25</v>
      </c>
      <c r="Y87" s="396">
        <f>ROUNDUP('Forecasting for Perfume 50ml'!$L147*Fractions!AA$18,0)</f>
        <v>49</v>
      </c>
      <c r="Z87" s="396">
        <f>ROUNDUP('Forecasting for Perfume 50ml'!$L147*Fractions!AB$18,0)</f>
        <v>24</v>
      </c>
      <c r="AA87" s="396">
        <f>ROUNDUP('Forecasting for Perfume 50ml'!$L147*Fractions!AC$18,0)</f>
        <v>15</v>
      </c>
      <c r="AB87" s="396">
        <f>ROUNDUP('Forecasting for Bodymist 100ml'!$L147*Fractions!AD$18,0)</f>
        <v>17</v>
      </c>
      <c r="AC87" s="396">
        <f>ROUNDUP('Forecasting for Bodymist 100ml'!$L147*Fractions!AE$18,0)</f>
        <v>13</v>
      </c>
      <c r="AD87" s="396">
        <f>ROUNDUP('Forecasting for Bodymist 100ml'!$L147*Fractions!AF$18,0)</f>
        <v>10</v>
      </c>
      <c r="AE87" s="396">
        <f>ROUNDUP('Forecasting for Bodymist 100ml'!$L147*Fractions!AG$18,0)</f>
        <v>19</v>
      </c>
    </row>
    <row r="88" spans="1:31" x14ac:dyDescent="0.35">
      <c r="A88" s="395">
        <v>46082</v>
      </c>
      <c r="B88" s="396">
        <f>ROUNDUP('Forecasting for Perfume 30ml '!$L148*Fractions!D$18,0)</f>
        <v>12</v>
      </c>
      <c r="C88" s="396">
        <f>ROUNDUP('Forecasting for Perfume 30ml '!$L148*Fractions!E$18,0)</f>
        <v>12</v>
      </c>
      <c r="D88" s="396">
        <f>ROUNDUP('Forecasting for Perfume 30ml '!$L148*Fractions!F$18,0)</f>
        <v>8</v>
      </c>
      <c r="E88" s="396">
        <f>ROUNDUP('Forecasting for Perfume 30ml '!$L148*Fractions!G$18,0)</f>
        <v>18</v>
      </c>
      <c r="F88" s="396">
        <f>ROUNDUP('Forecasting for Perfume 30ml '!$L148*Fractions!H$18,0)</f>
        <v>10</v>
      </c>
      <c r="G88" s="396">
        <f>ROUNDUP('Forecasting for Perfume 30ml '!$L148*Fractions!I$18,0)</f>
        <v>9</v>
      </c>
      <c r="H88" s="396">
        <f>ROUNDUP('Forecasting for Perfume 30ml '!$L148*Fractions!J$18,0)</f>
        <v>10</v>
      </c>
      <c r="I88" s="396">
        <f>ROUNDUP('Forecasting for Perfume 30ml '!$L148*Fractions!K$18,0)</f>
        <v>9</v>
      </c>
      <c r="J88" s="396">
        <f>ROUNDUP('Forecasting for Perfume 30ml '!$L148*Fractions!L$18,0)</f>
        <v>7</v>
      </c>
      <c r="K88" s="396">
        <f>ROUNDUP('Forecasting for Perfume 30ml '!$L148*Fractions!M$18,0)</f>
        <v>10</v>
      </c>
      <c r="L88" s="396">
        <f>ROUNDUP('Forecasting for Perfume 30ml '!$L148*Fractions!N$18,0)</f>
        <v>23</v>
      </c>
      <c r="M88" s="396">
        <f>ROUNDUP('Forecasting for Perfume 30ml '!$L148*Fractions!O$18,0)</f>
        <v>9</v>
      </c>
      <c r="N88" s="396">
        <f>ROUNDUP('Forecasting for Perfume 30ml '!$L148*Fractions!P$18,0)</f>
        <v>6</v>
      </c>
      <c r="O88" s="396">
        <f>ROUNDUP('Forecasting for Perfume 50ml'!$L148*Fractions!Q$18,0)</f>
        <v>16</v>
      </c>
      <c r="P88" s="396">
        <f>ROUNDUP('Forecasting for Perfume 50ml'!$L148*Fractions!R$18,0)</f>
        <v>17</v>
      </c>
      <c r="Q88" s="396">
        <f>ROUNDUP('Forecasting for Perfume 50ml'!$L148*Fractions!S$18,0)</f>
        <v>10</v>
      </c>
      <c r="R88" s="396">
        <f>ROUNDUP('Forecasting for Perfume 50ml'!$L148*Fractions!T$18,0)</f>
        <v>24</v>
      </c>
      <c r="S88" s="396">
        <f>ROUNDUP('Forecasting for Perfume 50ml'!$L148*Fractions!U$18,0)</f>
        <v>14</v>
      </c>
      <c r="T88" s="396">
        <f>ROUNDUP('Forecasting for Perfume 50ml'!$L148*Fractions!V$18,0)</f>
        <v>13</v>
      </c>
      <c r="U88" s="396">
        <f>ROUNDUP('Forecasting for Perfume 50ml'!$L148*Fractions!W$18,0)</f>
        <v>11</v>
      </c>
      <c r="V88" s="396">
        <f>ROUNDUP('Forecasting for Perfume 50ml'!$L148*Fractions!X$18,0)</f>
        <v>15</v>
      </c>
      <c r="W88" s="396">
        <f>ROUNDUP('Forecasting for Perfume 50ml'!$L148*Fractions!Y$18,0)</f>
        <v>9</v>
      </c>
      <c r="X88" s="396">
        <f>ROUNDUP('Forecasting for Perfume 50ml'!$L148*Fractions!Z$18,0)</f>
        <v>15</v>
      </c>
      <c r="Y88" s="396">
        <f>ROUNDUP('Forecasting for Perfume 50ml'!$L148*Fractions!AA$18,0)</f>
        <v>29</v>
      </c>
      <c r="Z88" s="396">
        <f>ROUNDUP('Forecasting for Perfume 50ml'!$L148*Fractions!AB$18,0)</f>
        <v>15</v>
      </c>
      <c r="AA88" s="396">
        <f>ROUNDUP('Forecasting for Perfume 50ml'!$L148*Fractions!AC$18,0)</f>
        <v>9</v>
      </c>
      <c r="AB88" s="396">
        <f>ROUNDUP('Forecasting for Bodymist 100ml'!$L148*Fractions!AD$18,0)</f>
        <v>16</v>
      </c>
      <c r="AC88" s="396">
        <f>ROUNDUP('Forecasting for Bodymist 100ml'!$L148*Fractions!AE$18,0)</f>
        <v>12</v>
      </c>
      <c r="AD88" s="396">
        <f>ROUNDUP('Forecasting for Bodymist 100ml'!$L148*Fractions!AF$18,0)</f>
        <v>9</v>
      </c>
      <c r="AE88" s="396">
        <f>ROUNDUP('Forecasting for Bodymist 100ml'!$L148*Fractions!AG$18,0)</f>
        <v>18</v>
      </c>
    </row>
    <row r="89" spans="1:31" x14ac:dyDescent="0.35">
      <c r="A89" s="395">
        <v>46113</v>
      </c>
      <c r="B89" s="396">
        <f>ROUNDUP('Forecasting for Perfume 30ml '!$L149*Fractions!D$18,0)</f>
        <v>12</v>
      </c>
      <c r="C89" s="396">
        <f>ROUNDUP('Forecasting for Perfume 30ml '!$L149*Fractions!E$18,0)</f>
        <v>12</v>
      </c>
      <c r="D89" s="396">
        <f>ROUNDUP('Forecasting for Perfume 30ml '!$L149*Fractions!F$18,0)</f>
        <v>8</v>
      </c>
      <c r="E89" s="396">
        <f>ROUNDUP('Forecasting for Perfume 30ml '!$L149*Fractions!G$18,0)</f>
        <v>19</v>
      </c>
      <c r="F89" s="396">
        <f>ROUNDUP('Forecasting for Perfume 30ml '!$L149*Fractions!H$18,0)</f>
        <v>10</v>
      </c>
      <c r="G89" s="396">
        <f>ROUNDUP('Forecasting for Perfume 30ml '!$L149*Fractions!I$18,0)</f>
        <v>9</v>
      </c>
      <c r="H89" s="396">
        <f>ROUNDUP('Forecasting for Perfume 30ml '!$L149*Fractions!J$18,0)</f>
        <v>10</v>
      </c>
      <c r="I89" s="396">
        <f>ROUNDUP('Forecasting for Perfume 30ml '!$L149*Fractions!K$18,0)</f>
        <v>10</v>
      </c>
      <c r="J89" s="396">
        <f>ROUNDUP('Forecasting for Perfume 30ml '!$L149*Fractions!L$18,0)</f>
        <v>7</v>
      </c>
      <c r="K89" s="396">
        <f>ROUNDUP('Forecasting for Perfume 30ml '!$L149*Fractions!M$18,0)</f>
        <v>10</v>
      </c>
      <c r="L89" s="396">
        <f>ROUNDUP('Forecasting for Perfume 30ml '!$L149*Fractions!N$18,0)</f>
        <v>24</v>
      </c>
      <c r="M89" s="396">
        <f>ROUNDUP('Forecasting for Perfume 30ml '!$L149*Fractions!O$18,0)</f>
        <v>10</v>
      </c>
      <c r="N89" s="396">
        <f>ROUNDUP('Forecasting for Perfume 30ml '!$L149*Fractions!P$18,0)</f>
        <v>7</v>
      </c>
      <c r="O89" s="396">
        <f>ROUNDUP('Forecasting for Perfume 50ml'!$L149*Fractions!Q$18,0)</f>
        <v>12</v>
      </c>
      <c r="P89" s="396">
        <f>ROUNDUP('Forecasting for Perfume 50ml'!$L149*Fractions!R$18,0)</f>
        <v>13</v>
      </c>
      <c r="Q89" s="396">
        <f>ROUNDUP('Forecasting for Perfume 50ml'!$L149*Fractions!S$18,0)</f>
        <v>7</v>
      </c>
      <c r="R89" s="396">
        <f>ROUNDUP('Forecasting for Perfume 50ml'!$L149*Fractions!T$18,0)</f>
        <v>19</v>
      </c>
      <c r="S89" s="396">
        <f>ROUNDUP('Forecasting for Perfume 50ml'!$L149*Fractions!U$18,0)</f>
        <v>11</v>
      </c>
      <c r="T89" s="396">
        <f>ROUNDUP('Forecasting for Perfume 50ml'!$L149*Fractions!V$18,0)</f>
        <v>10</v>
      </c>
      <c r="U89" s="396">
        <f>ROUNDUP('Forecasting for Perfume 50ml'!$L149*Fractions!W$18,0)</f>
        <v>8</v>
      </c>
      <c r="V89" s="396">
        <f>ROUNDUP('Forecasting for Perfume 50ml'!$L149*Fractions!X$18,0)</f>
        <v>11</v>
      </c>
      <c r="W89" s="396">
        <f>ROUNDUP('Forecasting for Perfume 50ml'!$L149*Fractions!Y$18,0)</f>
        <v>7</v>
      </c>
      <c r="X89" s="396">
        <f>ROUNDUP('Forecasting for Perfume 50ml'!$L149*Fractions!Z$18,0)</f>
        <v>12</v>
      </c>
      <c r="Y89" s="396">
        <f>ROUNDUP('Forecasting for Perfume 50ml'!$L149*Fractions!AA$18,0)</f>
        <v>23</v>
      </c>
      <c r="Z89" s="396">
        <f>ROUNDUP('Forecasting for Perfume 50ml'!$L149*Fractions!AB$18,0)</f>
        <v>11</v>
      </c>
      <c r="AA89" s="396">
        <f>ROUNDUP('Forecasting for Perfume 50ml'!$L149*Fractions!AC$18,0)</f>
        <v>7</v>
      </c>
      <c r="AB89" s="396">
        <f>ROUNDUP('Forecasting for Bodymist 100ml'!$L149*Fractions!AD$18,0)</f>
        <v>9</v>
      </c>
      <c r="AC89" s="396">
        <f>ROUNDUP('Forecasting for Bodymist 100ml'!$L149*Fractions!AE$18,0)</f>
        <v>7</v>
      </c>
      <c r="AD89" s="396">
        <f>ROUNDUP('Forecasting for Bodymist 100ml'!$L149*Fractions!AF$18,0)</f>
        <v>5</v>
      </c>
      <c r="AE89" s="396">
        <f>ROUNDUP('Forecasting for Bodymist 100ml'!$L149*Fractions!AG$18,0)</f>
        <v>10</v>
      </c>
    </row>
    <row r="90" spans="1:31" x14ac:dyDescent="0.35">
      <c r="A90" s="395">
        <v>46143</v>
      </c>
      <c r="B90" s="396">
        <f>ROUNDUP('Forecasting for Perfume 30ml '!$L150*Fractions!D$18,0)</f>
        <v>17</v>
      </c>
      <c r="C90" s="396">
        <f>ROUNDUP('Forecasting for Perfume 30ml '!$L150*Fractions!E$18,0)</f>
        <v>17</v>
      </c>
      <c r="D90" s="396">
        <f>ROUNDUP('Forecasting for Perfume 30ml '!$L150*Fractions!F$18,0)</f>
        <v>11</v>
      </c>
      <c r="E90" s="396">
        <f>ROUNDUP('Forecasting for Perfume 30ml '!$L150*Fractions!G$18,0)</f>
        <v>27</v>
      </c>
      <c r="F90" s="396">
        <f>ROUNDUP('Forecasting for Perfume 30ml '!$L150*Fractions!H$18,0)</f>
        <v>15</v>
      </c>
      <c r="G90" s="396">
        <f>ROUNDUP('Forecasting for Perfume 30ml '!$L150*Fractions!I$18,0)</f>
        <v>13</v>
      </c>
      <c r="H90" s="396">
        <f>ROUNDUP('Forecasting for Perfume 30ml '!$L150*Fractions!J$18,0)</f>
        <v>15</v>
      </c>
      <c r="I90" s="396">
        <f>ROUNDUP('Forecasting for Perfume 30ml '!$L150*Fractions!K$18,0)</f>
        <v>14</v>
      </c>
      <c r="J90" s="396">
        <f>ROUNDUP('Forecasting for Perfume 30ml '!$L150*Fractions!L$18,0)</f>
        <v>10</v>
      </c>
      <c r="K90" s="396">
        <f>ROUNDUP('Forecasting for Perfume 30ml '!$L150*Fractions!M$18,0)</f>
        <v>14</v>
      </c>
      <c r="L90" s="396">
        <f>ROUNDUP('Forecasting for Perfume 30ml '!$L150*Fractions!N$18,0)</f>
        <v>35</v>
      </c>
      <c r="M90" s="396">
        <f>ROUNDUP('Forecasting for Perfume 30ml '!$L150*Fractions!O$18,0)</f>
        <v>14</v>
      </c>
      <c r="N90" s="396">
        <f>ROUNDUP('Forecasting for Perfume 30ml '!$L150*Fractions!P$18,0)</f>
        <v>9</v>
      </c>
      <c r="O90" s="396">
        <f>ROUNDUP('Forecasting for Perfume 50ml'!$L150*Fractions!Q$18,0)</f>
        <v>20</v>
      </c>
      <c r="P90" s="396">
        <f>ROUNDUP('Forecasting for Perfume 50ml'!$L150*Fractions!R$18,0)</f>
        <v>21</v>
      </c>
      <c r="Q90" s="396">
        <f>ROUNDUP('Forecasting for Perfume 50ml'!$L150*Fractions!S$18,0)</f>
        <v>12</v>
      </c>
      <c r="R90" s="396">
        <f>ROUNDUP('Forecasting for Perfume 50ml'!$L150*Fractions!T$18,0)</f>
        <v>30</v>
      </c>
      <c r="S90" s="396">
        <f>ROUNDUP('Forecasting for Perfume 50ml'!$L150*Fractions!U$18,0)</f>
        <v>18</v>
      </c>
      <c r="T90" s="396">
        <f>ROUNDUP('Forecasting for Perfume 50ml'!$L150*Fractions!V$18,0)</f>
        <v>16</v>
      </c>
      <c r="U90" s="396">
        <f>ROUNDUP('Forecasting for Perfume 50ml'!$L150*Fractions!W$18,0)</f>
        <v>13</v>
      </c>
      <c r="V90" s="396">
        <f>ROUNDUP('Forecasting for Perfume 50ml'!$L150*Fractions!X$18,0)</f>
        <v>18</v>
      </c>
      <c r="W90" s="396">
        <f>ROUNDUP('Forecasting for Perfume 50ml'!$L150*Fractions!Y$18,0)</f>
        <v>11</v>
      </c>
      <c r="X90" s="396">
        <f>ROUNDUP('Forecasting for Perfume 50ml'!$L150*Fractions!Z$18,0)</f>
        <v>19</v>
      </c>
      <c r="Y90" s="396">
        <f>ROUNDUP('Forecasting for Perfume 50ml'!$L150*Fractions!AA$18,0)</f>
        <v>36</v>
      </c>
      <c r="Z90" s="396">
        <f>ROUNDUP('Forecasting for Perfume 50ml'!$L150*Fractions!AB$18,0)</f>
        <v>18</v>
      </c>
      <c r="AA90" s="396">
        <f>ROUNDUP('Forecasting for Perfume 50ml'!$L150*Fractions!AC$18,0)</f>
        <v>11</v>
      </c>
      <c r="AB90" s="396">
        <f>ROUNDUP('Forecasting for Bodymist 100ml'!$L150*Fractions!AD$18,0)</f>
        <v>15</v>
      </c>
      <c r="AC90" s="396">
        <f>ROUNDUP('Forecasting for Bodymist 100ml'!$L150*Fractions!AE$18,0)</f>
        <v>11</v>
      </c>
      <c r="AD90" s="396">
        <f>ROUNDUP('Forecasting for Bodymist 100ml'!$L150*Fractions!AF$18,0)</f>
        <v>9</v>
      </c>
      <c r="AE90" s="396">
        <f>ROUNDUP('Forecasting for Bodymist 100ml'!$L150*Fractions!AG$18,0)</f>
        <v>17</v>
      </c>
    </row>
    <row r="91" spans="1:31" x14ac:dyDescent="0.35">
      <c r="A91" s="395">
        <v>46174</v>
      </c>
      <c r="B91" s="396">
        <f>ROUNDUP('Forecasting for Perfume 30ml '!$L151*Fractions!D$18,0)</f>
        <v>15</v>
      </c>
      <c r="C91" s="396">
        <f>ROUNDUP('Forecasting for Perfume 30ml '!$L151*Fractions!E$18,0)</f>
        <v>15</v>
      </c>
      <c r="D91" s="396">
        <f>ROUNDUP('Forecasting for Perfume 30ml '!$L151*Fractions!F$18,0)</f>
        <v>9</v>
      </c>
      <c r="E91" s="396">
        <f>ROUNDUP('Forecasting for Perfume 30ml '!$L151*Fractions!G$18,0)</f>
        <v>23</v>
      </c>
      <c r="F91" s="396">
        <f>ROUNDUP('Forecasting for Perfume 30ml '!$L151*Fractions!H$18,0)</f>
        <v>12</v>
      </c>
      <c r="G91" s="396">
        <f>ROUNDUP('Forecasting for Perfume 30ml '!$L151*Fractions!I$18,0)</f>
        <v>11</v>
      </c>
      <c r="H91" s="396">
        <f>ROUNDUP('Forecasting for Perfume 30ml '!$L151*Fractions!J$18,0)</f>
        <v>13</v>
      </c>
      <c r="I91" s="396">
        <f>ROUNDUP('Forecasting for Perfume 30ml '!$L151*Fractions!K$18,0)</f>
        <v>12</v>
      </c>
      <c r="J91" s="396">
        <f>ROUNDUP('Forecasting for Perfume 30ml '!$L151*Fractions!L$18,0)</f>
        <v>9</v>
      </c>
      <c r="K91" s="396">
        <f>ROUNDUP('Forecasting for Perfume 30ml '!$L151*Fractions!M$18,0)</f>
        <v>12</v>
      </c>
      <c r="L91" s="396">
        <f>ROUNDUP('Forecasting for Perfume 30ml '!$L151*Fractions!N$18,0)</f>
        <v>29</v>
      </c>
      <c r="M91" s="396">
        <f>ROUNDUP('Forecasting for Perfume 30ml '!$L151*Fractions!O$18,0)</f>
        <v>12</v>
      </c>
      <c r="N91" s="396">
        <f>ROUNDUP('Forecasting for Perfume 30ml '!$L151*Fractions!P$18,0)</f>
        <v>8</v>
      </c>
      <c r="O91" s="396">
        <f>ROUNDUP('Forecasting for Perfume 50ml'!$L151*Fractions!Q$18,0)</f>
        <v>15</v>
      </c>
      <c r="P91" s="396">
        <f>ROUNDUP('Forecasting for Perfume 50ml'!$L151*Fractions!R$18,0)</f>
        <v>16</v>
      </c>
      <c r="Q91" s="396">
        <f>ROUNDUP('Forecasting for Perfume 50ml'!$L151*Fractions!S$18,0)</f>
        <v>9</v>
      </c>
      <c r="R91" s="396">
        <f>ROUNDUP('Forecasting for Perfume 50ml'!$L151*Fractions!T$18,0)</f>
        <v>23</v>
      </c>
      <c r="S91" s="396">
        <f>ROUNDUP('Forecasting for Perfume 50ml'!$L151*Fractions!U$18,0)</f>
        <v>13</v>
      </c>
      <c r="T91" s="396">
        <f>ROUNDUP('Forecasting for Perfume 50ml'!$L151*Fractions!V$18,0)</f>
        <v>12</v>
      </c>
      <c r="U91" s="396">
        <f>ROUNDUP('Forecasting for Perfume 50ml'!$L151*Fractions!W$18,0)</f>
        <v>10</v>
      </c>
      <c r="V91" s="396">
        <f>ROUNDUP('Forecasting for Perfume 50ml'!$L151*Fractions!X$18,0)</f>
        <v>14</v>
      </c>
      <c r="W91" s="396">
        <f>ROUNDUP('Forecasting for Perfume 50ml'!$L151*Fractions!Y$18,0)</f>
        <v>8</v>
      </c>
      <c r="X91" s="396">
        <f>ROUNDUP('Forecasting for Perfume 50ml'!$L151*Fractions!Z$18,0)</f>
        <v>14</v>
      </c>
      <c r="Y91" s="396">
        <f>ROUNDUP('Forecasting for Perfume 50ml'!$L151*Fractions!AA$18,0)</f>
        <v>27</v>
      </c>
      <c r="Z91" s="396">
        <f>ROUNDUP('Forecasting for Perfume 50ml'!$L151*Fractions!AB$18,0)</f>
        <v>14</v>
      </c>
      <c r="AA91" s="396">
        <f>ROUNDUP('Forecasting for Perfume 50ml'!$L151*Fractions!AC$18,0)</f>
        <v>8</v>
      </c>
      <c r="AB91" s="396">
        <f>ROUNDUP('Forecasting for Bodymist 100ml'!$L151*Fractions!AD$18,0)</f>
        <v>15</v>
      </c>
      <c r="AC91" s="396">
        <f>ROUNDUP('Forecasting for Bodymist 100ml'!$L151*Fractions!AE$18,0)</f>
        <v>11</v>
      </c>
      <c r="AD91" s="396">
        <f>ROUNDUP('Forecasting for Bodymist 100ml'!$L151*Fractions!AF$18,0)</f>
        <v>9</v>
      </c>
      <c r="AE91" s="396">
        <f>ROUNDUP('Forecasting for Bodymist 100ml'!$L151*Fractions!AG$18,0)</f>
        <v>17</v>
      </c>
    </row>
    <row r="92" spans="1:31" x14ac:dyDescent="0.35">
      <c r="A92" s="395">
        <v>46204</v>
      </c>
      <c r="B92" s="396">
        <f>ROUNDUP('Forecasting for Perfume 30ml '!$L152*Fractions!D$18,0)</f>
        <v>13</v>
      </c>
      <c r="C92" s="396">
        <f>ROUNDUP('Forecasting for Perfume 30ml '!$L152*Fractions!E$18,0)</f>
        <v>13</v>
      </c>
      <c r="D92" s="396">
        <f>ROUNDUP('Forecasting for Perfume 30ml '!$L152*Fractions!F$18,0)</f>
        <v>8</v>
      </c>
      <c r="E92" s="396">
        <f>ROUNDUP('Forecasting for Perfume 30ml '!$L152*Fractions!G$18,0)</f>
        <v>20</v>
      </c>
      <c r="F92" s="396">
        <f>ROUNDUP('Forecasting for Perfume 30ml '!$L152*Fractions!H$18,0)</f>
        <v>11</v>
      </c>
      <c r="G92" s="396">
        <f>ROUNDUP('Forecasting for Perfume 30ml '!$L152*Fractions!I$18,0)</f>
        <v>10</v>
      </c>
      <c r="H92" s="396">
        <f>ROUNDUP('Forecasting for Perfume 30ml '!$L152*Fractions!J$18,0)</f>
        <v>11</v>
      </c>
      <c r="I92" s="396">
        <f>ROUNDUP('Forecasting for Perfume 30ml '!$L152*Fractions!K$18,0)</f>
        <v>10</v>
      </c>
      <c r="J92" s="396">
        <f>ROUNDUP('Forecasting for Perfume 30ml '!$L152*Fractions!L$18,0)</f>
        <v>8</v>
      </c>
      <c r="K92" s="396">
        <f>ROUNDUP('Forecasting for Perfume 30ml '!$L152*Fractions!M$18,0)</f>
        <v>11</v>
      </c>
      <c r="L92" s="396">
        <f>ROUNDUP('Forecasting for Perfume 30ml '!$L152*Fractions!N$18,0)</f>
        <v>26</v>
      </c>
      <c r="M92" s="396">
        <f>ROUNDUP('Forecasting for Perfume 30ml '!$L152*Fractions!O$18,0)</f>
        <v>10</v>
      </c>
      <c r="N92" s="396">
        <f>ROUNDUP('Forecasting for Perfume 30ml '!$L152*Fractions!P$18,0)</f>
        <v>7</v>
      </c>
      <c r="O92" s="396">
        <f>ROUNDUP('Forecasting for Perfume 50ml'!$L152*Fractions!Q$18,0)</f>
        <v>14</v>
      </c>
      <c r="P92" s="396">
        <f>ROUNDUP('Forecasting for Perfume 50ml'!$L152*Fractions!R$18,0)</f>
        <v>14</v>
      </c>
      <c r="Q92" s="396">
        <f>ROUNDUP('Forecasting for Perfume 50ml'!$L152*Fractions!S$18,0)</f>
        <v>8</v>
      </c>
      <c r="R92" s="396">
        <f>ROUNDUP('Forecasting for Perfume 50ml'!$L152*Fractions!T$18,0)</f>
        <v>21</v>
      </c>
      <c r="S92" s="396">
        <f>ROUNDUP('Forecasting for Perfume 50ml'!$L152*Fractions!U$18,0)</f>
        <v>12</v>
      </c>
      <c r="T92" s="396">
        <f>ROUNDUP('Forecasting for Perfume 50ml'!$L152*Fractions!V$18,0)</f>
        <v>11</v>
      </c>
      <c r="U92" s="396">
        <f>ROUNDUP('Forecasting for Perfume 50ml'!$L152*Fractions!W$18,0)</f>
        <v>9</v>
      </c>
      <c r="V92" s="396">
        <f>ROUNDUP('Forecasting for Perfume 50ml'!$L152*Fractions!X$18,0)</f>
        <v>13</v>
      </c>
      <c r="W92" s="396">
        <f>ROUNDUP('Forecasting for Perfume 50ml'!$L152*Fractions!Y$18,0)</f>
        <v>8</v>
      </c>
      <c r="X92" s="396">
        <f>ROUNDUP('Forecasting for Perfume 50ml'!$L152*Fractions!Z$18,0)</f>
        <v>13</v>
      </c>
      <c r="Y92" s="396">
        <f>ROUNDUP('Forecasting for Perfume 50ml'!$L152*Fractions!AA$18,0)</f>
        <v>25</v>
      </c>
      <c r="Z92" s="396">
        <f>ROUNDUP('Forecasting for Perfume 50ml'!$L152*Fractions!AB$18,0)</f>
        <v>13</v>
      </c>
      <c r="AA92" s="396">
        <f>ROUNDUP('Forecasting for Perfume 50ml'!$L152*Fractions!AC$18,0)</f>
        <v>8</v>
      </c>
      <c r="AB92" s="396">
        <f>ROUNDUP('Forecasting for Bodymist 100ml'!$L152*Fractions!AD$18,0)</f>
        <v>9</v>
      </c>
      <c r="AC92" s="396">
        <f>ROUNDUP('Forecasting for Bodymist 100ml'!$L152*Fractions!AE$18,0)</f>
        <v>7</v>
      </c>
      <c r="AD92" s="396">
        <f>ROUNDUP('Forecasting for Bodymist 100ml'!$L152*Fractions!AF$18,0)</f>
        <v>5</v>
      </c>
      <c r="AE92" s="396">
        <f>ROUNDUP('Forecasting for Bodymist 100ml'!$L152*Fractions!AG$18,0)</f>
        <v>11</v>
      </c>
    </row>
    <row r="93" spans="1:31" x14ac:dyDescent="0.35">
      <c r="A93" s="395">
        <v>46235</v>
      </c>
      <c r="B93" s="396">
        <f>ROUNDUP('Forecasting for Perfume 30ml '!$L153*Fractions!D$18,0)</f>
        <v>14</v>
      </c>
      <c r="C93" s="396">
        <f>ROUNDUP('Forecasting for Perfume 30ml '!$L153*Fractions!E$18,0)</f>
        <v>14</v>
      </c>
      <c r="D93" s="396">
        <f>ROUNDUP('Forecasting for Perfume 30ml '!$L153*Fractions!F$18,0)</f>
        <v>9</v>
      </c>
      <c r="E93" s="396">
        <f>ROUNDUP('Forecasting for Perfume 30ml '!$L153*Fractions!G$18,0)</f>
        <v>22</v>
      </c>
      <c r="F93" s="396">
        <f>ROUNDUP('Forecasting for Perfume 30ml '!$L153*Fractions!H$18,0)</f>
        <v>12</v>
      </c>
      <c r="G93" s="396">
        <f>ROUNDUP('Forecasting for Perfume 30ml '!$L153*Fractions!I$18,0)</f>
        <v>10</v>
      </c>
      <c r="H93" s="396">
        <f>ROUNDUP('Forecasting for Perfume 30ml '!$L153*Fractions!J$18,0)</f>
        <v>12</v>
      </c>
      <c r="I93" s="396">
        <f>ROUNDUP('Forecasting for Perfume 30ml '!$L153*Fractions!K$18,0)</f>
        <v>11</v>
      </c>
      <c r="J93" s="396">
        <f>ROUNDUP('Forecasting for Perfume 30ml '!$L153*Fractions!L$18,0)</f>
        <v>8</v>
      </c>
      <c r="K93" s="396">
        <f>ROUNDUP('Forecasting for Perfume 30ml '!$L153*Fractions!M$18,0)</f>
        <v>12</v>
      </c>
      <c r="L93" s="396">
        <f>ROUNDUP('Forecasting for Perfume 30ml '!$L153*Fractions!N$18,0)</f>
        <v>28</v>
      </c>
      <c r="M93" s="396">
        <f>ROUNDUP('Forecasting for Perfume 30ml '!$L153*Fractions!O$18,0)</f>
        <v>11</v>
      </c>
      <c r="N93" s="396">
        <f>ROUNDUP('Forecasting for Perfume 30ml '!$L153*Fractions!P$18,0)</f>
        <v>8</v>
      </c>
      <c r="O93" s="396">
        <f>ROUNDUP('Forecasting for Perfume 50ml'!$L153*Fractions!Q$18,0)</f>
        <v>15</v>
      </c>
      <c r="P93" s="396">
        <f>ROUNDUP('Forecasting for Perfume 50ml'!$L153*Fractions!R$18,0)</f>
        <v>15</v>
      </c>
      <c r="Q93" s="396">
        <f>ROUNDUP('Forecasting for Perfume 50ml'!$L153*Fractions!S$18,0)</f>
        <v>9</v>
      </c>
      <c r="R93" s="396">
        <f>ROUNDUP('Forecasting for Perfume 50ml'!$L153*Fractions!T$18,0)</f>
        <v>22</v>
      </c>
      <c r="S93" s="396">
        <f>ROUNDUP('Forecasting for Perfume 50ml'!$L153*Fractions!U$18,0)</f>
        <v>13</v>
      </c>
      <c r="T93" s="396">
        <f>ROUNDUP('Forecasting for Perfume 50ml'!$L153*Fractions!V$18,0)</f>
        <v>12</v>
      </c>
      <c r="U93" s="396">
        <f>ROUNDUP('Forecasting for Perfume 50ml'!$L153*Fractions!W$18,0)</f>
        <v>10</v>
      </c>
      <c r="V93" s="396">
        <f>ROUNDUP('Forecasting for Perfume 50ml'!$L153*Fractions!X$18,0)</f>
        <v>13</v>
      </c>
      <c r="W93" s="396">
        <f>ROUNDUP('Forecasting for Perfume 50ml'!$L153*Fractions!Y$18,0)</f>
        <v>8</v>
      </c>
      <c r="X93" s="396">
        <f>ROUNDUP('Forecasting for Perfume 50ml'!$L153*Fractions!Z$18,0)</f>
        <v>14</v>
      </c>
      <c r="Y93" s="396">
        <f>ROUNDUP('Forecasting for Perfume 50ml'!$L153*Fractions!AA$18,0)</f>
        <v>27</v>
      </c>
      <c r="Z93" s="396">
        <f>ROUNDUP('Forecasting for Perfume 50ml'!$L153*Fractions!AB$18,0)</f>
        <v>13</v>
      </c>
      <c r="AA93" s="396">
        <f>ROUNDUP('Forecasting for Perfume 50ml'!$L153*Fractions!AC$18,0)</f>
        <v>8</v>
      </c>
      <c r="AB93" s="396">
        <f>ROUNDUP('Forecasting for Bodymist 100ml'!$L153*Fractions!AD$18,0)</f>
        <v>12</v>
      </c>
      <c r="AC93" s="396">
        <f>ROUNDUP('Forecasting for Bodymist 100ml'!$L153*Fractions!AE$18,0)</f>
        <v>9</v>
      </c>
      <c r="AD93" s="396">
        <f>ROUNDUP('Forecasting for Bodymist 100ml'!$L153*Fractions!AF$18,0)</f>
        <v>7</v>
      </c>
      <c r="AE93" s="396">
        <f>ROUNDUP('Forecasting for Bodymist 100ml'!$L153*Fractions!AG$18,0)</f>
        <v>13</v>
      </c>
    </row>
    <row r="94" spans="1:31" x14ac:dyDescent="0.35">
      <c r="A94" s="395">
        <v>46266</v>
      </c>
      <c r="B94" s="396">
        <f>ROUNDUP('Forecasting for Perfume 30ml '!$L154*Fractions!D$18,0)</f>
        <v>14</v>
      </c>
      <c r="C94" s="396">
        <f>ROUNDUP('Forecasting for Perfume 30ml '!$L154*Fractions!E$18,0)</f>
        <v>14</v>
      </c>
      <c r="D94" s="396">
        <f>ROUNDUP('Forecasting for Perfume 30ml '!$L154*Fractions!F$18,0)</f>
        <v>9</v>
      </c>
      <c r="E94" s="396">
        <f>ROUNDUP('Forecasting for Perfume 30ml '!$L154*Fractions!G$18,0)</f>
        <v>22</v>
      </c>
      <c r="F94" s="396">
        <f>ROUNDUP('Forecasting for Perfume 30ml '!$L154*Fractions!H$18,0)</f>
        <v>12</v>
      </c>
      <c r="G94" s="396">
        <f>ROUNDUP('Forecasting for Perfume 30ml '!$L154*Fractions!I$18,0)</f>
        <v>10</v>
      </c>
      <c r="H94" s="396">
        <f>ROUNDUP('Forecasting for Perfume 30ml '!$L154*Fractions!J$18,0)</f>
        <v>12</v>
      </c>
      <c r="I94" s="396">
        <f>ROUNDUP('Forecasting for Perfume 30ml '!$L154*Fractions!K$18,0)</f>
        <v>11</v>
      </c>
      <c r="J94" s="396">
        <f>ROUNDUP('Forecasting for Perfume 30ml '!$L154*Fractions!L$18,0)</f>
        <v>8</v>
      </c>
      <c r="K94" s="396">
        <f>ROUNDUP('Forecasting for Perfume 30ml '!$L154*Fractions!M$18,0)</f>
        <v>12</v>
      </c>
      <c r="L94" s="396">
        <f>ROUNDUP('Forecasting for Perfume 30ml '!$L154*Fractions!N$18,0)</f>
        <v>28</v>
      </c>
      <c r="M94" s="396">
        <f>ROUNDUP('Forecasting for Perfume 30ml '!$L154*Fractions!O$18,0)</f>
        <v>11</v>
      </c>
      <c r="N94" s="396">
        <f>ROUNDUP('Forecasting for Perfume 30ml '!$L154*Fractions!P$18,0)</f>
        <v>8</v>
      </c>
      <c r="O94" s="396">
        <f>ROUNDUP('Forecasting for Perfume 50ml'!$L154*Fractions!Q$18,0)</f>
        <v>15</v>
      </c>
      <c r="P94" s="396">
        <f>ROUNDUP('Forecasting for Perfume 50ml'!$L154*Fractions!R$18,0)</f>
        <v>15</v>
      </c>
      <c r="Q94" s="396">
        <f>ROUNDUP('Forecasting for Perfume 50ml'!$L154*Fractions!S$18,0)</f>
        <v>9</v>
      </c>
      <c r="R94" s="396">
        <f>ROUNDUP('Forecasting for Perfume 50ml'!$L154*Fractions!T$18,0)</f>
        <v>22</v>
      </c>
      <c r="S94" s="396">
        <f>ROUNDUP('Forecasting for Perfume 50ml'!$L154*Fractions!U$18,0)</f>
        <v>13</v>
      </c>
      <c r="T94" s="396">
        <f>ROUNDUP('Forecasting for Perfume 50ml'!$L154*Fractions!V$18,0)</f>
        <v>12</v>
      </c>
      <c r="U94" s="396">
        <f>ROUNDUP('Forecasting for Perfume 50ml'!$L154*Fractions!W$18,0)</f>
        <v>10</v>
      </c>
      <c r="V94" s="396">
        <f>ROUNDUP('Forecasting for Perfume 50ml'!$L154*Fractions!X$18,0)</f>
        <v>13</v>
      </c>
      <c r="W94" s="396">
        <f>ROUNDUP('Forecasting for Perfume 50ml'!$L154*Fractions!Y$18,0)</f>
        <v>8</v>
      </c>
      <c r="X94" s="396">
        <f>ROUNDUP('Forecasting for Perfume 50ml'!$L154*Fractions!Z$18,0)</f>
        <v>14</v>
      </c>
      <c r="Y94" s="396">
        <f>ROUNDUP('Forecasting for Perfume 50ml'!$L154*Fractions!AA$18,0)</f>
        <v>27</v>
      </c>
      <c r="Z94" s="396">
        <f>ROUNDUP('Forecasting for Perfume 50ml'!$L154*Fractions!AB$18,0)</f>
        <v>13</v>
      </c>
      <c r="AA94" s="396">
        <f>ROUNDUP('Forecasting for Perfume 50ml'!$L154*Fractions!AC$18,0)</f>
        <v>8</v>
      </c>
      <c r="AB94" s="396">
        <f>ROUNDUP('Forecasting for Bodymist 100ml'!$L154*Fractions!AD$18,0)</f>
        <v>12</v>
      </c>
      <c r="AC94" s="396">
        <f>ROUNDUP('Forecasting for Bodymist 100ml'!$L154*Fractions!AE$18,0)</f>
        <v>9</v>
      </c>
      <c r="AD94" s="396">
        <f>ROUNDUP('Forecasting for Bodymist 100ml'!$L154*Fractions!AF$18,0)</f>
        <v>7</v>
      </c>
      <c r="AE94" s="396">
        <f>ROUNDUP('Forecasting for Bodymist 100ml'!$L154*Fractions!AG$18,0)</f>
        <v>13</v>
      </c>
    </row>
    <row r="95" spans="1:31" x14ac:dyDescent="0.35">
      <c r="A95" s="395">
        <v>46296</v>
      </c>
      <c r="B95" s="396">
        <f>ROUNDUP('Forecasting for Perfume 30ml '!$L155*Fractions!D$18,0)</f>
        <v>14</v>
      </c>
      <c r="C95" s="396">
        <f>ROUNDUP('Forecasting for Perfume 30ml '!$L155*Fractions!E$18,0)</f>
        <v>14</v>
      </c>
      <c r="D95" s="396">
        <f>ROUNDUP('Forecasting for Perfume 30ml '!$L155*Fractions!F$18,0)</f>
        <v>9</v>
      </c>
      <c r="E95" s="396">
        <f>ROUNDUP('Forecasting for Perfume 30ml '!$L155*Fractions!G$18,0)</f>
        <v>22</v>
      </c>
      <c r="F95" s="396">
        <f>ROUNDUP('Forecasting for Perfume 30ml '!$L155*Fractions!H$18,0)</f>
        <v>12</v>
      </c>
      <c r="G95" s="396">
        <f>ROUNDUP('Forecasting for Perfume 30ml '!$L155*Fractions!I$18,0)</f>
        <v>10</v>
      </c>
      <c r="H95" s="396">
        <f>ROUNDUP('Forecasting for Perfume 30ml '!$L155*Fractions!J$18,0)</f>
        <v>12</v>
      </c>
      <c r="I95" s="396">
        <f>ROUNDUP('Forecasting for Perfume 30ml '!$L155*Fractions!K$18,0)</f>
        <v>11</v>
      </c>
      <c r="J95" s="396">
        <f>ROUNDUP('Forecasting for Perfume 30ml '!$L155*Fractions!L$18,0)</f>
        <v>8</v>
      </c>
      <c r="K95" s="396">
        <f>ROUNDUP('Forecasting for Perfume 30ml '!$L155*Fractions!M$18,0)</f>
        <v>12</v>
      </c>
      <c r="L95" s="396">
        <f>ROUNDUP('Forecasting for Perfume 30ml '!$L155*Fractions!N$18,0)</f>
        <v>28</v>
      </c>
      <c r="M95" s="396">
        <f>ROUNDUP('Forecasting for Perfume 30ml '!$L155*Fractions!O$18,0)</f>
        <v>11</v>
      </c>
      <c r="N95" s="396">
        <f>ROUNDUP('Forecasting for Perfume 30ml '!$L155*Fractions!P$18,0)</f>
        <v>8</v>
      </c>
      <c r="O95" s="396">
        <f>ROUNDUP('Forecasting for Perfume 50ml'!$L155*Fractions!Q$18,0)</f>
        <v>15</v>
      </c>
      <c r="P95" s="396">
        <f>ROUNDUP('Forecasting for Perfume 50ml'!$L155*Fractions!R$18,0)</f>
        <v>15</v>
      </c>
      <c r="Q95" s="396">
        <f>ROUNDUP('Forecasting for Perfume 50ml'!$L155*Fractions!S$18,0)</f>
        <v>9</v>
      </c>
      <c r="R95" s="396">
        <f>ROUNDUP('Forecasting for Perfume 50ml'!$L155*Fractions!T$18,0)</f>
        <v>22</v>
      </c>
      <c r="S95" s="396">
        <f>ROUNDUP('Forecasting for Perfume 50ml'!$L155*Fractions!U$18,0)</f>
        <v>13</v>
      </c>
      <c r="T95" s="396">
        <f>ROUNDUP('Forecasting for Perfume 50ml'!$L155*Fractions!V$18,0)</f>
        <v>12</v>
      </c>
      <c r="U95" s="396">
        <f>ROUNDUP('Forecasting for Perfume 50ml'!$L155*Fractions!W$18,0)</f>
        <v>10</v>
      </c>
      <c r="V95" s="396">
        <f>ROUNDUP('Forecasting for Perfume 50ml'!$L155*Fractions!X$18,0)</f>
        <v>13</v>
      </c>
      <c r="W95" s="396">
        <f>ROUNDUP('Forecasting for Perfume 50ml'!$L155*Fractions!Y$18,0)</f>
        <v>8</v>
      </c>
      <c r="X95" s="396">
        <f>ROUNDUP('Forecasting for Perfume 50ml'!$L155*Fractions!Z$18,0)</f>
        <v>14</v>
      </c>
      <c r="Y95" s="396">
        <f>ROUNDUP('Forecasting for Perfume 50ml'!$L155*Fractions!AA$18,0)</f>
        <v>27</v>
      </c>
      <c r="Z95" s="396">
        <f>ROUNDUP('Forecasting for Perfume 50ml'!$L155*Fractions!AB$18,0)</f>
        <v>13</v>
      </c>
      <c r="AA95" s="396">
        <f>ROUNDUP('Forecasting for Perfume 50ml'!$L155*Fractions!AC$18,0)</f>
        <v>8</v>
      </c>
      <c r="AB95" s="396">
        <f>ROUNDUP('Forecasting for Bodymist 100ml'!$L155*Fractions!AD$18,0)</f>
        <v>12</v>
      </c>
      <c r="AC95" s="396">
        <f>ROUNDUP('Forecasting for Bodymist 100ml'!$L155*Fractions!AE$18,0)</f>
        <v>9</v>
      </c>
      <c r="AD95" s="396">
        <f>ROUNDUP('Forecasting for Bodymist 100ml'!$L155*Fractions!AF$18,0)</f>
        <v>7</v>
      </c>
      <c r="AE95" s="396">
        <f>ROUNDUP('Forecasting for Bodymist 100ml'!$L155*Fractions!AG$18,0)</f>
        <v>13</v>
      </c>
    </row>
    <row r="96" spans="1:31" x14ac:dyDescent="0.35">
      <c r="A96" s="395">
        <v>46327</v>
      </c>
      <c r="B96" s="396">
        <f>ROUNDUP('Forecasting for Perfume 30ml '!$L156*Fractions!D$18,0)</f>
        <v>14</v>
      </c>
      <c r="C96" s="396">
        <f>ROUNDUP('Forecasting for Perfume 30ml '!$L156*Fractions!E$18,0)</f>
        <v>14</v>
      </c>
      <c r="D96" s="396">
        <f>ROUNDUP('Forecasting for Perfume 30ml '!$L156*Fractions!F$18,0)</f>
        <v>9</v>
      </c>
      <c r="E96" s="396">
        <f>ROUNDUP('Forecasting for Perfume 30ml '!$L156*Fractions!G$18,0)</f>
        <v>22</v>
      </c>
      <c r="F96" s="396">
        <f>ROUNDUP('Forecasting for Perfume 30ml '!$L156*Fractions!H$18,0)</f>
        <v>12</v>
      </c>
      <c r="G96" s="396">
        <f>ROUNDUP('Forecasting for Perfume 30ml '!$L156*Fractions!I$18,0)</f>
        <v>10</v>
      </c>
      <c r="H96" s="396">
        <f>ROUNDUP('Forecasting for Perfume 30ml '!$L156*Fractions!J$18,0)</f>
        <v>12</v>
      </c>
      <c r="I96" s="396">
        <f>ROUNDUP('Forecasting for Perfume 30ml '!$L156*Fractions!K$18,0)</f>
        <v>11</v>
      </c>
      <c r="J96" s="396">
        <f>ROUNDUP('Forecasting for Perfume 30ml '!$L156*Fractions!L$18,0)</f>
        <v>8</v>
      </c>
      <c r="K96" s="396">
        <f>ROUNDUP('Forecasting for Perfume 30ml '!$L156*Fractions!M$18,0)</f>
        <v>12</v>
      </c>
      <c r="L96" s="396">
        <f>ROUNDUP('Forecasting for Perfume 30ml '!$L156*Fractions!N$18,0)</f>
        <v>28</v>
      </c>
      <c r="M96" s="396">
        <f>ROUNDUP('Forecasting for Perfume 30ml '!$L156*Fractions!O$18,0)</f>
        <v>11</v>
      </c>
      <c r="N96" s="396">
        <f>ROUNDUP('Forecasting for Perfume 30ml '!$L156*Fractions!P$18,0)</f>
        <v>8</v>
      </c>
      <c r="O96" s="396">
        <f>ROUNDUP('Forecasting for Perfume 50ml'!$L156*Fractions!Q$18,0)</f>
        <v>15</v>
      </c>
      <c r="P96" s="396">
        <f>ROUNDUP('Forecasting for Perfume 50ml'!$L156*Fractions!R$18,0)</f>
        <v>15</v>
      </c>
      <c r="Q96" s="396">
        <f>ROUNDUP('Forecasting for Perfume 50ml'!$L156*Fractions!S$18,0)</f>
        <v>9</v>
      </c>
      <c r="R96" s="396">
        <f>ROUNDUP('Forecasting for Perfume 50ml'!$L156*Fractions!T$18,0)</f>
        <v>22</v>
      </c>
      <c r="S96" s="396">
        <f>ROUNDUP('Forecasting for Perfume 50ml'!$L156*Fractions!U$18,0)</f>
        <v>13</v>
      </c>
      <c r="T96" s="396">
        <f>ROUNDUP('Forecasting for Perfume 50ml'!$L156*Fractions!V$18,0)</f>
        <v>12</v>
      </c>
      <c r="U96" s="396">
        <f>ROUNDUP('Forecasting for Perfume 50ml'!$L156*Fractions!W$18,0)</f>
        <v>10</v>
      </c>
      <c r="V96" s="396">
        <f>ROUNDUP('Forecasting for Perfume 50ml'!$L156*Fractions!X$18,0)</f>
        <v>13</v>
      </c>
      <c r="W96" s="396">
        <f>ROUNDUP('Forecasting for Perfume 50ml'!$L156*Fractions!Y$18,0)</f>
        <v>8</v>
      </c>
      <c r="X96" s="396">
        <f>ROUNDUP('Forecasting for Perfume 50ml'!$L156*Fractions!Z$18,0)</f>
        <v>14</v>
      </c>
      <c r="Y96" s="396">
        <f>ROUNDUP('Forecasting for Perfume 50ml'!$L156*Fractions!AA$18,0)</f>
        <v>27</v>
      </c>
      <c r="Z96" s="396">
        <f>ROUNDUP('Forecasting for Perfume 50ml'!$L156*Fractions!AB$18,0)</f>
        <v>13</v>
      </c>
      <c r="AA96" s="396">
        <f>ROUNDUP('Forecasting for Perfume 50ml'!$L156*Fractions!AC$18,0)</f>
        <v>8</v>
      </c>
      <c r="AB96" s="396">
        <f>ROUNDUP('Forecasting for Bodymist 100ml'!$L156*Fractions!AD$18,0)</f>
        <v>12</v>
      </c>
      <c r="AC96" s="396">
        <f>ROUNDUP('Forecasting for Bodymist 100ml'!$L156*Fractions!AE$18,0)</f>
        <v>9</v>
      </c>
      <c r="AD96" s="396">
        <f>ROUNDUP('Forecasting for Bodymist 100ml'!$L156*Fractions!AF$18,0)</f>
        <v>7</v>
      </c>
      <c r="AE96" s="396">
        <f>ROUNDUP('Forecasting for Bodymist 100ml'!$L156*Fractions!AG$18,0)</f>
        <v>13</v>
      </c>
    </row>
    <row r="97" spans="1:31" x14ac:dyDescent="0.35">
      <c r="A97" s="395">
        <v>46357</v>
      </c>
      <c r="B97" s="396">
        <f>ROUNDUP('Forecasting for Perfume 30ml '!$L157*Fractions!D$18,0)</f>
        <v>28</v>
      </c>
      <c r="C97" s="396">
        <f>ROUNDUP('Forecasting for Perfume 30ml '!$L157*Fractions!E$18,0)</f>
        <v>28</v>
      </c>
      <c r="D97" s="396">
        <f>ROUNDUP('Forecasting for Perfume 30ml '!$L157*Fractions!F$18,0)</f>
        <v>18</v>
      </c>
      <c r="E97" s="396">
        <f>ROUNDUP('Forecasting for Perfume 30ml '!$L157*Fractions!G$18,0)</f>
        <v>44</v>
      </c>
      <c r="F97" s="396">
        <f>ROUNDUP('Forecasting for Perfume 30ml '!$L157*Fractions!H$18,0)</f>
        <v>24</v>
      </c>
      <c r="G97" s="396">
        <f>ROUNDUP('Forecasting for Perfume 30ml '!$L157*Fractions!I$18,0)</f>
        <v>21</v>
      </c>
      <c r="H97" s="396">
        <f>ROUNDUP('Forecasting for Perfume 30ml '!$L157*Fractions!J$18,0)</f>
        <v>24</v>
      </c>
      <c r="I97" s="396">
        <f>ROUNDUP('Forecasting for Perfume 30ml '!$L157*Fractions!K$18,0)</f>
        <v>22</v>
      </c>
      <c r="J97" s="396">
        <f>ROUNDUP('Forecasting for Perfume 30ml '!$L157*Fractions!L$18,0)</f>
        <v>16</v>
      </c>
      <c r="K97" s="396">
        <f>ROUNDUP('Forecasting for Perfume 30ml '!$L157*Fractions!M$18,0)</f>
        <v>23</v>
      </c>
      <c r="L97" s="396">
        <f>ROUNDUP('Forecasting for Perfume 30ml '!$L157*Fractions!N$18,0)</f>
        <v>57</v>
      </c>
      <c r="M97" s="396">
        <f>ROUNDUP('Forecasting for Perfume 30ml '!$L157*Fractions!O$18,0)</f>
        <v>22</v>
      </c>
      <c r="N97" s="396">
        <f>ROUNDUP('Forecasting for Perfume 30ml '!$L157*Fractions!P$18,0)</f>
        <v>15</v>
      </c>
      <c r="O97" s="396">
        <f>ROUNDUP('Forecasting for Perfume 50ml'!$L157*Fractions!Q$18,0)</f>
        <v>31</v>
      </c>
      <c r="P97" s="396">
        <f>ROUNDUP('Forecasting for Perfume 50ml'!$L157*Fractions!R$18,0)</f>
        <v>32</v>
      </c>
      <c r="Q97" s="396">
        <f>ROUNDUP('Forecasting for Perfume 50ml'!$L157*Fractions!S$18,0)</f>
        <v>18</v>
      </c>
      <c r="R97" s="396">
        <f>ROUNDUP('Forecasting for Perfume 50ml'!$L157*Fractions!T$18,0)</f>
        <v>47</v>
      </c>
      <c r="S97" s="396">
        <f>ROUNDUP('Forecasting for Perfume 50ml'!$L157*Fractions!U$18,0)</f>
        <v>28</v>
      </c>
      <c r="T97" s="396">
        <f>ROUNDUP('Forecasting for Perfume 50ml'!$L157*Fractions!V$18,0)</f>
        <v>25</v>
      </c>
      <c r="U97" s="396">
        <f>ROUNDUP('Forecasting for Perfume 50ml'!$L157*Fractions!W$18,0)</f>
        <v>21</v>
      </c>
      <c r="V97" s="396">
        <f>ROUNDUP('Forecasting for Perfume 50ml'!$L157*Fractions!X$18,0)</f>
        <v>28</v>
      </c>
      <c r="W97" s="396">
        <f>ROUNDUP('Forecasting for Perfume 50ml'!$L157*Fractions!Y$18,0)</f>
        <v>17</v>
      </c>
      <c r="X97" s="396">
        <f>ROUNDUP('Forecasting for Perfume 50ml'!$L157*Fractions!Z$18,0)</f>
        <v>29</v>
      </c>
      <c r="Y97" s="396">
        <f>ROUNDUP('Forecasting for Perfume 50ml'!$L157*Fractions!AA$18,0)</f>
        <v>57</v>
      </c>
      <c r="Z97" s="396">
        <f>ROUNDUP('Forecasting for Perfume 50ml'!$L157*Fractions!AB$18,0)</f>
        <v>28</v>
      </c>
      <c r="AA97" s="396">
        <f>ROUNDUP('Forecasting for Perfume 50ml'!$L157*Fractions!AC$18,0)</f>
        <v>17</v>
      </c>
      <c r="AB97" s="396">
        <f>ROUNDUP('Forecasting for Bodymist 100ml'!$L157*Fractions!AD$18,0)</f>
        <v>30</v>
      </c>
      <c r="AC97" s="396">
        <f>ROUNDUP('Forecasting for Bodymist 100ml'!$L157*Fractions!AE$18,0)</f>
        <v>22</v>
      </c>
      <c r="AD97" s="396">
        <f>ROUNDUP('Forecasting for Bodymist 100ml'!$L157*Fractions!AF$18,0)</f>
        <v>17</v>
      </c>
      <c r="AE97" s="396">
        <f>ROUNDUP('Forecasting for Bodymist 100ml'!$L157*Fractions!AG$18,0)</f>
        <v>34</v>
      </c>
    </row>
    <row r="98" spans="1:31" x14ac:dyDescent="0.35">
      <c r="A98" s="394">
        <v>46388</v>
      </c>
      <c r="B98" s="342">
        <f>ROUNDUP('Forecasting for Perfume 30ml '!$L158*Fractions!D$18,0)</f>
        <v>9</v>
      </c>
      <c r="C98" s="342">
        <f>ROUNDUP('Forecasting for Perfume 30ml '!$L158*Fractions!E$18,0)</f>
        <v>9</v>
      </c>
      <c r="D98" s="342">
        <f>ROUNDUP('Forecasting for Perfume 30ml '!$L158*Fractions!F$18,0)</f>
        <v>6</v>
      </c>
      <c r="E98" s="342">
        <f>ROUNDUP('Forecasting for Perfume 30ml '!$L158*Fractions!G$18,0)</f>
        <v>14</v>
      </c>
      <c r="F98" s="342">
        <f>ROUNDUP('Forecasting for Perfume 30ml '!$L158*Fractions!H$18,0)</f>
        <v>8</v>
      </c>
      <c r="G98" s="342">
        <f>ROUNDUP('Forecasting for Perfume 30ml '!$L158*Fractions!I$18,0)</f>
        <v>7</v>
      </c>
      <c r="H98" s="342">
        <f>ROUNDUP('Forecasting for Perfume 30ml '!$L158*Fractions!J$18,0)</f>
        <v>8</v>
      </c>
      <c r="I98" s="342">
        <f>ROUNDUP('Forecasting for Perfume 30ml '!$L158*Fractions!K$18,0)</f>
        <v>7</v>
      </c>
      <c r="J98" s="342">
        <f>ROUNDUP('Forecasting for Perfume 30ml '!$L158*Fractions!L$18,0)</f>
        <v>5</v>
      </c>
      <c r="K98" s="342">
        <f>ROUNDUP('Forecasting for Perfume 30ml '!$L158*Fractions!M$18,0)</f>
        <v>8</v>
      </c>
      <c r="L98" s="342">
        <f>ROUNDUP('Forecasting for Perfume 30ml '!$L158*Fractions!N$18,0)</f>
        <v>18</v>
      </c>
      <c r="M98" s="342">
        <f>ROUNDUP('Forecasting for Perfume 30ml '!$L158*Fractions!O$18,0)</f>
        <v>7</v>
      </c>
      <c r="N98" s="342">
        <f>ROUNDUP('Forecasting for Perfume 30ml '!$L158*Fractions!P$18,0)</f>
        <v>5</v>
      </c>
      <c r="O98" s="342">
        <f>ROUNDUP('Forecasting for Perfume 50ml'!$L158*Fractions!Q$18,0)</f>
        <v>10</v>
      </c>
      <c r="P98" s="342">
        <f>ROUNDUP('Forecasting for Perfume 50ml'!$L158*Fractions!R$18,0)</f>
        <v>10</v>
      </c>
      <c r="Q98" s="342">
        <f>ROUNDUP('Forecasting for Perfume 50ml'!$L158*Fractions!S$18,0)</f>
        <v>6</v>
      </c>
      <c r="R98" s="342">
        <f>ROUNDUP('Forecasting for Perfume 50ml'!$L158*Fractions!T$18,0)</f>
        <v>15</v>
      </c>
      <c r="S98" s="342">
        <f>ROUNDUP('Forecasting for Perfume 50ml'!$L158*Fractions!U$18,0)</f>
        <v>9</v>
      </c>
      <c r="T98" s="342">
        <f>ROUNDUP('Forecasting for Perfume 50ml'!$L158*Fractions!V$18,0)</f>
        <v>8</v>
      </c>
      <c r="U98" s="342">
        <f>ROUNDUP('Forecasting for Perfume 50ml'!$L158*Fractions!W$18,0)</f>
        <v>7</v>
      </c>
      <c r="V98" s="342">
        <f>ROUNDUP('Forecasting for Perfume 50ml'!$L158*Fractions!X$18,0)</f>
        <v>9</v>
      </c>
      <c r="W98" s="342">
        <f>ROUNDUP('Forecasting for Perfume 50ml'!$L158*Fractions!Y$18,0)</f>
        <v>5</v>
      </c>
      <c r="X98" s="342">
        <f>ROUNDUP('Forecasting for Perfume 50ml'!$L158*Fractions!Z$18,0)</f>
        <v>9</v>
      </c>
      <c r="Y98" s="342">
        <f>ROUNDUP('Forecasting for Perfume 50ml'!$L158*Fractions!AA$18,0)</f>
        <v>18</v>
      </c>
      <c r="Z98" s="342">
        <f>ROUNDUP('Forecasting for Perfume 50ml'!$L158*Fractions!AB$18,0)</f>
        <v>9</v>
      </c>
      <c r="AA98" s="342">
        <f>ROUNDUP('Forecasting for Perfume 50ml'!$L158*Fractions!AC$18,0)</f>
        <v>6</v>
      </c>
      <c r="AB98" s="342">
        <f>ROUNDUP('Forecasting for Bodymist 100ml'!$L158*Fractions!AD$18,0)</f>
        <v>5</v>
      </c>
      <c r="AC98" s="342">
        <f>ROUNDUP('Forecasting for Bodymist 100ml'!$L158*Fractions!AE$18,0)</f>
        <v>4</v>
      </c>
      <c r="AD98" s="342">
        <f>ROUNDUP('Forecasting for Bodymist 100ml'!$L158*Fractions!AF$18,0)</f>
        <v>3</v>
      </c>
      <c r="AE98" s="342">
        <f>ROUNDUP('Forecasting for Bodymist 100ml'!$L158*Fractions!AG$18,0)</f>
        <v>5</v>
      </c>
    </row>
    <row r="99" spans="1:31" x14ac:dyDescent="0.35">
      <c r="A99" s="394">
        <v>46419</v>
      </c>
      <c r="B99" s="342">
        <f>ROUNDUP('Forecasting for Perfume 30ml '!$L159*Fractions!D$18,0)</f>
        <v>30</v>
      </c>
      <c r="C99" s="342">
        <f>ROUNDUP('Forecasting for Perfume 30ml '!$L159*Fractions!E$18,0)</f>
        <v>30</v>
      </c>
      <c r="D99" s="342">
        <f>ROUNDUP('Forecasting for Perfume 30ml '!$L159*Fractions!F$18,0)</f>
        <v>19</v>
      </c>
      <c r="E99" s="342">
        <f>ROUNDUP('Forecasting for Perfume 30ml '!$L159*Fractions!G$18,0)</f>
        <v>47</v>
      </c>
      <c r="F99" s="342">
        <f>ROUNDUP('Forecasting for Perfume 30ml '!$L159*Fractions!H$18,0)</f>
        <v>25</v>
      </c>
      <c r="G99" s="342">
        <f>ROUNDUP('Forecasting for Perfume 30ml '!$L159*Fractions!I$18,0)</f>
        <v>22</v>
      </c>
      <c r="H99" s="342">
        <f>ROUNDUP('Forecasting for Perfume 30ml '!$L159*Fractions!J$18,0)</f>
        <v>26</v>
      </c>
      <c r="I99" s="342">
        <f>ROUNDUP('Forecasting for Perfume 30ml '!$L159*Fractions!K$18,0)</f>
        <v>23</v>
      </c>
      <c r="J99" s="342">
        <f>ROUNDUP('Forecasting for Perfume 30ml '!$L159*Fractions!L$18,0)</f>
        <v>18</v>
      </c>
      <c r="K99" s="342">
        <f>ROUNDUP('Forecasting for Perfume 30ml '!$L159*Fractions!M$18,0)</f>
        <v>25</v>
      </c>
      <c r="L99" s="342">
        <f>ROUNDUP('Forecasting for Perfume 30ml '!$L159*Fractions!N$18,0)</f>
        <v>60</v>
      </c>
      <c r="M99" s="342">
        <f>ROUNDUP('Forecasting for Perfume 30ml '!$L159*Fractions!O$18,0)</f>
        <v>24</v>
      </c>
      <c r="N99" s="342">
        <f>ROUNDUP('Forecasting for Perfume 30ml '!$L159*Fractions!P$18,0)</f>
        <v>16</v>
      </c>
      <c r="O99" s="342">
        <f>ROUNDUP('Forecasting for Perfume 50ml'!$L159*Fractions!Q$18,0)</f>
        <v>28</v>
      </c>
      <c r="P99" s="342">
        <f>ROUNDUP('Forecasting for Perfume 50ml'!$L159*Fractions!R$18,0)</f>
        <v>29</v>
      </c>
      <c r="Q99" s="342">
        <f>ROUNDUP('Forecasting for Perfume 50ml'!$L159*Fractions!S$18,0)</f>
        <v>17</v>
      </c>
      <c r="R99" s="342">
        <f>ROUNDUP('Forecasting for Perfume 50ml'!$L159*Fractions!T$18,0)</f>
        <v>43</v>
      </c>
      <c r="S99" s="342">
        <f>ROUNDUP('Forecasting for Perfume 50ml'!$L159*Fractions!U$18,0)</f>
        <v>25</v>
      </c>
      <c r="T99" s="342">
        <f>ROUNDUP('Forecasting for Perfume 50ml'!$L159*Fractions!V$18,0)</f>
        <v>23</v>
      </c>
      <c r="U99" s="342">
        <f>ROUNDUP('Forecasting for Perfume 50ml'!$L159*Fractions!W$18,0)</f>
        <v>19</v>
      </c>
      <c r="V99" s="342">
        <f>ROUNDUP('Forecasting for Perfume 50ml'!$L159*Fractions!X$18,0)</f>
        <v>25</v>
      </c>
      <c r="W99" s="342">
        <f>ROUNDUP('Forecasting for Perfume 50ml'!$L159*Fractions!Y$18,0)</f>
        <v>15</v>
      </c>
      <c r="X99" s="342">
        <f>ROUNDUP('Forecasting for Perfume 50ml'!$L159*Fractions!Z$18,0)</f>
        <v>27</v>
      </c>
      <c r="Y99" s="342">
        <f>ROUNDUP('Forecasting for Perfume 50ml'!$L159*Fractions!AA$18,0)</f>
        <v>52</v>
      </c>
      <c r="Z99" s="342">
        <f>ROUNDUP('Forecasting for Perfume 50ml'!$L159*Fractions!AB$18,0)</f>
        <v>26</v>
      </c>
      <c r="AA99" s="342">
        <f>ROUNDUP('Forecasting for Perfume 50ml'!$L159*Fractions!AC$18,0)</f>
        <v>16</v>
      </c>
      <c r="AB99" s="342">
        <f>ROUNDUP('Forecasting for Bodymist 100ml'!$L159*Fractions!AD$18,0)</f>
        <v>18</v>
      </c>
      <c r="AC99" s="342">
        <f>ROUNDUP('Forecasting for Bodymist 100ml'!$L159*Fractions!AE$18,0)</f>
        <v>13</v>
      </c>
      <c r="AD99" s="342">
        <f>ROUNDUP('Forecasting for Bodymist 100ml'!$L159*Fractions!AF$18,0)</f>
        <v>10</v>
      </c>
      <c r="AE99" s="342">
        <f>ROUNDUP('Forecasting for Bodymist 100ml'!$L159*Fractions!AG$18,0)</f>
        <v>20</v>
      </c>
    </row>
    <row r="100" spans="1:31" x14ac:dyDescent="0.35">
      <c r="A100" s="394">
        <v>46447</v>
      </c>
      <c r="B100" s="342">
        <f>ROUNDUP('Forecasting for Perfume 30ml '!$L160*Fractions!D$18,0)</f>
        <v>12</v>
      </c>
      <c r="C100" s="342">
        <f>ROUNDUP('Forecasting for Perfume 30ml '!$L160*Fractions!E$18,0)</f>
        <v>12</v>
      </c>
      <c r="D100" s="342">
        <f>ROUNDUP('Forecasting for Perfume 30ml '!$L160*Fractions!F$18,0)</f>
        <v>8</v>
      </c>
      <c r="E100" s="342">
        <f>ROUNDUP('Forecasting for Perfume 30ml '!$L160*Fractions!G$18,0)</f>
        <v>20</v>
      </c>
      <c r="F100" s="342">
        <f>ROUNDUP('Forecasting for Perfume 30ml '!$L160*Fractions!H$18,0)</f>
        <v>11</v>
      </c>
      <c r="G100" s="342">
        <f>ROUNDUP('Forecasting for Perfume 30ml '!$L160*Fractions!I$18,0)</f>
        <v>9</v>
      </c>
      <c r="H100" s="342">
        <f>ROUNDUP('Forecasting for Perfume 30ml '!$L160*Fractions!J$18,0)</f>
        <v>11</v>
      </c>
      <c r="I100" s="342">
        <f>ROUNDUP('Forecasting for Perfume 30ml '!$L160*Fractions!K$18,0)</f>
        <v>10</v>
      </c>
      <c r="J100" s="342">
        <f>ROUNDUP('Forecasting for Perfume 30ml '!$L160*Fractions!L$18,0)</f>
        <v>7</v>
      </c>
      <c r="K100" s="342">
        <f>ROUNDUP('Forecasting for Perfume 30ml '!$L160*Fractions!M$18,0)</f>
        <v>10</v>
      </c>
      <c r="L100" s="342">
        <f>ROUNDUP('Forecasting for Perfume 30ml '!$L160*Fractions!N$18,0)</f>
        <v>25</v>
      </c>
      <c r="M100" s="342">
        <f>ROUNDUP('Forecasting for Perfume 30ml '!$L160*Fractions!O$18,0)</f>
        <v>10</v>
      </c>
      <c r="N100" s="342">
        <f>ROUNDUP('Forecasting for Perfume 30ml '!$L160*Fractions!P$18,0)</f>
        <v>7</v>
      </c>
      <c r="O100" s="342">
        <f>ROUNDUP('Forecasting for Perfume 50ml'!$L160*Fractions!Q$18,0)</f>
        <v>17</v>
      </c>
      <c r="P100" s="342">
        <f>ROUNDUP('Forecasting for Perfume 50ml'!$L160*Fractions!R$18,0)</f>
        <v>18</v>
      </c>
      <c r="Q100" s="342">
        <f>ROUNDUP('Forecasting for Perfume 50ml'!$L160*Fractions!S$18,0)</f>
        <v>10</v>
      </c>
      <c r="R100" s="342">
        <f>ROUNDUP('Forecasting for Perfume 50ml'!$L160*Fractions!T$18,0)</f>
        <v>26</v>
      </c>
      <c r="S100" s="342">
        <f>ROUNDUP('Forecasting for Perfume 50ml'!$L160*Fractions!U$18,0)</f>
        <v>15</v>
      </c>
      <c r="T100" s="342">
        <f>ROUNDUP('Forecasting for Perfume 50ml'!$L160*Fractions!V$18,0)</f>
        <v>14</v>
      </c>
      <c r="U100" s="342">
        <f>ROUNDUP('Forecasting for Perfume 50ml'!$L160*Fractions!W$18,0)</f>
        <v>12</v>
      </c>
      <c r="V100" s="342">
        <f>ROUNDUP('Forecasting for Perfume 50ml'!$L160*Fractions!X$18,0)</f>
        <v>15</v>
      </c>
      <c r="W100" s="342">
        <f>ROUNDUP('Forecasting for Perfume 50ml'!$L160*Fractions!Y$18,0)</f>
        <v>9</v>
      </c>
      <c r="X100" s="342">
        <f>ROUNDUP('Forecasting for Perfume 50ml'!$L160*Fractions!Z$18,0)</f>
        <v>16</v>
      </c>
      <c r="Y100" s="342">
        <f>ROUNDUP('Forecasting for Perfume 50ml'!$L160*Fractions!AA$18,0)</f>
        <v>31</v>
      </c>
      <c r="Z100" s="342">
        <f>ROUNDUP('Forecasting for Perfume 50ml'!$L160*Fractions!AB$18,0)</f>
        <v>15</v>
      </c>
      <c r="AA100" s="342">
        <f>ROUNDUP('Forecasting for Perfume 50ml'!$L160*Fractions!AC$18,0)</f>
        <v>10</v>
      </c>
      <c r="AB100" s="342">
        <f>ROUNDUP('Forecasting for Bodymist 100ml'!$L160*Fractions!AD$18,0)</f>
        <v>17</v>
      </c>
      <c r="AC100" s="342">
        <f>ROUNDUP('Forecasting for Bodymist 100ml'!$L160*Fractions!AE$18,0)</f>
        <v>12</v>
      </c>
      <c r="AD100" s="342">
        <f>ROUNDUP('Forecasting for Bodymist 100ml'!$L160*Fractions!AF$18,0)</f>
        <v>9</v>
      </c>
      <c r="AE100" s="342">
        <f>ROUNDUP('Forecasting for Bodymist 100ml'!$L160*Fractions!AG$18,0)</f>
        <v>19</v>
      </c>
    </row>
    <row r="101" spans="1:31" x14ac:dyDescent="0.35">
      <c r="A101" s="394">
        <v>46478</v>
      </c>
      <c r="B101" s="342">
        <f>ROUNDUP('Forecasting for Perfume 30ml '!$L161*Fractions!D$18,0)</f>
        <v>13</v>
      </c>
      <c r="C101" s="342">
        <f>ROUNDUP('Forecasting for Perfume 30ml '!$L161*Fractions!E$18,0)</f>
        <v>13</v>
      </c>
      <c r="D101" s="342">
        <f>ROUNDUP('Forecasting for Perfume 30ml '!$L161*Fractions!F$18,0)</f>
        <v>8</v>
      </c>
      <c r="E101" s="342">
        <f>ROUNDUP('Forecasting for Perfume 30ml '!$L161*Fractions!G$18,0)</f>
        <v>20</v>
      </c>
      <c r="F101" s="342">
        <f>ROUNDUP('Forecasting for Perfume 30ml '!$L161*Fractions!H$18,0)</f>
        <v>11</v>
      </c>
      <c r="G101" s="342">
        <f>ROUNDUP('Forecasting for Perfume 30ml '!$L161*Fractions!I$18,0)</f>
        <v>9</v>
      </c>
      <c r="H101" s="342">
        <f>ROUNDUP('Forecasting for Perfume 30ml '!$L161*Fractions!J$18,0)</f>
        <v>11</v>
      </c>
      <c r="I101" s="342">
        <f>ROUNDUP('Forecasting for Perfume 30ml '!$L161*Fractions!K$18,0)</f>
        <v>10</v>
      </c>
      <c r="J101" s="342">
        <f>ROUNDUP('Forecasting for Perfume 30ml '!$L161*Fractions!L$18,0)</f>
        <v>8</v>
      </c>
      <c r="K101" s="342">
        <f>ROUNDUP('Forecasting for Perfume 30ml '!$L161*Fractions!M$18,0)</f>
        <v>11</v>
      </c>
      <c r="L101" s="342">
        <f>ROUNDUP('Forecasting for Perfume 30ml '!$L161*Fractions!N$18,0)</f>
        <v>25</v>
      </c>
      <c r="M101" s="342">
        <f>ROUNDUP('Forecasting for Perfume 30ml '!$L161*Fractions!O$18,0)</f>
        <v>10</v>
      </c>
      <c r="N101" s="342">
        <f>ROUNDUP('Forecasting for Perfume 30ml '!$L161*Fractions!P$18,0)</f>
        <v>7</v>
      </c>
      <c r="O101" s="342">
        <f>ROUNDUP('Forecasting for Perfume 50ml'!$L161*Fractions!Q$18,0)</f>
        <v>13</v>
      </c>
      <c r="P101" s="342">
        <f>ROUNDUP('Forecasting for Perfume 50ml'!$L161*Fractions!R$18,0)</f>
        <v>14</v>
      </c>
      <c r="Q101" s="342">
        <f>ROUNDUP('Forecasting for Perfume 50ml'!$L161*Fractions!S$18,0)</f>
        <v>8</v>
      </c>
      <c r="R101" s="342">
        <f>ROUNDUP('Forecasting for Perfume 50ml'!$L161*Fractions!T$18,0)</f>
        <v>20</v>
      </c>
      <c r="S101" s="342">
        <f>ROUNDUP('Forecasting for Perfume 50ml'!$L161*Fractions!U$18,0)</f>
        <v>12</v>
      </c>
      <c r="T101" s="342">
        <f>ROUNDUP('Forecasting for Perfume 50ml'!$L161*Fractions!V$18,0)</f>
        <v>11</v>
      </c>
      <c r="U101" s="342">
        <f>ROUNDUP('Forecasting for Perfume 50ml'!$L161*Fractions!W$18,0)</f>
        <v>9</v>
      </c>
      <c r="V101" s="342">
        <f>ROUNDUP('Forecasting for Perfume 50ml'!$L161*Fractions!X$18,0)</f>
        <v>12</v>
      </c>
      <c r="W101" s="342">
        <f>ROUNDUP('Forecasting for Perfume 50ml'!$L161*Fractions!Y$18,0)</f>
        <v>7</v>
      </c>
      <c r="X101" s="342">
        <f>ROUNDUP('Forecasting for Perfume 50ml'!$L161*Fractions!Z$18,0)</f>
        <v>12</v>
      </c>
      <c r="Y101" s="342">
        <f>ROUNDUP('Forecasting for Perfume 50ml'!$L161*Fractions!AA$18,0)</f>
        <v>24</v>
      </c>
      <c r="Z101" s="342">
        <f>ROUNDUP('Forecasting for Perfume 50ml'!$L161*Fractions!AB$18,0)</f>
        <v>12</v>
      </c>
      <c r="AA101" s="342">
        <f>ROUNDUP('Forecasting for Perfume 50ml'!$L161*Fractions!AC$18,0)</f>
        <v>7</v>
      </c>
      <c r="AB101" s="342">
        <f>ROUNDUP('Forecasting for Bodymist 100ml'!$L161*Fractions!AD$18,0)</f>
        <v>9</v>
      </c>
      <c r="AC101" s="342">
        <f>ROUNDUP('Forecasting for Bodymist 100ml'!$L161*Fractions!AE$18,0)</f>
        <v>7</v>
      </c>
      <c r="AD101" s="342">
        <f>ROUNDUP('Forecasting for Bodymist 100ml'!$L161*Fractions!AF$18,0)</f>
        <v>5</v>
      </c>
      <c r="AE101" s="342">
        <f>ROUNDUP('Forecasting for Bodymist 100ml'!$L161*Fractions!AG$18,0)</f>
        <v>10</v>
      </c>
    </row>
    <row r="102" spans="1:31" x14ac:dyDescent="0.35">
      <c r="A102" s="394">
        <v>46508</v>
      </c>
      <c r="B102" s="342">
        <f>ROUNDUP('Forecasting for Perfume 30ml '!$L162*Fractions!D$18,0)</f>
        <v>18</v>
      </c>
      <c r="C102" s="342">
        <f>ROUNDUP('Forecasting for Perfume 30ml '!$L162*Fractions!E$18,0)</f>
        <v>18</v>
      </c>
      <c r="D102" s="342">
        <f>ROUNDUP('Forecasting for Perfume 30ml '!$L162*Fractions!F$18,0)</f>
        <v>12</v>
      </c>
      <c r="E102" s="342">
        <f>ROUNDUP('Forecasting for Perfume 30ml '!$L162*Fractions!G$18,0)</f>
        <v>29</v>
      </c>
      <c r="F102" s="342">
        <f>ROUNDUP('Forecasting for Perfume 30ml '!$L162*Fractions!H$18,0)</f>
        <v>15</v>
      </c>
      <c r="G102" s="342">
        <f>ROUNDUP('Forecasting for Perfume 30ml '!$L162*Fractions!I$18,0)</f>
        <v>14</v>
      </c>
      <c r="H102" s="342">
        <f>ROUNDUP('Forecasting for Perfume 30ml '!$L162*Fractions!J$18,0)</f>
        <v>16</v>
      </c>
      <c r="I102" s="342">
        <f>ROUNDUP('Forecasting for Perfume 30ml '!$L162*Fractions!K$18,0)</f>
        <v>14</v>
      </c>
      <c r="J102" s="342">
        <f>ROUNDUP('Forecasting for Perfume 30ml '!$L162*Fractions!L$18,0)</f>
        <v>11</v>
      </c>
      <c r="K102" s="342">
        <f>ROUNDUP('Forecasting for Perfume 30ml '!$L162*Fractions!M$18,0)</f>
        <v>15</v>
      </c>
      <c r="L102" s="342">
        <f>ROUNDUP('Forecasting for Perfume 30ml '!$L162*Fractions!N$18,0)</f>
        <v>37</v>
      </c>
      <c r="M102" s="342">
        <f>ROUNDUP('Forecasting for Perfume 30ml '!$L162*Fractions!O$18,0)</f>
        <v>15</v>
      </c>
      <c r="N102" s="342">
        <f>ROUNDUP('Forecasting for Perfume 30ml '!$L162*Fractions!P$18,0)</f>
        <v>10</v>
      </c>
      <c r="O102" s="342">
        <f>ROUNDUP('Forecasting for Perfume 50ml'!$L162*Fractions!Q$18,0)</f>
        <v>21</v>
      </c>
      <c r="P102" s="342">
        <f>ROUNDUP('Forecasting for Perfume 50ml'!$L162*Fractions!R$18,0)</f>
        <v>22</v>
      </c>
      <c r="Q102" s="342">
        <f>ROUNDUP('Forecasting for Perfume 50ml'!$L162*Fractions!S$18,0)</f>
        <v>13</v>
      </c>
      <c r="R102" s="342">
        <f>ROUNDUP('Forecasting for Perfume 50ml'!$L162*Fractions!T$18,0)</f>
        <v>32</v>
      </c>
      <c r="S102" s="342">
        <f>ROUNDUP('Forecasting for Perfume 50ml'!$L162*Fractions!U$18,0)</f>
        <v>19</v>
      </c>
      <c r="T102" s="342">
        <f>ROUNDUP('Forecasting for Perfume 50ml'!$L162*Fractions!V$18,0)</f>
        <v>17</v>
      </c>
      <c r="U102" s="342">
        <f>ROUNDUP('Forecasting for Perfume 50ml'!$L162*Fractions!W$18,0)</f>
        <v>14</v>
      </c>
      <c r="V102" s="342">
        <f>ROUNDUP('Forecasting for Perfume 50ml'!$L162*Fractions!X$18,0)</f>
        <v>19</v>
      </c>
      <c r="W102" s="342">
        <f>ROUNDUP('Forecasting for Perfume 50ml'!$L162*Fractions!Y$18,0)</f>
        <v>12</v>
      </c>
      <c r="X102" s="342">
        <f>ROUNDUP('Forecasting for Perfume 50ml'!$L162*Fractions!Z$18,0)</f>
        <v>20</v>
      </c>
      <c r="Y102" s="342">
        <f>ROUNDUP('Forecasting for Perfume 50ml'!$L162*Fractions!AA$18,0)</f>
        <v>39</v>
      </c>
      <c r="Z102" s="342">
        <f>ROUNDUP('Forecasting for Perfume 50ml'!$L162*Fractions!AB$18,0)</f>
        <v>19</v>
      </c>
      <c r="AA102" s="342">
        <f>ROUNDUP('Forecasting for Perfume 50ml'!$L162*Fractions!AC$18,0)</f>
        <v>12</v>
      </c>
      <c r="AB102" s="342">
        <f>ROUNDUP('Forecasting for Bodymist 100ml'!$L162*Fractions!AD$18,0)</f>
        <v>16</v>
      </c>
      <c r="AC102" s="342">
        <f>ROUNDUP('Forecasting for Bodymist 100ml'!$L162*Fractions!AE$18,0)</f>
        <v>12</v>
      </c>
      <c r="AD102" s="342">
        <f>ROUNDUP('Forecasting for Bodymist 100ml'!$L162*Fractions!AF$18,0)</f>
        <v>9</v>
      </c>
      <c r="AE102" s="342">
        <f>ROUNDUP('Forecasting for Bodymist 100ml'!$L162*Fractions!AG$18,0)</f>
        <v>18</v>
      </c>
    </row>
    <row r="103" spans="1:31" x14ac:dyDescent="0.35">
      <c r="A103" s="394">
        <v>46539</v>
      </c>
      <c r="B103" s="342">
        <f>ROUNDUP('Forecasting for Perfume 30ml '!$L163*Fractions!D$18,0)</f>
        <v>15</v>
      </c>
      <c r="C103" s="342">
        <f>ROUNDUP('Forecasting for Perfume 30ml '!$L163*Fractions!E$18,0)</f>
        <v>15</v>
      </c>
      <c r="D103" s="342">
        <f>ROUNDUP('Forecasting for Perfume 30ml '!$L163*Fractions!F$18,0)</f>
        <v>10</v>
      </c>
      <c r="E103" s="342">
        <f>ROUNDUP('Forecasting for Perfume 30ml '!$L163*Fractions!G$18,0)</f>
        <v>24</v>
      </c>
      <c r="F103" s="342">
        <f>ROUNDUP('Forecasting for Perfume 30ml '!$L163*Fractions!H$18,0)</f>
        <v>13</v>
      </c>
      <c r="G103" s="342">
        <f>ROUNDUP('Forecasting for Perfume 30ml '!$L163*Fractions!I$18,0)</f>
        <v>12</v>
      </c>
      <c r="H103" s="342">
        <f>ROUNDUP('Forecasting for Perfume 30ml '!$L163*Fractions!J$18,0)</f>
        <v>13</v>
      </c>
      <c r="I103" s="342">
        <f>ROUNDUP('Forecasting for Perfume 30ml '!$L163*Fractions!K$18,0)</f>
        <v>12</v>
      </c>
      <c r="J103" s="342">
        <f>ROUNDUP('Forecasting for Perfume 30ml '!$L163*Fractions!L$18,0)</f>
        <v>9</v>
      </c>
      <c r="K103" s="342">
        <f>ROUNDUP('Forecasting for Perfume 30ml '!$L163*Fractions!M$18,0)</f>
        <v>13</v>
      </c>
      <c r="L103" s="342">
        <f>ROUNDUP('Forecasting for Perfume 30ml '!$L163*Fractions!N$18,0)</f>
        <v>31</v>
      </c>
      <c r="M103" s="342">
        <f>ROUNDUP('Forecasting for Perfume 30ml '!$L163*Fractions!O$18,0)</f>
        <v>12</v>
      </c>
      <c r="N103" s="342">
        <f>ROUNDUP('Forecasting for Perfume 30ml '!$L163*Fractions!P$18,0)</f>
        <v>8</v>
      </c>
      <c r="O103" s="342">
        <f>ROUNDUP('Forecasting for Perfume 50ml'!$L163*Fractions!Q$18,0)</f>
        <v>16</v>
      </c>
      <c r="P103" s="342">
        <f>ROUNDUP('Forecasting for Perfume 50ml'!$L163*Fractions!R$18,0)</f>
        <v>17</v>
      </c>
      <c r="Q103" s="342">
        <f>ROUNDUP('Forecasting for Perfume 50ml'!$L163*Fractions!S$18,0)</f>
        <v>10</v>
      </c>
      <c r="R103" s="342">
        <f>ROUNDUP('Forecasting for Perfume 50ml'!$L163*Fractions!T$18,0)</f>
        <v>24</v>
      </c>
      <c r="S103" s="342">
        <f>ROUNDUP('Forecasting for Perfume 50ml'!$L163*Fractions!U$18,0)</f>
        <v>14</v>
      </c>
      <c r="T103" s="342">
        <f>ROUNDUP('Forecasting for Perfume 50ml'!$L163*Fractions!V$18,0)</f>
        <v>13</v>
      </c>
      <c r="U103" s="342">
        <f>ROUNDUP('Forecasting for Perfume 50ml'!$L163*Fractions!W$18,0)</f>
        <v>11</v>
      </c>
      <c r="V103" s="342">
        <f>ROUNDUP('Forecasting for Perfume 50ml'!$L163*Fractions!X$18,0)</f>
        <v>14</v>
      </c>
      <c r="W103" s="342">
        <f>ROUNDUP('Forecasting for Perfume 50ml'!$L163*Fractions!Y$18,0)</f>
        <v>9</v>
      </c>
      <c r="X103" s="342">
        <f>ROUNDUP('Forecasting for Perfume 50ml'!$L163*Fractions!Z$18,0)</f>
        <v>15</v>
      </c>
      <c r="Y103" s="342">
        <f>ROUNDUP('Forecasting for Perfume 50ml'!$L163*Fractions!AA$18,0)</f>
        <v>29</v>
      </c>
      <c r="Z103" s="342">
        <f>ROUNDUP('Forecasting for Perfume 50ml'!$L163*Fractions!AB$18,0)</f>
        <v>14</v>
      </c>
      <c r="AA103" s="342">
        <f>ROUNDUP('Forecasting for Perfume 50ml'!$L163*Fractions!AC$18,0)</f>
        <v>9</v>
      </c>
      <c r="AB103" s="342">
        <f>ROUNDUP('Forecasting for Bodymist 100ml'!$L163*Fractions!AD$18,0)</f>
        <v>16</v>
      </c>
      <c r="AC103" s="342">
        <f>ROUNDUP('Forecasting for Bodymist 100ml'!$L163*Fractions!AE$18,0)</f>
        <v>12</v>
      </c>
      <c r="AD103" s="342">
        <f>ROUNDUP('Forecasting for Bodymist 100ml'!$L163*Fractions!AF$18,0)</f>
        <v>9</v>
      </c>
      <c r="AE103" s="342">
        <f>ROUNDUP('Forecasting for Bodymist 100ml'!$L163*Fractions!AG$18,0)</f>
        <v>18</v>
      </c>
    </row>
    <row r="104" spans="1:31" x14ac:dyDescent="0.35">
      <c r="A104" s="394">
        <v>46569</v>
      </c>
      <c r="B104" s="342">
        <f>ROUNDUP('Forecasting for Perfume 30ml '!$L164*Fractions!D$18,0)</f>
        <v>13</v>
      </c>
      <c r="C104" s="342">
        <f>ROUNDUP('Forecasting for Perfume 30ml '!$L164*Fractions!E$18,0)</f>
        <v>14</v>
      </c>
      <c r="D104" s="342">
        <f>ROUNDUP('Forecasting for Perfume 30ml '!$L164*Fractions!F$18,0)</f>
        <v>9</v>
      </c>
      <c r="E104" s="342">
        <f>ROUNDUP('Forecasting for Perfume 30ml '!$L164*Fractions!G$18,0)</f>
        <v>21</v>
      </c>
      <c r="F104" s="342">
        <f>ROUNDUP('Forecasting for Perfume 30ml '!$L164*Fractions!H$18,0)</f>
        <v>11</v>
      </c>
      <c r="G104" s="342">
        <f>ROUNDUP('Forecasting for Perfume 30ml '!$L164*Fractions!I$18,0)</f>
        <v>10</v>
      </c>
      <c r="H104" s="342">
        <f>ROUNDUP('Forecasting for Perfume 30ml '!$L164*Fractions!J$18,0)</f>
        <v>12</v>
      </c>
      <c r="I104" s="342">
        <f>ROUNDUP('Forecasting for Perfume 30ml '!$L164*Fractions!K$18,0)</f>
        <v>11</v>
      </c>
      <c r="J104" s="342">
        <f>ROUNDUP('Forecasting for Perfume 30ml '!$L164*Fractions!L$18,0)</f>
        <v>8</v>
      </c>
      <c r="K104" s="342">
        <f>ROUNDUP('Forecasting for Perfume 30ml '!$L164*Fractions!M$18,0)</f>
        <v>11</v>
      </c>
      <c r="L104" s="342">
        <f>ROUNDUP('Forecasting for Perfume 30ml '!$L164*Fractions!N$18,0)</f>
        <v>27</v>
      </c>
      <c r="M104" s="342">
        <f>ROUNDUP('Forecasting for Perfume 30ml '!$L164*Fractions!O$18,0)</f>
        <v>11</v>
      </c>
      <c r="N104" s="342">
        <f>ROUNDUP('Forecasting for Perfume 30ml '!$L164*Fractions!P$18,0)</f>
        <v>7</v>
      </c>
      <c r="O104" s="342">
        <f>ROUNDUP('Forecasting for Perfume 50ml'!$L164*Fractions!Q$18,0)</f>
        <v>15</v>
      </c>
      <c r="P104" s="342">
        <f>ROUNDUP('Forecasting for Perfume 50ml'!$L164*Fractions!R$18,0)</f>
        <v>15</v>
      </c>
      <c r="Q104" s="342">
        <f>ROUNDUP('Forecasting for Perfume 50ml'!$L164*Fractions!S$18,0)</f>
        <v>9</v>
      </c>
      <c r="R104" s="342">
        <f>ROUNDUP('Forecasting for Perfume 50ml'!$L164*Fractions!T$18,0)</f>
        <v>22</v>
      </c>
      <c r="S104" s="342">
        <f>ROUNDUP('Forecasting for Perfume 50ml'!$L164*Fractions!U$18,0)</f>
        <v>13</v>
      </c>
      <c r="T104" s="342">
        <f>ROUNDUP('Forecasting for Perfume 50ml'!$L164*Fractions!V$18,0)</f>
        <v>12</v>
      </c>
      <c r="U104" s="342">
        <f>ROUNDUP('Forecasting for Perfume 50ml'!$L164*Fractions!W$18,0)</f>
        <v>10</v>
      </c>
      <c r="V104" s="342">
        <f>ROUNDUP('Forecasting for Perfume 50ml'!$L164*Fractions!X$18,0)</f>
        <v>13</v>
      </c>
      <c r="W104" s="342">
        <f>ROUNDUP('Forecasting for Perfume 50ml'!$L164*Fractions!Y$18,0)</f>
        <v>8</v>
      </c>
      <c r="X104" s="342">
        <f>ROUNDUP('Forecasting for Perfume 50ml'!$L164*Fractions!Z$18,0)</f>
        <v>14</v>
      </c>
      <c r="Y104" s="342">
        <f>ROUNDUP('Forecasting for Perfume 50ml'!$L164*Fractions!AA$18,0)</f>
        <v>27</v>
      </c>
      <c r="Z104" s="342">
        <f>ROUNDUP('Forecasting for Perfume 50ml'!$L164*Fractions!AB$18,0)</f>
        <v>13</v>
      </c>
      <c r="AA104" s="342">
        <f>ROUNDUP('Forecasting for Perfume 50ml'!$L164*Fractions!AC$18,0)</f>
        <v>8</v>
      </c>
      <c r="AB104" s="342">
        <f>ROUNDUP('Forecasting for Bodymist 100ml'!$L164*Fractions!AD$18,0)</f>
        <v>10</v>
      </c>
      <c r="AC104" s="342">
        <f>ROUNDUP('Forecasting for Bodymist 100ml'!$L164*Fractions!AE$18,0)</f>
        <v>7</v>
      </c>
      <c r="AD104" s="342">
        <f>ROUNDUP('Forecasting for Bodymist 100ml'!$L164*Fractions!AF$18,0)</f>
        <v>6</v>
      </c>
      <c r="AE104" s="342">
        <f>ROUNDUP('Forecasting for Bodymist 100ml'!$L164*Fractions!AG$18,0)</f>
        <v>11</v>
      </c>
    </row>
    <row r="105" spans="1:31" x14ac:dyDescent="0.35">
      <c r="A105" s="394">
        <v>46600</v>
      </c>
      <c r="B105" s="342">
        <f>ROUNDUP('Forecasting for Perfume 30ml '!$L165*Fractions!D$18,0)</f>
        <v>15</v>
      </c>
      <c r="C105" s="342">
        <f>ROUNDUP('Forecasting for Perfume 30ml '!$L165*Fractions!E$18,0)</f>
        <v>15</v>
      </c>
      <c r="D105" s="342">
        <f>ROUNDUP('Forecasting for Perfume 30ml '!$L165*Fractions!F$18,0)</f>
        <v>9</v>
      </c>
      <c r="E105" s="342">
        <f>ROUNDUP('Forecasting for Perfume 30ml '!$L165*Fractions!G$18,0)</f>
        <v>23</v>
      </c>
      <c r="F105" s="342">
        <f>ROUNDUP('Forecasting for Perfume 30ml '!$L165*Fractions!H$18,0)</f>
        <v>12</v>
      </c>
      <c r="G105" s="342">
        <f>ROUNDUP('Forecasting for Perfume 30ml '!$L165*Fractions!I$18,0)</f>
        <v>11</v>
      </c>
      <c r="H105" s="342">
        <f>ROUNDUP('Forecasting for Perfume 30ml '!$L165*Fractions!J$18,0)</f>
        <v>13</v>
      </c>
      <c r="I105" s="342">
        <f>ROUNDUP('Forecasting for Perfume 30ml '!$L165*Fractions!K$18,0)</f>
        <v>12</v>
      </c>
      <c r="J105" s="342">
        <f>ROUNDUP('Forecasting for Perfume 30ml '!$L165*Fractions!L$18,0)</f>
        <v>9</v>
      </c>
      <c r="K105" s="342">
        <f>ROUNDUP('Forecasting for Perfume 30ml '!$L165*Fractions!M$18,0)</f>
        <v>12</v>
      </c>
      <c r="L105" s="342">
        <f>ROUNDUP('Forecasting for Perfume 30ml '!$L165*Fractions!N$18,0)</f>
        <v>29</v>
      </c>
      <c r="M105" s="342">
        <f>ROUNDUP('Forecasting for Perfume 30ml '!$L165*Fractions!O$18,0)</f>
        <v>12</v>
      </c>
      <c r="N105" s="342">
        <f>ROUNDUP('Forecasting for Perfume 30ml '!$L165*Fractions!P$18,0)</f>
        <v>8</v>
      </c>
      <c r="O105" s="342">
        <f>ROUNDUP('Forecasting for Perfume 50ml'!$L165*Fractions!Q$18,0)</f>
        <v>16</v>
      </c>
      <c r="P105" s="342">
        <f>ROUNDUP('Forecasting for Perfume 50ml'!$L165*Fractions!R$18,0)</f>
        <v>16</v>
      </c>
      <c r="Q105" s="342">
        <f>ROUNDUP('Forecasting for Perfume 50ml'!$L165*Fractions!S$18,0)</f>
        <v>9</v>
      </c>
      <c r="R105" s="342">
        <f>ROUNDUP('Forecasting for Perfume 50ml'!$L165*Fractions!T$18,0)</f>
        <v>24</v>
      </c>
      <c r="S105" s="342">
        <f>ROUNDUP('Forecasting for Perfume 50ml'!$L165*Fractions!U$18,0)</f>
        <v>14</v>
      </c>
      <c r="T105" s="342">
        <f>ROUNDUP('Forecasting for Perfume 50ml'!$L165*Fractions!V$18,0)</f>
        <v>13</v>
      </c>
      <c r="U105" s="342">
        <f>ROUNDUP('Forecasting for Perfume 50ml'!$L165*Fractions!W$18,0)</f>
        <v>11</v>
      </c>
      <c r="V105" s="342">
        <f>ROUNDUP('Forecasting for Perfume 50ml'!$L165*Fractions!X$18,0)</f>
        <v>14</v>
      </c>
      <c r="W105" s="342">
        <f>ROUNDUP('Forecasting for Perfume 50ml'!$L165*Fractions!Y$18,0)</f>
        <v>9</v>
      </c>
      <c r="X105" s="342">
        <f>ROUNDUP('Forecasting for Perfume 50ml'!$L165*Fractions!Z$18,0)</f>
        <v>15</v>
      </c>
      <c r="Y105" s="342">
        <f>ROUNDUP('Forecasting for Perfume 50ml'!$L165*Fractions!AA$18,0)</f>
        <v>29</v>
      </c>
      <c r="Z105" s="342">
        <f>ROUNDUP('Forecasting for Perfume 50ml'!$L165*Fractions!AB$18,0)</f>
        <v>14</v>
      </c>
      <c r="AA105" s="342">
        <f>ROUNDUP('Forecasting for Perfume 50ml'!$L165*Fractions!AC$18,0)</f>
        <v>9</v>
      </c>
      <c r="AB105" s="342">
        <f>ROUNDUP('Forecasting for Bodymist 100ml'!$L165*Fractions!AD$18,0)</f>
        <v>12</v>
      </c>
      <c r="AC105" s="342">
        <f>ROUNDUP('Forecasting for Bodymist 100ml'!$L165*Fractions!AE$18,0)</f>
        <v>9</v>
      </c>
      <c r="AD105" s="342">
        <f>ROUNDUP('Forecasting for Bodymist 100ml'!$L165*Fractions!AF$18,0)</f>
        <v>7</v>
      </c>
      <c r="AE105" s="342">
        <f>ROUNDUP('Forecasting for Bodymist 100ml'!$L165*Fractions!AG$18,0)</f>
        <v>14</v>
      </c>
    </row>
    <row r="106" spans="1:31" x14ac:dyDescent="0.35">
      <c r="A106" s="394">
        <v>46631</v>
      </c>
      <c r="B106" s="342">
        <f>ROUNDUP('Forecasting for Perfume 30ml '!$L166*Fractions!D$18,0)</f>
        <v>15</v>
      </c>
      <c r="C106" s="342">
        <f>ROUNDUP('Forecasting for Perfume 30ml '!$L166*Fractions!E$18,0)</f>
        <v>15</v>
      </c>
      <c r="D106" s="342">
        <f>ROUNDUP('Forecasting for Perfume 30ml '!$L166*Fractions!F$18,0)</f>
        <v>9</v>
      </c>
      <c r="E106" s="342">
        <f>ROUNDUP('Forecasting for Perfume 30ml '!$L166*Fractions!G$18,0)</f>
        <v>23</v>
      </c>
      <c r="F106" s="342">
        <f>ROUNDUP('Forecasting for Perfume 30ml '!$L166*Fractions!H$18,0)</f>
        <v>12</v>
      </c>
      <c r="G106" s="342">
        <f>ROUNDUP('Forecasting for Perfume 30ml '!$L166*Fractions!I$18,0)</f>
        <v>11</v>
      </c>
      <c r="H106" s="342">
        <f>ROUNDUP('Forecasting for Perfume 30ml '!$L166*Fractions!J$18,0)</f>
        <v>13</v>
      </c>
      <c r="I106" s="342">
        <f>ROUNDUP('Forecasting for Perfume 30ml '!$L166*Fractions!K$18,0)</f>
        <v>12</v>
      </c>
      <c r="J106" s="342">
        <f>ROUNDUP('Forecasting for Perfume 30ml '!$L166*Fractions!L$18,0)</f>
        <v>9</v>
      </c>
      <c r="K106" s="342">
        <f>ROUNDUP('Forecasting for Perfume 30ml '!$L166*Fractions!M$18,0)</f>
        <v>12</v>
      </c>
      <c r="L106" s="342">
        <f>ROUNDUP('Forecasting for Perfume 30ml '!$L166*Fractions!N$18,0)</f>
        <v>29</v>
      </c>
      <c r="M106" s="342">
        <f>ROUNDUP('Forecasting for Perfume 30ml '!$L166*Fractions!O$18,0)</f>
        <v>12</v>
      </c>
      <c r="N106" s="342">
        <f>ROUNDUP('Forecasting for Perfume 30ml '!$L166*Fractions!P$18,0)</f>
        <v>8</v>
      </c>
      <c r="O106" s="342">
        <f>ROUNDUP('Forecasting for Perfume 50ml'!$L166*Fractions!Q$18,0)</f>
        <v>16</v>
      </c>
      <c r="P106" s="342">
        <f>ROUNDUP('Forecasting for Perfume 50ml'!$L166*Fractions!R$18,0)</f>
        <v>16</v>
      </c>
      <c r="Q106" s="342">
        <f>ROUNDUP('Forecasting for Perfume 50ml'!$L166*Fractions!S$18,0)</f>
        <v>9</v>
      </c>
      <c r="R106" s="342">
        <f>ROUNDUP('Forecasting for Perfume 50ml'!$L166*Fractions!T$18,0)</f>
        <v>24</v>
      </c>
      <c r="S106" s="342">
        <f>ROUNDUP('Forecasting for Perfume 50ml'!$L166*Fractions!U$18,0)</f>
        <v>14</v>
      </c>
      <c r="T106" s="342">
        <f>ROUNDUP('Forecasting for Perfume 50ml'!$L166*Fractions!V$18,0)</f>
        <v>13</v>
      </c>
      <c r="U106" s="342">
        <f>ROUNDUP('Forecasting for Perfume 50ml'!$L166*Fractions!W$18,0)</f>
        <v>11</v>
      </c>
      <c r="V106" s="342">
        <f>ROUNDUP('Forecasting for Perfume 50ml'!$L166*Fractions!X$18,0)</f>
        <v>14</v>
      </c>
      <c r="W106" s="342">
        <f>ROUNDUP('Forecasting for Perfume 50ml'!$L166*Fractions!Y$18,0)</f>
        <v>9</v>
      </c>
      <c r="X106" s="342">
        <f>ROUNDUP('Forecasting for Perfume 50ml'!$L166*Fractions!Z$18,0)</f>
        <v>15</v>
      </c>
      <c r="Y106" s="342">
        <f>ROUNDUP('Forecasting for Perfume 50ml'!$L166*Fractions!AA$18,0)</f>
        <v>29</v>
      </c>
      <c r="Z106" s="342">
        <f>ROUNDUP('Forecasting for Perfume 50ml'!$L166*Fractions!AB$18,0)</f>
        <v>14</v>
      </c>
      <c r="AA106" s="342">
        <f>ROUNDUP('Forecasting for Perfume 50ml'!$L166*Fractions!AC$18,0)</f>
        <v>9</v>
      </c>
      <c r="AB106" s="342">
        <f>ROUNDUP('Forecasting for Bodymist 100ml'!$L166*Fractions!AD$18,0)</f>
        <v>12</v>
      </c>
      <c r="AC106" s="342">
        <f>ROUNDUP('Forecasting for Bodymist 100ml'!$L166*Fractions!AE$18,0)</f>
        <v>9</v>
      </c>
      <c r="AD106" s="342">
        <f>ROUNDUP('Forecasting for Bodymist 100ml'!$L166*Fractions!AF$18,0)</f>
        <v>7</v>
      </c>
      <c r="AE106" s="342">
        <f>ROUNDUP('Forecasting for Bodymist 100ml'!$L166*Fractions!AG$18,0)</f>
        <v>14</v>
      </c>
    </row>
    <row r="107" spans="1:31" x14ac:dyDescent="0.35">
      <c r="A107" s="394">
        <v>46661</v>
      </c>
      <c r="B107" s="342">
        <f>ROUNDUP('Forecasting for Perfume 30ml '!$L167*Fractions!D$18,0)</f>
        <v>15</v>
      </c>
      <c r="C107" s="342">
        <f>ROUNDUP('Forecasting for Perfume 30ml '!$L167*Fractions!E$18,0)</f>
        <v>15</v>
      </c>
      <c r="D107" s="342">
        <f>ROUNDUP('Forecasting for Perfume 30ml '!$L167*Fractions!F$18,0)</f>
        <v>9</v>
      </c>
      <c r="E107" s="342">
        <f>ROUNDUP('Forecasting for Perfume 30ml '!$L167*Fractions!G$18,0)</f>
        <v>23</v>
      </c>
      <c r="F107" s="342">
        <f>ROUNDUP('Forecasting for Perfume 30ml '!$L167*Fractions!H$18,0)</f>
        <v>12</v>
      </c>
      <c r="G107" s="342">
        <f>ROUNDUP('Forecasting for Perfume 30ml '!$L167*Fractions!I$18,0)</f>
        <v>11</v>
      </c>
      <c r="H107" s="342">
        <f>ROUNDUP('Forecasting for Perfume 30ml '!$L167*Fractions!J$18,0)</f>
        <v>13</v>
      </c>
      <c r="I107" s="342">
        <f>ROUNDUP('Forecasting for Perfume 30ml '!$L167*Fractions!K$18,0)</f>
        <v>12</v>
      </c>
      <c r="J107" s="342">
        <f>ROUNDUP('Forecasting for Perfume 30ml '!$L167*Fractions!L$18,0)</f>
        <v>9</v>
      </c>
      <c r="K107" s="342">
        <f>ROUNDUP('Forecasting for Perfume 30ml '!$L167*Fractions!M$18,0)</f>
        <v>12</v>
      </c>
      <c r="L107" s="342">
        <f>ROUNDUP('Forecasting for Perfume 30ml '!$L167*Fractions!N$18,0)</f>
        <v>29</v>
      </c>
      <c r="M107" s="342">
        <f>ROUNDUP('Forecasting for Perfume 30ml '!$L167*Fractions!O$18,0)</f>
        <v>12</v>
      </c>
      <c r="N107" s="342">
        <f>ROUNDUP('Forecasting for Perfume 30ml '!$L167*Fractions!P$18,0)</f>
        <v>8</v>
      </c>
      <c r="O107" s="342">
        <f>ROUNDUP('Forecasting for Perfume 50ml'!$L167*Fractions!Q$18,0)</f>
        <v>16</v>
      </c>
      <c r="P107" s="342">
        <f>ROUNDUP('Forecasting for Perfume 50ml'!$L167*Fractions!R$18,0)</f>
        <v>16</v>
      </c>
      <c r="Q107" s="342">
        <f>ROUNDUP('Forecasting for Perfume 50ml'!$L167*Fractions!S$18,0)</f>
        <v>9</v>
      </c>
      <c r="R107" s="342">
        <f>ROUNDUP('Forecasting for Perfume 50ml'!$L167*Fractions!T$18,0)</f>
        <v>24</v>
      </c>
      <c r="S107" s="342">
        <f>ROUNDUP('Forecasting for Perfume 50ml'!$L167*Fractions!U$18,0)</f>
        <v>14</v>
      </c>
      <c r="T107" s="342">
        <f>ROUNDUP('Forecasting for Perfume 50ml'!$L167*Fractions!V$18,0)</f>
        <v>13</v>
      </c>
      <c r="U107" s="342">
        <f>ROUNDUP('Forecasting for Perfume 50ml'!$L167*Fractions!W$18,0)</f>
        <v>11</v>
      </c>
      <c r="V107" s="342">
        <f>ROUNDUP('Forecasting for Perfume 50ml'!$L167*Fractions!X$18,0)</f>
        <v>14</v>
      </c>
      <c r="W107" s="342">
        <f>ROUNDUP('Forecasting for Perfume 50ml'!$L167*Fractions!Y$18,0)</f>
        <v>9</v>
      </c>
      <c r="X107" s="342">
        <f>ROUNDUP('Forecasting for Perfume 50ml'!$L167*Fractions!Z$18,0)</f>
        <v>15</v>
      </c>
      <c r="Y107" s="342">
        <f>ROUNDUP('Forecasting for Perfume 50ml'!$L167*Fractions!AA$18,0)</f>
        <v>29</v>
      </c>
      <c r="Z107" s="342">
        <f>ROUNDUP('Forecasting for Perfume 50ml'!$L167*Fractions!AB$18,0)</f>
        <v>14</v>
      </c>
      <c r="AA107" s="342">
        <f>ROUNDUP('Forecasting for Perfume 50ml'!$L167*Fractions!AC$18,0)</f>
        <v>9</v>
      </c>
      <c r="AB107" s="342">
        <f>ROUNDUP('Forecasting for Bodymist 100ml'!$L167*Fractions!AD$18,0)</f>
        <v>12</v>
      </c>
      <c r="AC107" s="342">
        <f>ROUNDUP('Forecasting for Bodymist 100ml'!$L167*Fractions!AE$18,0)</f>
        <v>9</v>
      </c>
      <c r="AD107" s="342">
        <f>ROUNDUP('Forecasting for Bodymist 100ml'!$L167*Fractions!AF$18,0)</f>
        <v>7</v>
      </c>
      <c r="AE107" s="342">
        <f>ROUNDUP('Forecasting for Bodymist 100ml'!$L167*Fractions!AG$18,0)</f>
        <v>14</v>
      </c>
    </row>
    <row r="108" spans="1:31" x14ac:dyDescent="0.35">
      <c r="A108" s="394">
        <v>46692</v>
      </c>
      <c r="B108" s="342">
        <f>ROUNDUP('Forecasting for Perfume 30ml '!$L168*Fractions!D$18,0)</f>
        <v>15</v>
      </c>
      <c r="C108" s="342">
        <f>ROUNDUP('Forecasting for Perfume 30ml '!$L168*Fractions!E$18,0)</f>
        <v>15</v>
      </c>
      <c r="D108" s="342">
        <f>ROUNDUP('Forecasting for Perfume 30ml '!$L168*Fractions!F$18,0)</f>
        <v>9</v>
      </c>
      <c r="E108" s="342">
        <f>ROUNDUP('Forecasting for Perfume 30ml '!$L168*Fractions!G$18,0)</f>
        <v>23</v>
      </c>
      <c r="F108" s="342">
        <f>ROUNDUP('Forecasting for Perfume 30ml '!$L168*Fractions!H$18,0)</f>
        <v>12</v>
      </c>
      <c r="G108" s="342">
        <f>ROUNDUP('Forecasting for Perfume 30ml '!$L168*Fractions!I$18,0)</f>
        <v>11</v>
      </c>
      <c r="H108" s="342">
        <f>ROUNDUP('Forecasting for Perfume 30ml '!$L168*Fractions!J$18,0)</f>
        <v>13</v>
      </c>
      <c r="I108" s="342">
        <f>ROUNDUP('Forecasting for Perfume 30ml '!$L168*Fractions!K$18,0)</f>
        <v>12</v>
      </c>
      <c r="J108" s="342">
        <f>ROUNDUP('Forecasting for Perfume 30ml '!$L168*Fractions!L$18,0)</f>
        <v>9</v>
      </c>
      <c r="K108" s="342">
        <f>ROUNDUP('Forecasting for Perfume 30ml '!$L168*Fractions!M$18,0)</f>
        <v>12</v>
      </c>
      <c r="L108" s="342">
        <f>ROUNDUP('Forecasting for Perfume 30ml '!$L168*Fractions!N$18,0)</f>
        <v>29</v>
      </c>
      <c r="M108" s="342">
        <f>ROUNDUP('Forecasting for Perfume 30ml '!$L168*Fractions!O$18,0)</f>
        <v>12</v>
      </c>
      <c r="N108" s="342">
        <f>ROUNDUP('Forecasting for Perfume 30ml '!$L168*Fractions!P$18,0)</f>
        <v>8</v>
      </c>
      <c r="O108" s="342">
        <f>ROUNDUP('Forecasting for Perfume 50ml'!$L168*Fractions!Q$18,0)</f>
        <v>16</v>
      </c>
      <c r="P108" s="342">
        <f>ROUNDUP('Forecasting for Perfume 50ml'!$L168*Fractions!R$18,0)</f>
        <v>16</v>
      </c>
      <c r="Q108" s="342">
        <f>ROUNDUP('Forecasting for Perfume 50ml'!$L168*Fractions!S$18,0)</f>
        <v>9</v>
      </c>
      <c r="R108" s="342">
        <f>ROUNDUP('Forecasting for Perfume 50ml'!$L168*Fractions!T$18,0)</f>
        <v>24</v>
      </c>
      <c r="S108" s="342">
        <f>ROUNDUP('Forecasting for Perfume 50ml'!$L168*Fractions!U$18,0)</f>
        <v>14</v>
      </c>
      <c r="T108" s="342">
        <f>ROUNDUP('Forecasting for Perfume 50ml'!$L168*Fractions!V$18,0)</f>
        <v>13</v>
      </c>
      <c r="U108" s="342">
        <f>ROUNDUP('Forecasting for Perfume 50ml'!$L168*Fractions!W$18,0)</f>
        <v>11</v>
      </c>
      <c r="V108" s="342">
        <f>ROUNDUP('Forecasting for Perfume 50ml'!$L168*Fractions!X$18,0)</f>
        <v>14</v>
      </c>
      <c r="W108" s="342">
        <f>ROUNDUP('Forecasting for Perfume 50ml'!$L168*Fractions!Y$18,0)</f>
        <v>9</v>
      </c>
      <c r="X108" s="342">
        <f>ROUNDUP('Forecasting for Perfume 50ml'!$L168*Fractions!Z$18,0)</f>
        <v>15</v>
      </c>
      <c r="Y108" s="342">
        <f>ROUNDUP('Forecasting for Perfume 50ml'!$L168*Fractions!AA$18,0)</f>
        <v>29</v>
      </c>
      <c r="Z108" s="342">
        <f>ROUNDUP('Forecasting for Perfume 50ml'!$L168*Fractions!AB$18,0)</f>
        <v>14</v>
      </c>
      <c r="AA108" s="342">
        <f>ROUNDUP('Forecasting for Perfume 50ml'!$L168*Fractions!AC$18,0)</f>
        <v>9</v>
      </c>
      <c r="AB108" s="342">
        <f>ROUNDUP('Forecasting for Bodymist 100ml'!$L168*Fractions!AD$18,0)</f>
        <v>12</v>
      </c>
      <c r="AC108" s="342">
        <f>ROUNDUP('Forecasting for Bodymist 100ml'!$L168*Fractions!AE$18,0)</f>
        <v>9</v>
      </c>
      <c r="AD108" s="342">
        <f>ROUNDUP('Forecasting for Bodymist 100ml'!$L168*Fractions!AF$18,0)</f>
        <v>7</v>
      </c>
      <c r="AE108" s="342">
        <f>ROUNDUP('Forecasting for Bodymist 100ml'!$L168*Fractions!AG$18,0)</f>
        <v>14</v>
      </c>
    </row>
    <row r="109" spans="1:31" x14ac:dyDescent="0.35">
      <c r="A109" s="394">
        <v>46722</v>
      </c>
      <c r="B109" s="342">
        <f>ROUNDUP('Forecasting for Perfume 30ml '!$L169*Fractions!D$18,0)</f>
        <v>30</v>
      </c>
      <c r="C109" s="342">
        <f>ROUNDUP('Forecasting for Perfume 30ml '!$L169*Fractions!E$18,0)</f>
        <v>30</v>
      </c>
      <c r="D109" s="342">
        <f>ROUNDUP('Forecasting for Perfume 30ml '!$L169*Fractions!F$18,0)</f>
        <v>19</v>
      </c>
      <c r="E109" s="342">
        <f>ROUNDUP('Forecasting for Perfume 30ml '!$L169*Fractions!G$18,0)</f>
        <v>47</v>
      </c>
      <c r="F109" s="342">
        <f>ROUNDUP('Forecasting for Perfume 30ml '!$L169*Fractions!H$18,0)</f>
        <v>25</v>
      </c>
      <c r="G109" s="342">
        <f>ROUNDUP('Forecasting for Perfume 30ml '!$L169*Fractions!I$18,0)</f>
        <v>22</v>
      </c>
      <c r="H109" s="342">
        <f>ROUNDUP('Forecasting for Perfume 30ml '!$L169*Fractions!J$18,0)</f>
        <v>26</v>
      </c>
      <c r="I109" s="342">
        <f>ROUNDUP('Forecasting for Perfume 30ml '!$L169*Fractions!K$18,0)</f>
        <v>23</v>
      </c>
      <c r="J109" s="342">
        <f>ROUNDUP('Forecasting for Perfume 30ml '!$L169*Fractions!L$18,0)</f>
        <v>17</v>
      </c>
      <c r="K109" s="342">
        <f>ROUNDUP('Forecasting for Perfume 30ml '!$L169*Fractions!M$18,0)</f>
        <v>25</v>
      </c>
      <c r="L109" s="342">
        <f>ROUNDUP('Forecasting for Perfume 30ml '!$L169*Fractions!N$18,0)</f>
        <v>60</v>
      </c>
      <c r="M109" s="342">
        <f>ROUNDUP('Forecasting for Perfume 30ml '!$L169*Fractions!O$18,0)</f>
        <v>24</v>
      </c>
      <c r="N109" s="342">
        <f>ROUNDUP('Forecasting for Perfume 30ml '!$L169*Fractions!P$18,0)</f>
        <v>16</v>
      </c>
      <c r="O109" s="342">
        <f>ROUNDUP('Forecasting for Perfume 50ml'!$L169*Fractions!Q$18,0)</f>
        <v>33</v>
      </c>
      <c r="P109" s="342">
        <f>ROUNDUP('Forecasting for Perfume 50ml'!$L169*Fractions!R$18,0)</f>
        <v>34</v>
      </c>
      <c r="Q109" s="342">
        <f>ROUNDUP('Forecasting for Perfume 50ml'!$L169*Fractions!S$18,0)</f>
        <v>20</v>
      </c>
      <c r="R109" s="342">
        <f>ROUNDUP('Forecasting for Perfume 50ml'!$L169*Fractions!T$18,0)</f>
        <v>50</v>
      </c>
      <c r="S109" s="342">
        <f>ROUNDUP('Forecasting for Perfume 50ml'!$L169*Fractions!U$18,0)</f>
        <v>30</v>
      </c>
      <c r="T109" s="342">
        <f>ROUNDUP('Forecasting for Perfume 50ml'!$L169*Fractions!V$18,0)</f>
        <v>27</v>
      </c>
      <c r="U109" s="342">
        <f>ROUNDUP('Forecasting for Perfume 50ml'!$L169*Fractions!W$18,0)</f>
        <v>22</v>
      </c>
      <c r="V109" s="342">
        <f>ROUNDUP('Forecasting for Perfume 50ml'!$L169*Fractions!X$18,0)</f>
        <v>30</v>
      </c>
      <c r="W109" s="342">
        <f>ROUNDUP('Forecasting for Perfume 50ml'!$L169*Fractions!Y$18,0)</f>
        <v>18</v>
      </c>
      <c r="X109" s="342">
        <f>ROUNDUP('Forecasting for Perfume 50ml'!$L169*Fractions!Z$18,0)</f>
        <v>31</v>
      </c>
      <c r="Y109" s="342">
        <f>ROUNDUP('Forecasting for Perfume 50ml'!$L169*Fractions!AA$18,0)</f>
        <v>61</v>
      </c>
      <c r="Z109" s="342">
        <f>ROUNDUP('Forecasting for Perfume 50ml'!$L169*Fractions!AB$18,0)</f>
        <v>30</v>
      </c>
      <c r="AA109" s="342">
        <f>ROUNDUP('Forecasting for Perfume 50ml'!$L169*Fractions!AC$18,0)</f>
        <v>18</v>
      </c>
      <c r="AB109" s="342">
        <f>ROUNDUP('Forecasting for Bodymist 100ml'!$L169*Fractions!AD$18,0)</f>
        <v>31</v>
      </c>
      <c r="AC109" s="342">
        <f>ROUNDUP('Forecasting for Bodymist 100ml'!$L169*Fractions!AE$18,0)</f>
        <v>23</v>
      </c>
      <c r="AD109" s="342">
        <f>ROUNDUP('Forecasting for Bodymist 100ml'!$L169*Fractions!AF$18,0)</f>
        <v>17</v>
      </c>
      <c r="AE109" s="342">
        <f>ROUNDUP('Forecasting for Bodymist 100ml'!$L169*Fractions!AG$18,0)</f>
        <v>35</v>
      </c>
    </row>
    <row r="110" spans="1:31" x14ac:dyDescent="0.35">
      <c r="A110" s="395">
        <v>46753</v>
      </c>
      <c r="B110" s="396">
        <f>ROUNDUP('Forecasting for Perfume 30ml '!$L170*Fractions!D$18,0)</f>
        <v>16</v>
      </c>
      <c r="C110" s="396">
        <f>ROUNDUP('Forecasting for Perfume 30ml '!$L170*Fractions!E$18,0)</f>
        <v>17</v>
      </c>
      <c r="D110" s="396">
        <f>ROUNDUP('Forecasting for Perfume 30ml '!$L170*Fractions!F$18,0)</f>
        <v>11</v>
      </c>
      <c r="E110" s="396">
        <f>ROUNDUP('Forecasting for Perfume 30ml '!$L170*Fractions!G$18,0)</f>
        <v>26</v>
      </c>
      <c r="F110" s="396">
        <f>ROUNDUP('Forecasting for Perfume 30ml '!$L170*Fractions!H$18,0)</f>
        <v>14</v>
      </c>
      <c r="G110" s="396">
        <f>ROUNDUP('Forecasting for Perfume 30ml '!$L170*Fractions!I$18,0)</f>
        <v>12</v>
      </c>
      <c r="H110" s="396">
        <f>ROUNDUP('Forecasting for Perfume 30ml '!$L170*Fractions!J$18,0)</f>
        <v>14</v>
      </c>
      <c r="I110" s="396">
        <f>ROUNDUP('Forecasting for Perfume 30ml '!$L170*Fractions!K$18,0)</f>
        <v>13</v>
      </c>
      <c r="J110" s="396">
        <f>ROUNDUP('Forecasting for Perfume 30ml '!$L170*Fractions!L$18,0)</f>
        <v>10</v>
      </c>
      <c r="K110" s="396">
        <f>ROUNDUP('Forecasting for Perfume 30ml '!$L170*Fractions!M$18,0)</f>
        <v>14</v>
      </c>
      <c r="L110" s="396">
        <f>ROUNDUP('Forecasting for Perfume 30ml '!$L170*Fractions!N$18,0)</f>
        <v>33</v>
      </c>
      <c r="M110" s="396">
        <f>ROUNDUP('Forecasting for Perfume 30ml '!$L170*Fractions!O$18,0)</f>
        <v>13</v>
      </c>
      <c r="N110" s="396">
        <f>ROUNDUP('Forecasting for Perfume 30ml '!$L170*Fractions!P$18,0)</f>
        <v>9</v>
      </c>
      <c r="O110" s="396">
        <f>ROUNDUP('Forecasting for Perfume 50ml'!$L170*Fractions!Q$18,0)</f>
        <v>16</v>
      </c>
      <c r="P110" s="396">
        <f>ROUNDUP('Forecasting for Perfume 50ml'!$L170*Fractions!R$18,0)</f>
        <v>17</v>
      </c>
      <c r="Q110" s="396">
        <f>ROUNDUP('Forecasting for Perfume 50ml'!$L170*Fractions!S$18,0)</f>
        <v>10</v>
      </c>
      <c r="R110" s="396">
        <f>ROUNDUP('Forecasting for Perfume 50ml'!$L170*Fractions!T$18,0)</f>
        <v>25</v>
      </c>
      <c r="S110" s="396">
        <f>ROUNDUP('Forecasting for Perfume 50ml'!$L170*Fractions!U$18,0)</f>
        <v>15</v>
      </c>
      <c r="T110" s="396">
        <f>ROUNDUP('Forecasting for Perfume 50ml'!$L170*Fractions!V$18,0)</f>
        <v>13</v>
      </c>
      <c r="U110" s="396">
        <f>ROUNDUP('Forecasting for Perfume 50ml'!$L170*Fractions!W$18,0)</f>
        <v>11</v>
      </c>
      <c r="V110" s="396">
        <f>ROUNDUP('Forecasting for Perfume 50ml'!$L170*Fractions!X$18,0)</f>
        <v>15</v>
      </c>
      <c r="W110" s="396">
        <f>ROUNDUP('Forecasting for Perfume 50ml'!$L170*Fractions!Y$18,0)</f>
        <v>9</v>
      </c>
      <c r="X110" s="396">
        <f>ROUNDUP('Forecasting for Perfume 50ml'!$L170*Fractions!Z$18,0)</f>
        <v>16</v>
      </c>
      <c r="Y110" s="396">
        <f>ROUNDUP('Forecasting for Perfume 50ml'!$L170*Fractions!AA$18,0)</f>
        <v>30</v>
      </c>
      <c r="Z110" s="396">
        <f>ROUNDUP('Forecasting for Perfume 50ml'!$L170*Fractions!AB$18,0)</f>
        <v>15</v>
      </c>
      <c r="AA110" s="396">
        <f>ROUNDUP('Forecasting for Perfume 50ml'!$L170*Fractions!AC$18,0)</f>
        <v>9</v>
      </c>
      <c r="AB110" s="396">
        <f>ROUNDUP('Forecasting for Bodymist 100ml'!$L170*Fractions!AD$18,0)</f>
        <v>6</v>
      </c>
      <c r="AC110" s="396">
        <f>ROUNDUP('Forecasting for Bodymist 100ml'!$L170*Fractions!AE$18,0)</f>
        <v>4</v>
      </c>
      <c r="AD110" s="396">
        <f>ROUNDUP('Forecasting for Bodymist 100ml'!$L170*Fractions!AF$18,0)</f>
        <v>3</v>
      </c>
      <c r="AE110" s="396">
        <f>ROUNDUP('Forecasting for Bodymist 100ml'!$L170*Fractions!AG$18,0)</f>
        <v>6</v>
      </c>
    </row>
    <row r="111" spans="1:31" x14ac:dyDescent="0.35">
      <c r="A111" s="395">
        <v>46784</v>
      </c>
      <c r="B111" s="396">
        <f>ROUNDUP('Forecasting for Perfume 30ml '!$L171*Fractions!D$18,0)</f>
        <v>26</v>
      </c>
      <c r="C111" s="396">
        <f>ROUNDUP('Forecasting for Perfume 30ml '!$L171*Fractions!E$18,0)</f>
        <v>26</v>
      </c>
      <c r="D111" s="396">
        <f>ROUNDUP('Forecasting for Perfume 30ml '!$L171*Fractions!F$18,0)</f>
        <v>17</v>
      </c>
      <c r="E111" s="396">
        <f>ROUNDUP('Forecasting for Perfume 30ml '!$L171*Fractions!G$18,0)</f>
        <v>41</v>
      </c>
      <c r="F111" s="396">
        <f>ROUNDUP('Forecasting for Perfume 30ml '!$L171*Fractions!H$18,0)</f>
        <v>22</v>
      </c>
      <c r="G111" s="396">
        <f>ROUNDUP('Forecasting for Perfume 30ml '!$L171*Fractions!I$18,0)</f>
        <v>19</v>
      </c>
      <c r="H111" s="396">
        <f>ROUNDUP('Forecasting for Perfume 30ml '!$L171*Fractions!J$18,0)</f>
        <v>23</v>
      </c>
      <c r="I111" s="396">
        <f>ROUNDUP('Forecasting for Perfume 30ml '!$L171*Fractions!K$18,0)</f>
        <v>21</v>
      </c>
      <c r="J111" s="396">
        <f>ROUNDUP('Forecasting for Perfume 30ml '!$L171*Fractions!L$18,0)</f>
        <v>15</v>
      </c>
      <c r="K111" s="396">
        <f>ROUNDUP('Forecasting for Perfume 30ml '!$L171*Fractions!M$18,0)</f>
        <v>22</v>
      </c>
      <c r="L111" s="396">
        <f>ROUNDUP('Forecasting for Perfume 30ml '!$L171*Fractions!N$18,0)</f>
        <v>53</v>
      </c>
      <c r="M111" s="396">
        <f>ROUNDUP('Forecasting for Perfume 30ml '!$L171*Fractions!O$18,0)</f>
        <v>21</v>
      </c>
      <c r="N111" s="396">
        <f>ROUNDUP('Forecasting for Perfume 30ml '!$L171*Fractions!P$18,0)</f>
        <v>14</v>
      </c>
      <c r="O111" s="396">
        <f>ROUNDUP('Forecasting for Perfume 50ml'!$L171*Fractions!Q$18,0)</f>
        <v>28</v>
      </c>
      <c r="P111" s="396">
        <f>ROUNDUP('Forecasting for Perfume 50ml'!$L171*Fractions!R$18,0)</f>
        <v>29</v>
      </c>
      <c r="Q111" s="396">
        <f>ROUNDUP('Forecasting for Perfume 50ml'!$L171*Fractions!S$18,0)</f>
        <v>17</v>
      </c>
      <c r="R111" s="396">
        <f>ROUNDUP('Forecasting for Perfume 50ml'!$L171*Fractions!T$18,0)</f>
        <v>42</v>
      </c>
      <c r="S111" s="396">
        <f>ROUNDUP('Forecasting for Perfume 50ml'!$L171*Fractions!U$18,0)</f>
        <v>25</v>
      </c>
      <c r="T111" s="396">
        <f>ROUNDUP('Forecasting for Perfume 50ml'!$L171*Fractions!V$18,0)</f>
        <v>22</v>
      </c>
      <c r="U111" s="396">
        <f>ROUNDUP('Forecasting for Perfume 50ml'!$L171*Fractions!W$18,0)</f>
        <v>19</v>
      </c>
      <c r="V111" s="396">
        <f>ROUNDUP('Forecasting for Perfume 50ml'!$L171*Fractions!X$18,0)</f>
        <v>25</v>
      </c>
      <c r="W111" s="396">
        <f>ROUNDUP('Forecasting for Perfume 50ml'!$L171*Fractions!Y$18,0)</f>
        <v>15</v>
      </c>
      <c r="X111" s="396">
        <f>ROUNDUP('Forecasting for Perfume 50ml'!$L171*Fractions!Z$18,0)</f>
        <v>26</v>
      </c>
      <c r="Y111" s="396">
        <f>ROUNDUP('Forecasting for Perfume 50ml'!$L171*Fractions!AA$18,0)</f>
        <v>51</v>
      </c>
      <c r="Z111" s="396">
        <f>ROUNDUP('Forecasting for Perfume 50ml'!$L171*Fractions!AB$18,0)</f>
        <v>25</v>
      </c>
      <c r="AA111" s="396">
        <f>ROUNDUP('Forecasting for Perfume 50ml'!$L171*Fractions!AC$18,0)</f>
        <v>15</v>
      </c>
      <c r="AB111" s="396">
        <f>ROUNDUP('Forecasting for Bodymist 100ml'!$L171*Fractions!AD$18,0)</f>
        <v>25</v>
      </c>
      <c r="AC111" s="396">
        <f>ROUNDUP('Forecasting for Bodymist 100ml'!$L171*Fractions!AE$18,0)</f>
        <v>18</v>
      </c>
      <c r="AD111" s="396">
        <f>ROUNDUP('Forecasting for Bodymist 100ml'!$L171*Fractions!AF$18,0)</f>
        <v>14</v>
      </c>
      <c r="AE111" s="396">
        <f>ROUNDUP('Forecasting for Bodymist 100ml'!$L171*Fractions!AG$18,0)</f>
        <v>28</v>
      </c>
    </row>
    <row r="112" spans="1:31" x14ac:dyDescent="0.35">
      <c r="A112" s="395">
        <v>46813</v>
      </c>
      <c r="B112" s="396">
        <f>ROUNDUP('Forecasting for Perfume 30ml '!$L172*Fractions!D$18,0)</f>
        <v>9</v>
      </c>
      <c r="C112" s="396">
        <f>ROUNDUP('Forecasting for Perfume 30ml '!$L172*Fractions!E$18,0)</f>
        <v>9</v>
      </c>
      <c r="D112" s="396">
        <f>ROUNDUP('Forecasting for Perfume 30ml '!$L172*Fractions!F$18,0)</f>
        <v>6</v>
      </c>
      <c r="E112" s="396">
        <f>ROUNDUP('Forecasting for Perfume 30ml '!$L172*Fractions!G$18,0)</f>
        <v>15</v>
      </c>
      <c r="F112" s="396">
        <f>ROUNDUP('Forecasting for Perfume 30ml '!$L172*Fractions!H$18,0)</f>
        <v>8</v>
      </c>
      <c r="G112" s="396">
        <f>ROUNDUP('Forecasting for Perfume 30ml '!$L172*Fractions!I$18,0)</f>
        <v>7</v>
      </c>
      <c r="H112" s="396">
        <f>ROUNDUP('Forecasting for Perfume 30ml '!$L172*Fractions!J$18,0)</f>
        <v>8</v>
      </c>
      <c r="I112" s="396">
        <f>ROUNDUP('Forecasting for Perfume 30ml '!$L172*Fractions!K$18,0)</f>
        <v>8</v>
      </c>
      <c r="J112" s="396">
        <f>ROUNDUP('Forecasting for Perfume 30ml '!$L172*Fractions!L$18,0)</f>
        <v>6</v>
      </c>
      <c r="K112" s="396">
        <f>ROUNDUP('Forecasting for Perfume 30ml '!$L172*Fractions!M$18,0)</f>
        <v>8</v>
      </c>
      <c r="L112" s="396">
        <f>ROUNDUP('Forecasting for Perfume 30ml '!$L172*Fractions!N$18,0)</f>
        <v>19</v>
      </c>
      <c r="M112" s="396">
        <f>ROUNDUP('Forecasting for Perfume 30ml '!$L172*Fractions!O$18,0)</f>
        <v>8</v>
      </c>
      <c r="N112" s="396">
        <f>ROUNDUP('Forecasting for Perfume 30ml '!$L172*Fractions!P$18,0)</f>
        <v>5</v>
      </c>
      <c r="O112" s="396">
        <f>ROUNDUP('Forecasting for Perfume 50ml'!$L172*Fractions!Q$18,0)</f>
        <v>11</v>
      </c>
      <c r="P112" s="396">
        <f>ROUNDUP('Forecasting for Perfume 50ml'!$L172*Fractions!R$18,0)</f>
        <v>12</v>
      </c>
      <c r="Q112" s="396">
        <f>ROUNDUP('Forecasting for Perfume 50ml'!$L172*Fractions!S$18,0)</f>
        <v>7</v>
      </c>
      <c r="R112" s="396">
        <f>ROUNDUP('Forecasting for Perfume 50ml'!$L172*Fractions!T$18,0)</f>
        <v>17</v>
      </c>
      <c r="S112" s="396">
        <f>ROUNDUP('Forecasting for Perfume 50ml'!$L172*Fractions!U$18,0)</f>
        <v>10</v>
      </c>
      <c r="T112" s="396">
        <f>ROUNDUP('Forecasting for Perfume 50ml'!$L172*Fractions!V$18,0)</f>
        <v>9</v>
      </c>
      <c r="U112" s="396">
        <f>ROUNDUP('Forecasting for Perfume 50ml'!$L172*Fractions!W$18,0)</f>
        <v>8</v>
      </c>
      <c r="V112" s="396">
        <f>ROUNDUP('Forecasting for Perfume 50ml'!$L172*Fractions!X$18,0)</f>
        <v>10</v>
      </c>
      <c r="W112" s="396">
        <f>ROUNDUP('Forecasting for Perfume 50ml'!$L172*Fractions!Y$18,0)</f>
        <v>6</v>
      </c>
      <c r="X112" s="396">
        <f>ROUNDUP('Forecasting for Perfume 50ml'!$L172*Fractions!Z$18,0)</f>
        <v>11</v>
      </c>
      <c r="Y112" s="396">
        <f>ROUNDUP('Forecasting for Perfume 50ml'!$L172*Fractions!AA$18,0)</f>
        <v>20</v>
      </c>
      <c r="Z112" s="396">
        <f>ROUNDUP('Forecasting for Perfume 50ml'!$L172*Fractions!AB$18,0)</f>
        <v>10</v>
      </c>
      <c r="AA112" s="396">
        <f>ROUNDUP('Forecasting for Perfume 50ml'!$L172*Fractions!AC$18,0)</f>
        <v>6</v>
      </c>
      <c r="AB112" s="396">
        <f>ROUNDUP('Forecasting for Bodymist 100ml'!$L172*Fractions!AD$18,0)</f>
        <v>7</v>
      </c>
      <c r="AC112" s="396">
        <f>ROUNDUP('Forecasting for Bodymist 100ml'!$L172*Fractions!AE$18,0)</f>
        <v>5</v>
      </c>
      <c r="AD112" s="396">
        <f>ROUNDUP('Forecasting for Bodymist 100ml'!$L172*Fractions!AF$18,0)</f>
        <v>4</v>
      </c>
      <c r="AE112" s="396">
        <f>ROUNDUP('Forecasting for Bodymist 100ml'!$L172*Fractions!AG$18,0)</f>
        <v>8</v>
      </c>
    </row>
    <row r="113" spans="1:31" x14ac:dyDescent="0.35">
      <c r="A113" s="395">
        <v>46844</v>
      </c>
      <c r="B113" s="396">
        <f>ROUNDUP('Forecasting for Perfume 30ml '!$L173*Fractions!D$18,0)</f>
        <v>15</v>
      </c>
      <c r="C113" s="396">
        <f>ROUNDUP('Forecasting for Perfume 30ml '!$L173*Fractions!E$18,0)</f>
        <v>15</v>
      </c>
      <c r="D113" s="396">
        <f>ROUNDUP('Forecasting for Perfume 30ml '!$L173*Fractions!F$18,0)</f>
        <v>10</v>
      </c>
      <c r="E113" s="396">
        <f>ROUNDUP('Forecasting for Perfume 30ml '!$L173*Fractions!G$18,0)</f>
        <v>24</v>
      </c>
      <c r="F113" s="396">
        <f>ROUNDUP('Forecasting for Perfume 30ml '!$L173*Fractions!H$18,0)</f>
        <v>13</v>
      </c>
      <c r="G113" s="396">
        <f>ROUNDUP('Forecasting for Perfume 30ml '!$L173*Fractions!I$18,0)</f>
        <v>12</v>
      </c>
      <c r="H113" s="396">
        <f>ROUNDUP('Forecasting for Perfume 30ml '!$L173*Fractions!J$18,0)</f>
        <v>13</v>
      </c>
      <c r="I113" s="396">
        <f>ROUNDUP('Forecasting for Perfume 30ml '!$L173*Fractions!K$18,0)</f>
        <v>12</v>
      </c>
      <c r="J113" s="396">
        <f>ROUNDUP('Forecasting for Perfume 30ml '!$L173*Fractions!L$18,0)</f>
        <v>9</v>
      </c>
      <c r="K113" s="396">
        <f>ROUNDUP('Forecasting for Perfume 30ml '!$L173*Fractions!M$18,0)</f>
        <v>13</v>
      </c>
      <c r="L113" s="396">
        <f>ROUNDUP('Forecasting for Perfume 30ml '!$L173*Fractions!N$18,0)</f>
        <v>31</v>
      </c>
      <c r="M113" s="396">
        <f>ROUNDUP('Forecasting for Perfume 30ml '!$L173*Fractions!O$18,0)</f>
        <v>12</v>
      </c>
      <c r="N113" s="396">
        <f>ROUNDUP('Forecasting for Perfume 30ml '!$L173*Fractions!P$18,0)</f>
        <v>8</v>
      </c>
      <c r="O113" s="396">
        <f>ROUNDUP('Forecasting for Perfume 50ml'!$L173*Fractions!Q$18,0)</f>
        <v>17</v>
      </c>
      <c r="P113" s="396">
        <f>ROUNDUP('Forecasting for Perfume 50ml'!$L173*Fractions!R$18,0)</f>
        <v>17</v>
      </c>
      <c r="Q113" s="396">
        <f>ROUNDUP('Forecasting for Perfume 50ml'!$L173*Fractions!S$18,0)</f>
        <v>10</v>
      </c>
      <c r="R113" s="396">
        <f>ROUNDUP('Forecasting for Perfume 50ml'!$L173*Fractions!T$18,0)</f>
        <v>25</v>
      </c>
      <c r="S113" s="396">
        <f>ROUNDUP('Forecasting for Perfume 50ml'!$L173*Fractions!U$18,0)</f>
        <v>15</v>
      </c>
      <c r="T113" s="396">
        <f>ROUNDUP('Forecasting for Perfume 50ml'!$L173*Fractions!V$18,0)</f>
        <v>13</v>
      </c>
      <c r="U113" s="396">
        <f>ROUNDUP('Forecasting for Perfume 50ml'!$L173*Fractions!W$18,0)</f>
        <v>11</v>
      </c>
      <c r="V113" s="396">
        <f>ROUNDUP('Forecasting for Perfume 50ml'!$L173*Fractions!X$18,0)</f>
        <v>15</v>
      </c>
      <c r="W113" s="396">
        <f>ROUNDUP('Forecasting for Perfume 50ml'!$L173*Fractions!Y$18,0)</f>
        <v>9</v>
      </c>
      <c r="X113" s="396">
        <f>ROUNDUP('Forecasting for Perfume 50ml'!$L173*Fractions!Z$18,0)</f>
        <v>16</v>
      </c>
      <c r="Y113" s="396">
        <f>ROUNDUP('Forecasting for Perfume 50ml'!$L173*Fractions!AA$18,0)</f>
        <v>31</v>
      </c>
      <c r="Z113" s="396">
        <f>ROUNDUP('Forecasting for Perfume 50ml'!$L173*Fractions!AB$18,0)</f>
        <v>15</v>
      </c>
      <c r="AA113" s="396">
        <f>ROUNDUP('Forecasting for Perfume 50ml'!$L173*Fractions!AC$18,0)</f>
        <v>9</v>
      </c>
      <c r="AB113" s="396">
        <f>ROUNDUP('Forecasting for Bodymist 100ml'!$L173*Fractions!AD$18,0)</f>
        <v>13</v>
      </c>
      <c r="AC113" s="396">
        <f>ROUNDUP('Forecasting for Bodymist 100ml'!$L173*Fractions!AE$18,0)</f>
        <v>9</v>
      </c>
      <c r="AD113" s="396">
        <f>ROUNDUP('Forecasting for Bodymist 100ml'!$L173*Fractions!AF$18,0)</f>
        <v>7</v>
      </c>
      <c r="AE113" s="396">
        <f>ROUNDUP('Forecasting for Bodymist 100ml'!$L173*Fractions!AG$18,0)</f>
        <v>14</v>
      </c>
    </row>
    <row r="114" spans="1:31" x14ac:dyDescent="0.35">
      <c r="A114" s="395">
        <v>46874</v>
      </c>
      <c r="B114" s="396">
        <f>ROUNDUP('Forecasting for Perfume 30ml '!$L174*Fractions!D$18,0)</f>
        <v>19</v>
      </c>
      <c r="C114" s="396">
        <f>ROUNDUP('Forecasting for Perfume 30ml '!$L174*Fractions!E$18,0)</f>
        <v>19</v>
      </c>
      <c r="D114" s="396">
        <f>ROUNDUP('Forecasting for Perfume 30ml '!$L174*Fractions!F$18,0)</f>
        <v>12</v>
      </c>
      <c r="E114" s="396">
        <f>ROUNDUP('Forecasting for Perfume 30ml '!$L174*Fractions!G$18,0)</f>
        <v>30</v>
      </c>
      <c r="F114" s="396">
        <f>ROUNDUP('Forecasting for Perfume 30ml '!$L174*Fractions!H$18,0)</f>
        <v>16</v>
      </c>
      <c r="G114" s="396">
        <f>ROUNDUP('Forecasting for Perfume 30ml '!$L174*Fractions!I$18,0)</f>
        <v>14</v>
      </c>
      <c r="H114" s="396">
        <f>ROUNDUP('Forecasting for Perfume 30ml '!$L174*Fractions!J$18,0)</f>
        <v>17</v>
      </c>
      <c r="I114" s="396">
        <f>ROUNDUP('Forecasting for Perfume 30ml '!$L174*Fractions!K$18,0)</f>
        <v>15</v>
      </c>
      <c r="J114" s="396">
        <f>ROUNDUP('Forecasting for Perfume 30ml '!$L174*Fractions!L$18,0)</f>
        <v>11</v>
      </c>
      <c r="K114" s="396">
        <f>ROUNDUP('Forecasting for Perfume 30ml '!$L174*Fractions!M$18,0)</f>
        <v>16</v>
      </c>
      <c r="L114" s="396">
        <f>ROUNDUP('Forecasting for Perfume 30ml '!$L174*Fractions!N$18,0)</f>
        <v>39</v>
      </c>
      <c r="M114" s="396">
        <f>ROUNDUP('Forecasting for Perfume 30ml '!$L174*Fractions!O$18,0)</f>
        <v>15</v>
      </c>
      <c r="N114" s="396">
        <f>ROUNDUP('Forecasting for Perfume 30ml '!$L174*Fractions!P$18,0)</f>
        <v>10</v>
      </c>
      <c r="O114" s="396">
        <f>ROUNDUP('Forecasting for Perfume 50ml'!$L174*Fractions!Q$18,0)</f>
        <v>22</v>
      </c>
      <c r="P114" s="396">
        <f>ROUNDUP('Forecasting for Perfume 50ml'!$L174*Fractions!R$18,0)</f>
        <v>23</v>
      </c>
      <c r="Q114" s="396">
        <f>ROUNDUP('Forecasting for Perfume 50ml'!$L174*Fractions!S$18,0)</f>
        <v>13</v>
      </c>
      <c r="R114" s="396">
        <f>ROUNDUP('Forecasting for Perfume 50ml'!$L174*Fractions!T$18,0)</f>
        <v>34</v>
      </c>
      <c r="S114" s="396">
        <f>ROUNDUP('Forecasting for Perfume 50ml'!$L174*Fractions!U$18,0)</f>
        <v>20</v>
      </c>
      <c r="T114" s="396">
        <f>ROUNDUP('Forecasting for Perfume 50ml'!$L174*Fractions!V$18,0)</f>
        <v>18</v>
      </c>
      <c r="U114" s="396">
        <f>ROUNDUP('Forecasting for Perfume 50ml'!$L174*Fractions!W$18,0)</f>
        <v>15</v>
      </c>
      <c r="V114" s="396">
        <f>ROUNDUP('Forecasting for Perfume 50ml'!$L174*Fractions!X$18,0)</f>
        <v>20</v>
      </c>
      <c r="W114" s="396">
        <f>ROUNDUP('Forecasting for Perfume 50ml'!$L174*Fractions!Y$18,0)</f>
        <v>12</v>
      </c>
      <c r="X114" s="396">
        <f>ROUNDUP('Forecasting for Perfume 50ml'!$L174*Fractions!Z$18,0)</f>
        <v>21</v>
      </c>
      <c r="Y114" s="396">
        <f>ROUNDUP('Forecasting for Perfume 50ml'!$L174*Fractions!AA$18,0)</f>
        <v>41</v>
      </c>
      <c r="Z114" s="396">
        <f>ROUNDUP('Forecasting for Perfume 50ml'!$L174*Fractions!AB$18,0)</f>
        <v>20</v>
      </c>
      <c r="AA114" s="396">
        <f>ROUNDUP('Forecasting for Perfume 50ml'!$L174*Fractions!AC$18,0)</f>
        <v>12</v>
      </c>
      <c r="AB114" s="396">
        <f>ROUNDUP('Forecasting for Bodymist 100ml'!$L174*Fractions!AD$18,0)</f>
        <v>16</v>
      </c>
      <c r="AC114" s="396">
        <f>ROUNDUP('Forecasting for Bodymist 100ml'!$L174*Fractions!AE$18,0)</f>
        <v>12</v>
      </c>
      <c r="AD114" s="396">
        <f>ROUNDUP('Forecasting for Bodymist 100ml'!$L174*Fractions!AF$18,0)</f>
        <v>9</v>
      </c>
      <c r="AE114" s="396">
        <f>ROUNDUP('Forecasting for Bodymist 100ml'!$L174*Fractions!AG$18,0)</f>
        <v>19</v>
      </c>
    </row>
    <row r="115" spans="1:31" x14ac:dyDescent="0.35">
      <c r="A115" s="395">
        <v>46905</v>
      </c>
      <c r="B115" s="396">
        <f>ROUNDUP('Forecasting for Perfume 30ml '!$L175*Fractions!D$18,0)</f>
        <v>16</v>
      </c>
      <c r="C115" s="396">
        <f>ROUNDUP('Forecasting for Perfume 30ml '!$L175*Fractions!E$18,0)</f>
        <v>16</v>
      </c>
      <c r="D115" s="396">
        <f>ROUNDUP('Forecasting for Perfume 30ml '!$L175*Fractions!F$18,0)</f>
        <v>10</v>
      </c>
      <c r="E115" s="396">
        <f>ROUNDUP('Forecasting for Perfume 30ml '!$L175*Fractions!G$18,0)</f>
        <v>26</v>
      </c>
      <c r="F115" s="396">
        <f>ROUNDUP('Forecasting for Perfume 30ml '!$L175*Fractions!H$18,0)</f>
        <v>14</v>
      </c>
      <c r="G115" s="396">
        <f>ROUNDUP('Forecasting for Perfume 30ml '!$L175*Fractions!I$18,0)</f>
        <v>12</v>
      </c>
      <c r="H115" s="396">
        <f>ROUNDUP('Forecasting for Perfume 30ml '!$L175*Fractions!J$18,0)</f>
        <v>14</v>
      </c>
      <c r="I115" s="396">
        <f>ROUNDUP('Forecasting for Perfume 30ml '!$L175*Fractions!K$18,0)</f>
        <v>13</v>
      </c>
      <c r="J115" s="396">
        <f>ROUNDUP('Forecasting for Perfume 30ml '!$L175*Fractions!L$18,0)</f>
        <v>10</v>
      </c>
      <c r="K115" s="396">
        <f>ROUNDUP('Forecasting for Perfume 30ml '!$L175*Fractions!M$18,0)</f>
        <v>14</v>
      </c>
      <c r="L115" s="396">
        <f>ROUNDUP('Forecasting for Perfume 30ml '!$L175*Fractions!N$18,0)</f>
        <v>33</v>
      </c>
      <c r="M115" s="396">
        <f>ROUNDUP('Forecasting for Perfume 30ml '!$L175*Fractions!O$18,0)</f>
        <v>13</v>
      </c>
      <c r="N115" s="396">
        <f>ROUNDUP('Forecasting for Perfume 30ml '!$L175*Fractions!P$18,0)</f>
        <v>9</v>
      </c>
      <c r="O115" s="396">
        <f>ROUNDUP('Forecasting for Perfume 50ml'!$L175*Fractions!Q$18,0)</f>
        <v>17</v>
      </c>
      <c r="P115" s="396">
        <f>ROUNDUP('Forecasting for Perfume 50ml'!$L175*Fractions!R$18,0)</f>
        <v>18</v>
      </c>
      <c r="Q115" s="396">
        <f>ROUNDUP('Forecasting for Perfume 50ml'!$L175*Fractions!S$18,0)</f>
        <v>10</v>
      </c>
      <c r="R115" s="396">
        <f>ROUNDUP('Forecasting for Perfume 50ml'!$L175*Fractions!T$18,0)</f>
        <v>26</v>
      </c>
      <c r="S115" s="396">
        <f>ROUNDUP('Forecasting for Perfume 50ml'!$L175*Fractions!U$18,0)</f>
        <v>15</v>
      </c>
      <c r="T115" s="396">
        <f>ROUNDUP('Forecasting for Perfume 50ml'!$L175*Fractions!V$18,0)</f>
        <v>14</v>
      </c>
      <c r="U115" s="396">
        <f>ROUNDUP('Forecasting for Perfume 50ml'!$L175*Fractions!W$18,0)</f>
        <v>11</v>
      </c>
      <c r="V115" s="396">
        <f>ROUNDUP('Forecasting for Perfume 50ml'!$L175*Fractions!X$18,0)</f>
        <v>15</v>
      </c>
      <c r="W115" s="396">
        <f>ROUNDUP('Forecasting for Perfume 50ml'!$L175*Fractions!Y$18,0)</f>
        <v>9</v>
      </c>
      <c r="X115" s="396">
        <f>ROUNDUP('Forecasting for Perfume 50ml'!$L175*Fractions!Z$18,0)</f>
        <v>16</v>
      </c>
      <c r="Y115" s="396">
        <f>ROUNDUP('Forecasting for Perfume 50ml'!$L175*Fractions!AA$18,0)</f>
        <v>31</v>
      </c>
      <c r="Z115" s="396">
        <f>ROUNDUP('Forecasting for Perfume 50ml'!$L175*Fractions!AB$18,0)</f>
        <v>15</v>
      </c>
      <c r="AA115" s="396">
        <f>ROUNDUP('Forecasting for Perfume 50ml'!$L175*Fractions!AC$18,0)</f>
        <v>9</v>
      </c>
      <c r="AB115" s="396">
        <f>ROUNDUP('Forecasting for Bodymist 100ml'!$L175*Fractions!AD$18,0)</f>
        <v>17</v>
      </c>
      <c r="AC115" s="396">
        <f>ROUNDUP('Forecasting for Bodymist 100ml'!$L175*Fractions!AE$18,0)</f>
        <v>12</v>
      </c>
      <c r="AD115" s="396">
        <f>ROUNDUP('Forecasting for Bodymist 100ml'!$L175*Fractions!AF$18,0)</f>
        <v>9</v>
      </c>
      <c r="AE115" s="396">
        <f>ROUNDUP('Forecasting for Bodymist 100ml'!$L175*Fractions!AG$18,0)</f>
        <v>19</v>
      </c>
    </row>
    <row r="116" spans="1:31" x14ac:dyDescent="0.35">
      <c r="A116" s="395">
        <v>46935</v>
      </c>
      <c r="B116" s="396">
        <f>ROUNDUP('Forecasting for Perfume 30ml '!$L176*Fractions!D$18,0)</f>
        <v>14</v>
      </c>
      <c r="C116" s="396">
        <f>ROUNDUP('Forecasting for Perfume 30ml '!$L176*Fractions!E$18,0)</f>
        <v>14</v>
      </c>
      <c r="D116" s="396">
        <f>ROUNDUP('Forecasting for Perfume 30ml '!$L176*Fractions!F$18,0)</f>
        <v>9</v>
      </c>
      <c r="E116" s="396">
        <f>ROUNDUP('Forecasting for Perfume 30ml '!$L176*Fractions!G$18,0)</f>
        <v>23</v>
      </c>
      <c r="F116" s="396">
        <f>ROUNDUP('Forecasting for Perfume 30ml '!$L176*Fractions!H$18,0)</f>
        <v>12</v>
      </c>
      <c r="G116" s="396">
        <f>ROUNDUP('Forecasting for Perfume 30ml '!$L176*Fractions!I$18,0)</f>
        <v>11</v>
      </c>
      <c r="H116" s="396">
        <f>ROUNDUP('Forecasting for Perfume 30ml '!$L176*Fractions!J$18,0)</f>
        <v>12</v>
      </c>
      <c r="I116" s="396">
        <f>ROUNDUP('Forecasting for Perfume 30ml '!$L176*Fractions!K$18,0)</f>
        <v>11</v>
      </c>
      <c r="J116" s="396">
        <f>ROUNDUP('Forecasting for Perfume 30ml '!$L176*Fractions!L$18,0)</f>
        <v>9</v>
      </c>
      <c r="K116" s="396">
        <f>ROUNDUP('Forecasting for Perfume 30ml '!$L176*Fractions!M$18,0)</f>
        <v>12</v>
      </c>
      <c r="L116" s="396">
        <f>ROUNDUP('Forecasting for Perfume 30ml '!$L176*Fractions!N$18,0)</f>
        <v>29</v>
      </c>
      <c r="M116" s="396">
        <f>ROUNDUP('Forecasting for Perfume 30ml '!$L176*Fractions!O$18,0)</f>
        <v>11</v>
      </c>
      <c r="N116" s="396">
        <f>ROUNDUP('Forecasting for Perfume 30ml '!$L176*Fractions!P$18,0)</f>
        <v>8</v>
      </c>
      <c r="O116" s="396">
        <f>ROUNDUP('Forecasting for Perfume 50ml'!$L176*Fractions!Q$18,0)</f>
        <v>16</v>
      </c>
      <c r="P116" s="396">
        <f>ROUNDUP('Forecasting for Perfume 50ml'!$L176*Fractions!R$18,0)</f>
        <v>16</v>
      </c>
      <c r="Q116" s="396">
        <f>ROUNDUP('Forecasting for Perfume 50ml'!$L176*Fractions!S$18,0)</f>
        <v>9</v>
      </c>
      <c r="R116" s="396">
        <f>ROUNDUP('Forecasting for Perfume 50ml'!$L176*Fractions!T$18,0)</f>
        <v>24</v>
      </c>
      <c r="S116" s="396">
        <f>ROUNDUP('Forecasting for Perfume 50ml'!$L176*Fractions!U$18,0)</f>
        <v>14</v>
      </c>
      <c r="T116" s="396">
        <f>ROUNDUP('Forecasting for Perfume 50ml'!$L176*Fractions!V$18,0)</f>
        <v>13</v>
      </c>
      <c r="U116" s="396">
        <f>ROUNDUP('Forecasting for Perfume 50ml'!$L176*Fractions!W$18,0)</f>
        <v>11</v>
      </c>
      <c r="V116" s="396">
        <f>ROUNDUP('Forecasting for Perfume 50ml'!$L176*Fractions!X$18,0)</f>
        <v>14</v>
      </c>
      <c r="W116" s="396">
        <f>ROUNDUP('Forecasting for Perfume 50ml'!$L176*Fractions!Y$18,0)</f>
        <v>9</v>
      </c>
      <c r="X116" s="396">
        <f>ROUNDUP('Forecasting for Perfume 50ml'!$L176*Fractions!Z$18,0)</f>
        <v>15</v>
      </c>
      <c r="Y116" s="396">
        <f>ROUNDUP('Forecasting for Perfume 50ml'!$L176*Fractions!AA$18,0)</f>
        <v>29</v>
      </c>
      <c r="Z116" s="396">
        <f>ROUNDUP('Forecasting for Perfume 50ml'!$L176*Fractions!AB$18,0)</f>
        <v>14</v>
      </c>
      <c r="AA116" s="396">
        <f>ROUNDUP('Forecasting for Perfume 50ml'!$L176*Fractions!AC$18,0)</f>
        <v>9</v>
      </c>
      <c r="AB116" s="396">
        <f>ROUNDUP('Forecasting for Bodymist 100ml'!$L176*Fractions!AD$18,0)</f>
        <v>10</v>
      </c>
      <c r="AC116" s="396">
        <f>ROUNDUP('Forecasting for Bodymist 100ml'!$L176*Fractions!AE$18,0)</f>
        <v>8</v>
      </c>
      <c r="AD116" s="396">
        <f>ROUNDUP('Forecasting for Bodymist 100ml'!$L176*Fractions!AF$18,0)</f>
        <v>6</v>
      </c>
      <c r="AE116" s="396">
        <f>ROUNDUP('Forecasting for Bodymist 100ml'!$L176*Fractions!AG$18,0)</f>
        <v>12</v>
      </c>
    </row>
    <row r="117" spans="1:31" x14ac:dyDescent="0.35">
      <c r="A117" s="395">
        <v>46966</v>
      </c>
      <c r="B117" s="396">
        <f>ROUNDUP('Forecasting for Perfume 30ml '!$L177*Fractions!D$18,0)</f>
        <v>15</v>
      </c>
      <c r="C117" s="396">
        <f>ROUNDUP('Forecasting for Perfume 30ml '!$L177*Fractions!E$18,0)</f>
        <v>15</v>
      </c>
      <c r="D117" s="396">
        <f>ROUNDUP('Forecasting for Perfume 30ml '!$L177*Fractions!F$18,0)</f>
        <v>10</v>
      </c>
      <c r="E117" s="396">
        <f>ROUNDUP('Forecasting for Perfume 30ml '!$L177*Fractions!G$18,0)</f>
        <v>24</v>
      </c>
      <c r="F117" s="396">
        <f>ROUNDUP('Forecasting for Perfume 30ml '!$L177*Fractions!H$18,0)</f>
        <v>13</v>
      </c>
      <c r="G117" s="396">
        <f>ROUNDUP('Forecasting for Perfume 30ml '!$L177*Fractions!I$18,0)</f>
        <v>12</v>
      </c>
      <c r="H117" s="396">
        <f>ROUNDUP('Forecasting for Perfume 30ml '!$L177*Fractions!J$18,0)</f>
        <v>13</v>
      </c>
      <c r="I117" s="396">
        <f>ROUNDUP('Forecasting for Perfume 30ml '!$L177*Fractions!K$18,0)</f>
        <v>12</v>
      </c>
      <c r="J117" s="396">
        <f>ROUNDUP('Forecasting for Perfume 30ml '!$L177*Fractions!L$18,0)</f>
        <v>9</v>
      </c>
      <c r="K117" s="396">
        <f>ROUNDUP('Forecasting for Perfume 30ml '!$L177*Fractions!M$18,0)</f>
        <v>13</v>
      </c>
      <c r="L117" s="396">
        <f>ROUNDUP('Forecasting for Perfume 30ml '!$L177*Fractions!N$18,0)</f>
        <v>31</v>
      </c>
      <c r="M117" s="396">
        <f>ROUNDUP('Forecasting for Perfume 30ml '!$L177*Fractions!O$18,0)</f>
        <v>12</v>
      </c>
      <c r="N117" s="396">
        <f>ROUNDUP('Forecasting for Perfume 30ml '!$L177*Fractions!P$18,0)</f>
        <v>8</v>
      </c>
      <c r="O117" s="396">
        <f>ROUNDUP('Forecasting for Perfume 50ml'!$L177*Fractions!Q$18,0)</f>
        <v>17</v>
      </c>
      <c r="P117" s="396">
        <f>ROUNDUP('Forecasting for Perfume 50ml'!$L177*Fractions!R$18,0)</f>
        <v>17</v>
      </c>
      <c r="Q117" s="396">
        <f>ROUNDUP('Forecasting for Perfume 50ml'!$L177*Fractions!S$18,0)</f>
        <v>10</v>
      </c>
      <c r="R117" s="396">
        <f>ROUNDUP('Forecasting for Perfume 50ml'!$L177*Fractions!T$18,0)</f>
        <v>25</v>
      </c>
      <c r="S117" s="396">
        <f>ROUNDUP('Forecasting for Perfume 50ml'!$L177*Fractions!U$18,0)</f>
        <v>15</v>
      </c>
      <c r="T117" s="396">
        <f>ROUNDUP('Forecasting for Perfume 50ml'!$L177*Fractions!V$18,0)</f>
        <v>13</v>
      </c>
      <c r="U117" s="396">
        <f>ROUNDUP('Forecasting for Perfume 50ml'!$L177*Fractions!W$18,0)</f>
        <v>11</v>
      </c>
      <c r="V117" s="396">
        <f>ROUNDUP('Forecasting for Perfume 50ml'!$L177*Fractions!X$18,0)</f>
        <v>15</v>
      </c>
      <c r="W117" s="396">
        <f>ROUNDUP('Forecasting for Perfume 50ml'!$L177*Fractions!Y$18,0)</f>
        <v>9</v>
      </c>
      <c r="X117" s="396">
        <f>ROUNDUP('Forecasting for Perfume 50ml'!$L177*Fractions!Z$18,0)</f>
        <v>16</v>
      </c>
      <c r="Y117" s="396">
        <f>ROUNDUP('Forecasting for Perfume 50ml'!$L177*Fractions!AA$18,0)</f>
        <v>31</v>
      </c>
      <c r="Z117" s="396">
        <f>ROUNDUP('Forecasting for Perfume 50ml'!$L177*Fractions!AB$18,0)</f>
        <v>15</v>
      </c>
      <c r="AA117" s="396">
        <f>ROUNDUP('Forecasting for Perfume 50ml'!$L177*Fractions!AC$18,0)</f>
        <v>9</v>
      </c>
      <c r="AB117" s="396">
        <f>ROUNDUP('Forecasting for Bodymist 100ml'!$L177*Fractions!AD$18,0)</f>
        <v>13</v>
      </c>
      <c r="AC117" s="396">
        <f>ROUNDUP('Forecasting for Bodymist 100ml'!$L177*Fractions!AE$18,0)</f>
        <v>9</v>
      </c>
      <c r="AD117" s="396">
        <f>ROUNDUP('Forecasting for Bodymist 100ml'!$L177*Fractions!AF$18,0)</f>
        <v>7</v>
      </c>
      <c r="AE117" s="396">
        <f>ROUNDUP('Forecasting for Bodymist 100ml'!$L177*Fractions!AG$18,0)</f>
        <v>14</v>
      </c>
    </row>
    <row r="118" spans="1:31" x14ac:dyDescent="0.35">
      <c r="A118" s="395">
        <v>46997</v>
      </c>
      <c r="B118" s="396">
        <f>ROUNDUP('Forecasting for Perfume 30ml '!$L178*Fractions!D$18,0)</f>
        <v>15</v>
      </c>
      <c r="C118" s="396">
        <f>ROUNDUP('Forecasting for Perfume 30ml '!$L178*Fractions!E$18,0)</f>
        <v>15</v>
      </c>
      <c r="D118" s="396">
        <f>ROUNDUP('Forecasting for Perfume 30ml '!$L178*Fractions!F$18,0)</f>
        <v>10</v>
      </c>
      <c r="E118" s="396">
        <f>ROUNDUP('Forecasting for Perfume 30ml '!$L178*Fractions!G$18,0)</f>
        <v>24</v>
      </c>
      <c r="F118" s="396">
        <f>ROUNDUP('Forecasting for Perfume 30ml '!$L178*Fractions!H$18,0)</f>
        <v>13</v>
      </c>
      <c r="G118" s="396">
        <f>ROUNDUP('Forecasting for Perfume 30ml '!$L178*Fractions!I$18,0)</f>
        <v>12</v>
      </c>
      <c r="H118" s="396">
        <f>ROUNDUP('Forecasting for Perfume 30ml '!$L178*Fractions!J$18,0)</f>
        <v>13</v>
      </c>
      <c r="I118" s="396">
        <f>ROUNDUP('Forecasting for Perfume 30ml '!$L178*Fractions!K$18,0)</f>
        <v>12</v>
      </c>
      <c r="J118" s="396">
        <f>ROUNDUP('Forecasting for Perfume 30ml '!$L178*Fractions!L$18,0)</f>
        <v>9</v>
      </c>
      <c r="K118" s="396">
        <f>ROUNDUP('Forecasting for Perfume 30ml '!$L178*Fractions!M$18,0)</f>
        <v>13</v>
      </c>
      <c r="L118" s="396">
        <f>ROUNDUP('Forecasting for Perfume 30ml '!$L178*Fractions!N$18,0)</f>
        <v>31</v>
      </c>
      <c r="M118" s="396">
        <f>ROUNDUP('Forecasting for Perfume 30ml '!$L178*Fractions!O$18,0)</f>
        <v>12</v>
      </c>
      <c r="N118" s="396">
        <f>ROUNDUP('Forecasting for Perfume 30ml '!$L178*Fractions!P$18,0)</f>
        <v>8</v>
      </c>
      <c r="O118" s="396">
        <f>ROUNDUP('Forecasting for Perfume 50ml'!$L178*Fractions!Q$18,0)</f>
        <v>17</v>
      </c>
      <c r="P118" s="396">
        <f>ROUNDUP('Forecasting for Perfume 50ml'!$L178*Fractions!R$18,0)</f>
        <v>17</v>
      </c>
      <c r="Q118" s="396">
        <f>ROUNDUP('Forecasting for Perfume 50ml'!$L178*Fractions!S$18,0)</f>
        <v>10</v>
      </c>
      <c r="R118" s="396">
        <f>ROUNDUP('Forecasting for Perfume 50ml'!$L178*Fractions!T$18,0)</f>
        <v>25</v>
      </c>
      <c r="S118" s="396">
        <f>ROUNDUP('Forecasting for Perfume 50ml'!$L178*Fractions!U$18,0)</f>
        <v>15</v>
      </c>
      <c r="T118" s="396">
        <f>ROUNDUP('Forecasting for Perfume 50ml'!$L178*Fractions!V$18,0)</f>
        <v>13</v>
      </c>
      <c r="U118" s="396">
        <f>ROUNDUP('Forecasting for Perfume 50ml'!$L178*Fractions!W$18,0)</f>
        <v>11</v>
      </c>
      <c r="V118" s="396">
        <f>ROUNDUP('Forecasting for Perfume 50ml'!$L178*Fractions!X$18,0)</f>
        <v>15</v>
      </c>
      <c r="W118" s="396">
        <f>ROUNDUP('Forecasting for Perfume 50ml'!$L178*Fractions!Y$18,0)</f>
        <v>9</v>
      </c>
      <c r="X118" s="396">
        <f>ROUNDUP('Forecasting for Perfume 50ml'!$L178*Fractions!Z$18,0)</f>
        <v>16</v>
      </c>
      <c r="Y118" s="396">
        <f>ROUNDUP('Forecasting for Perfume 50ml'!$L178*Fractions!AA$18,0)</f>
        <v>31</v>
      </c>
      <c r="Z118" s="396">
        <f>ROUNDUP('Forecasting for Perfume 50ml'!$L178*Fractions!AB$18,0)</f>
        <v>15</v>
      </c>
      <c r="AA118" s="396">
        <f>ROUNDUP('Forecasting for Perfume 50ml'!$L178*Fractions!AC$18,0)</f>
        <v>9</v>
      </c>
      <c r="AB118" s="396">
        <f>ROUNDUP('Forecasting for Bodymist 100ml'!$L178*Fractions!AD$18,0)</f>
        <v>13</v>
      </c>
      <c r="AC118" s="396">
        <f>ROUNDUP('Forecasting for Bodymist 100ml'!$L178*Fractions!AE$18,0)</f>
        <v>9</v>
      </c>
      <c r="AD118" s="396">
        <f>ROUNDUP('Forecasting for Bodymist 100ml'!$L178*Fractions!AF$18,0)</f>
        <v>7</v>
      </c>
      <c r="AE118" s="396">
        <f>ROUNDUP('Forecasting for Bodymist 100ml'!$L178*Fractions!AG$18,0)</f>
        <v>14</v>
      </c>
    </row>
    <row r="119" spans="1:31" x14ac:dyDescent="0.35">
      <c r="A119" s="395">
        <v>47027</v>
      </c>
      <c r="B119" s="396">
        <f>ROUNDUP('Forecasting for Perfume 30ml '!$L179*Fractions!D$18,0)</f>
        <v>15</v>
      </c>
      <c r="C119" s="396">
        <f>ROUNDUP('Forecasting for Perfume 30ml '!$L179*Fractions!E$18,0)</f>
        <v>15</v>
      </c>
      <c r="D119" s="396">
        <f>ROUNDUP('Forecasting for Perfume 30ml '!$L179*Fractions!F$18,0)</f>
        <v>10</v>
      </c>
      <c r="E119" s="396">
        <f>ROUNDUP('Forecasting for Perfume 30ml '!$L179*Fractions!G$18,0)</f>
        <v>24</v>
      </c>
      <c r="F119" s="396">
        <f>ROUNDUP('Forecasting for Perfume 30ml '!$L179*Fractions!H$18,0)</f>
        <v>13</v>
      </c>
      <c r="G119" s="396">
        <f>ROUNDUP('Forecasting for Perfume 30ml '!$L179*Fractions!I$18,0)</f>
        <v>12</v>
      </c>
      <c r="H119" s="396">
        <f>ROUNDUP('Forecasting for Perfume 30ml '!$L179*Fractions!J$18,0)</f>
        <v>13</v>
      </c>
      <c r="I119" s="396">
        <f>ROUNDUP('Forecasting for Perfume 30ml '!$L179*Fractions!K$18,0)</f>
        <v>12</v>
      </c>
      <c r="J119" s="396">
        <f>ROUNDUP('Forecasting for Perfume 30ml '!$L179*Fractions!L$18,0)</f>
        <v>9</v>
      </c>
      <c r="K119" s="396">
        <f>ROUNDUP('Forecasting for Perfume 30ml '!$L179*Fractions!M$18,0)</f>
        <v>13</v>
      </c>
      <c r="L119" s="396">
        <f>ROUNDUP('Forecasting for Perfume 30ml '!$L179*Fractions!N$18,0)</f>
        <v>31</v>
      </c>
      <c r="M119" s="396">
        <f>ROUNDUP('Forecasting for Perfume 30ml '!$L179*Fractions!O$18,0)</f>
        <v>12</v>
      </c>
      <c r="N119" s="396">
        <f>ROUNDUP('Forecasting for Perfume 30ml '!$L179*Fractions!P$18,0)</f>
        <v>8</v>
      </c>
      <c r="O119" s="396">
        <f>ROUNDUP('Forecasting for Perfume 50ml'!$L179*Fractions!Q$18,0)</f>
        <v>17</v>
      </c>
      <c r="P119" s="396">
        <f>ROUNDUP('Forecasting for Perfume 50ml'!$L179*Fractions!R$18,0)</f>
        <v>17</v>
      </c>
      <c r="Q119" s="396">
        <f>ROUNDUP('Forecasting for Perfume 50ml'!$L179*Fractions!S$18,0)</f>
        <v>10</v>
      </c>
      <c r="R119" s="396">
        <f>ROUNDUP('Forecasting for Perfume 50ml'!$L179*Fractions!T$18,0)</f>
        <v>25</v>
      </c>
      <c r="S119" s="396">
        <f>ROUNDUP('Forecasting for Perfume 50ml'!$L179*Fractions!U$18,0)</f>
        <v>15</v>
      </c>
      <c r="T119" s="396">
        <f>ROUNDUP('Forecasting for Perfume 50ml'!$L179*Fractions!V$18,0)</f>
        <v>13</v>
      </c>
      <c r="U119" s="396">
        <f>ROUNDUP('Forecasting for Perfume 50ml'!$L179*Fractions!W$18,0)</f>
        <v>11</v>
      </c>
      <c r="V119" s="396">
        <f>ROUNDUP('Forecasting for Perfume 50ml'!$L179*Fractions!X$18,0)</f>
        <v>15</v>
      </c>
      <c r="W119" s="396">
        <f>ROUNDUP('Forecasting for Perfume 50ml'!$L179*Fractions!Y$18,0)</f>
        <v>9</v>
      </c>
      <c r="X119" s="396">
        <f>ROUNDUP('Forecasting for Perfume 50ml'!$L179*Fractions!Z$18,0)</f>
        <v>16</v>
      </c>
      <c r="Y119" s="396">
        <f>ROUNDUP('Forecasting for Perfume 50ml'!$L179*Fractions!AA$18,0)</f>
        <v>31</v>
      </c>
      <c r="Z119" s="396">
        <f>ROUNDUP('Forecasting for Perfume 50ml'!$L179*Fractions!AB$18,0)</f>
        <v>15</v>
      </c>
      <c r="AA119" s="396">
        <f>ROUNDUP('Forecasting for Perfume 50ml'!$L179*Fractions!AC$18,0)</f>
        <v>9</v>
      </c>
      <c r="AB119" s="396">
        <f>ROUNDUP('Forecasting for Bodymist 100ml'!$L179*Fractions!AD$18,0)</f>
        <v>13</v>
      </c>
      <c r="AC119" s="396">
        <f>ROUNDUP('Forecasting for Bodymist 100ml'!$L179*Fractions!AE$18,0)</f>
        <v>9</v>
      </c>
      <c r="AD119" s="396">
        <f>ROUNDUP('Forecasting for Bodymist 100ml'!$L179*Fractions!AF$18,0)</f>
        <v>7</v>
      </c>
      <c r="AE119" s="396">
        <f>ROUNDUP('Forecasting for Bodymist 100ml'!$L179*Fractions!AG$18,0)</f>
        <v>14</v>
      </c>
    </row>
    <row r="120" spans="1:31" x14ac:dyDescent="0.35">
      <c r="A120" s="395">
        <v>47058</v>
      </c>
      <c r="B120" s="396">
        <f>ROUNDUP('Forecasting for Perfume 30ml '!$L180*Fractions!D$18,0)</f>
        <v>15</v>
      </c>
      <c r="C120" s="396">
        <f>ROUNDUP('Forecasting for Perfume 30ml '!$L180*Fractions!E$18,0)</f>
        <v>15</v>
      </c>
      <c r="D120" s="396">
        <f>ROUNDUP('Forecasting for Perfume 30ml '!$L180*Fractions!F$18,0)</f>
        <v>10</v>
      </c>
      <c r="E120" s="396">
        <f>ROUNDUP('Forecasting for Perfume 30ml '!$L180*Fractions!G$18,0)</f>
        <v>24</v>
      </c>
      <c r="F120" s="396">
        <f>ROUNDUP('Forecasting for Perfume 30ml '!$L180*Fractions!H$18,0)</f>
        <v>13</v>
      </c>
      <c r="G120" s="396">
        <f>ROUNDUP('Forecasting for Perfume 30ml '!$L180*Fractions!I$18,0)</f>
        <v>12</v>
      </c>
      <c r="H120" s="396">
        <f>ROUNDUP('Forecasting for Perfume 30ml '!$L180*Fractions!J$18,0)</f>
        <v>13</v>
      </c>
      <c r="I120" s="396">
        <f>ROUNDUP('Forecasting for Perfume 30ml '!$L180*Fractions!K$18,0)</f>
        <v>12</v>
      </c>
      <c r="J120" s="396">
        <f>ROUNDUP('Forecasting for Perfume 30ml '!$L180*Fractions!L$18,0)</f>
        <v>9</v>
      </c>
      <c r="K120" s="396">
        <f>ROUNDUP('Forecasting for Perfume 30ml '!$L180*Fractions!M$18,0)</f>
        <v>13</v>
      </c>
      <c r="L120" s="396">
        <f>ROUNDUP('Forecasting for Perfume 30ml '!$L180*Fractions!N$18,0)</f>
        <v>31</v>
      </c>
      <c r="M120" s="396">
        <f>ROUNDUP('Forecasting for Perfume 30ml '!$L180*Fractions!O$18,0)</f>
        <v>12</v>
      </c>
      <c r="N120" s="396">
        <f>ROUNDUP('Forecasting for Perfume 30ml '!$L180*Fractions!P$18,0)</f>
        <v>8</v>
      </c>
      <c r="O120" s="396">
        <f>ROUNDUP('Forecasting for Perfume 50ml'!$L180*Fractions!Q$18,0)</f>
        <v>17</v>
      </c>
      <c r="P120" s="396">
        <f>ROUNDUP('Forecasting for Perfume 50ml'!$L180*Fractions!R$18,0)</f>
        <v>17</v>
      </c>
      <c r="Q120" s="396">
        <f>ROUNDUP('Forecasting for Perfume 50ml'!$L180*Fractions!S$18,0)</f>
        <v>10</v>
      </c>
      <c r="R120" s="396">
        <f>ROUNDUP('Forecasting for Perfume 50ml'!$L180*Fractions!T$18,0)</f>
        <v>25</v>
      </c>
      <c r="S120" s="396">
        <f>ROUNDUP('Forecasting for Perfume 50ml'!$L180*Fractions!U$18,0)</f>
        <v>15</v>
      </c>
      <c r="T120" s="396">
        <f>ROUNDUP('Forecasting for Perfume 50ml'!$L180*Fractions!V$18,0)</f>
        <v>13</v>
      </c>
      <c r="U120" s="396">
        <f>ROUNDUP('Forecasting for Perfume 50ml'!$L180*Fractions!W$18,0)</f>
        <v>11</v>
      </c>
      <c r="V120" s="396">
        <f>ROUNDUP('Forecasting for Perfume 50ml'!$L180*Fractions!X$18,0)</f>
        <v>15</v>
      </c>
      <c r="W120" s="396">
        <f>ROUNDUP('Forecasting for Perfume 50ml'!$L180*Fractions!Y$18,0)</f>
        <v>9</v>
      </c>
      <c r="X120" s="396">
        <f>ROUNDUP('Forecasting for Perfume 50ml'!$L180*Fractions!Z$18,0)</f>
        <v>16</v>
      </c>
      <c r="Y120" s="396">
        <f>ROUNDUP('Forecasting for Perfume 50ml'!$L180*Fractions!AA$18,0)</f>
        <v>31</v>
      </c>
      <c r="Z120" s="396">
        <f>ROUNDUP('Forecasting for Perfume 50ml'!$L180*Fractions!AB$18,0)</f>
        <v>15</v>
      </c>
      <c r="AA120" s="396">
        <f>ROUNDUP('Forecasting for Perfume 50ml'!$L180*Fractions!AC$18,0)</f>
        <v>9</v>
      </c>
      <c r="AB120" s="396">
        <f>ROUNDUP('Forecasting for Bodymist 100ml'!$L180*Fractions!AD$18,0)</f>
        <v>13</v>
      </c>
      <c r="AC120" s="396">
        <f>ROUNDUP('Forecasting for Bodymist 100ml'!$L180*Fractions!AE$18,0)</f>
        <v>9</v>
      </c>
      <c r="AD120" s="396">
        <f>ROUNDUP('Forecasting for Bodymist 100ml'!$L180*Fractions!AF$18,0)</f>
        <v>7</v>
      </c>
      <c r="AE120" s="396">
        <f>ROUNDUP('Forecasting for Bodymist 100ml'!$L180*Fractions!AG$18,0)</f>
        <v>14</v>
      </c>
    </row>
    <row r="121" spans="1:31" x14ac:dyDescent="0.35">
      <c r="A121" s="395">
        <v>47088</v>
      </c>
      <c r="B121" s="396">
        <f>ROUNDUP('Forecasting for Perfume 30ml '!$L181*Fractions!D$18,0)</f>
        <v>31</v>
      </c>
      <c r="C121" s="396">
        <f>ROUNDUP('Forecasting for Perfume 30ml '!$L181*Fractions!E$18,0)</f>
        <v>31</v>
      </c>
      <c r="D121" s="396">
        <f>ROUNDUP('Forecasting for Perfume 30ml '!$L181*Fractions!F$18,0)</f>
        <v>20</v>
      </c>
      <c r="E121" s="396">
        <f>ROUNDUP('Forecasting for Perfume 30ml '!$L181*Fractions!G$18,0)</f>
        <v>50</v>
      </c>
      <c r="F121" s="396">
        <f>ROUNDUP('Forecasting for Perfume 30ml '!$L181*Fractions!H$18,0)</f>
        <v>26</v>
      </c>
      <c r="G121" s="396">
        <f>ROUNDUP('Forecasting for Perfume 30ml '!$L181*Fractions!I$18,0)</f>
        <v>23</v>
      </c>
      <c r="H121" s="396">
        <f>ROUNDUP('Forecasting for Perfume 30ml '!$L181*Fractions!J$18,0)</f>
        <v>27</v>
      </c>
      <c r="I121" s="396">
        <f>ROUNDUP('Forecasting for Perfume 30ml '!$L181*Fractions!K$18,0)</f>
        <v>25</v>
      </c>
      <c r="J121" s="396">
        <f>ROUNDUP('Forecasting for Perfume 30ml '!$L181*Fractions!L$18,0)</f>
        <v>18</v>
      </c>
      <c r="K121" s="396">
        <f>ROUNDUP('Forecasting for Perfume 30ml '!$L181*Fractions!M$18,0)</f>
        <v>26</v>
      </c>
      <c r="L121" s="396">
        <f>ROUNDUP('Forecasting for Perfume 30ml '!$L181*Fractions!N$18,0)</f>
        <v>63</v>
      </c>
      <c r="M121" s="396">
        <f>ROUNDUP('Forecasting for Perfume 30ml '!$L181*Fractions!O$18,0)</f>
        <v>25</v>
      </c>
      <c r="N121" s="396">
        <f>ROUNDUP('Forecasting for Perfume 30ml '!$L181*Fractions!P$18,0)</f>
        <v>17</v>
      </c>
      <c r="O121" s="396">
        <f>ROUNDUP('Forecasting for Perfume 50ml'!$L181*Fractions!Q$18,0)</f>
        <v>35</v>
      </c>
      <c r="P121" s="396">
        <f>ROUNDUP('Forecasting for Perfume 50ml'!$L181*Fractions!R$18,0)</f>
        <v>37</v>
      </c>
      <c r="Q121" s="396">
        <f>ROUNDUP('Forecasting for Perfume 50ml'!$L181*Fractions!S$18,0)</f>
        <v>21</v>
      </c>
      <c r="R121" s="396">
        <f>ROUNDUP('Forecasting for Perfume 50ml'!$L181*Fractions!T$18,0)</f>
        <v>53</v>
      </c>
      <c r="S121" s="396">
        <f>ROUNDUP('Forecasting for Perfume 50ml'!$L181*Fractions!U$18,0)</f>
        <v>31</v>
      </c>
      <c r="T121" s="396">
        <f>ROUNDUP('Forecasting for Perfume 50ml'!$L181*Fractions!V$18,0)</f>
        <v>28</v>
      </c>
      <c r="U121" s="396">
        <f>ROUNDUP('Forecasting for Perfume 50ml'!$L181*Fractions!W$18,0)</f>
        <v>24</v>
      </c>
      <c r="V121" s="396">
        <f>ROUNDUP('Forecasting for Perfume 50ml'!$L181*Fractions!X$18,0)</f>
        <v>32</v>
      </c>
      <c r="W121" s="396">
        <f>ROUNDUP('Forecasting for Perfume 50ml'!$L181*Fractions!Y$18,0)</f>
        <v>19</v>
      </c>
      <c r="X121" s="396">
        <f>ROUNDUP('Forecasting for Perfume 50ml'!$L181*Fractions!Z$18,0)</f>
        <v>33</v>
      </c>
      <c r="Y121" s="396">
        <f>ROUNDUP('Forecasting for Perfume 50ml'!$L181*Fractions!AA$18,0)</f>
        <v>65</v>
      </c>
      <c r="Z121" s="396">
        <f>ROUNDUP('Forecasting for Perfume 50ml'!$L181*Fractions!AB$18,0)</f>
        <v>32</v>
      </c>
      <c r="AA121" s="396">
        <f>ROUNDUP('Forecasting for Perfume 50ml'!$L181*Fractions!AC$18,0)</f>
        <v>19</v>
      </c>
      <c r="AB121" s="396">
        <f>ROUNDUP('Forecasting for Bodymist 100ml'!$L181*Fractions!AD$18,0)</f>
        <v>32</v>
      </c>
      <c r="AC121" s="396">
        <f>ROUNDUP('Forecasting for Bodymist 100ml'!$L181*Fractions!AE$18,0)</f>
        <v>24</v>
      </c>
      <c r="AD121" s="396">
        <f>ROUNDUP('Forecasting for Bodymist 100ml'!$L181*Fractions!AF$18,0)</f>
        <v>18</v>
      </c>
      <c r="AE121" s="396">
        <f>ROUNDUP('Forecasting for Bodymist 100ml'!$L181*Fractions!AG$18,0)</f>
        <v>37</v>
      </c>
    </row>
    <row r="122" spans="1:31" x14ac:dyDescent="0.35">
      <c r="A122" s="171"/>
      <c r="B122" t="s">
        <v>494</v>
      </c>
      <c r="C122" t="s">
        <v>494</v>
      </c>
      <c r="D122" t="s">
        <v>494</v>
      </c>
      <c r="E122" t="s">
        <v>494</v>
      </c>
      <c r="F122" t="s">
        <v>494</v>
      </c>
      <c r="G122" t="s">
        <v>494</v>
      </c>
      <c r="H122" t="s">
        <v>494</v>
      </c>
      <c r="I122" t="s">
        <v>494</v>
      </c>
      <c r="J122" t="s">
        <v>494</v>
      </c>
      <c r="K122" t="s">
        <v>494</v>
      </c>
      <c r="L122" t="s">
        <v>494</v>
      </c>
      <c r="M122" t="s">
        <v>494</v>
      </c>
      <c r="N122" t="s">
        <v>494</v>
      </c>
      <c r="O122" t="s">
        <v>494</v>
      </c>
      <c r="P122" t="s">
        <v>494</v>
      </c>
      <c r="Q122" t="s">
        <v>494</v>
      </c>
      <c r="R122" t="s">
        <v>494</v>
      </c>
      <c r="S122" t="s">
        <v>494</v>
      </c>
      <c r="T122" t="s">
        <v>494</v>
      </c>
      <c r="U122" t="s">
        <v>494</v>
      </c>
      <c r="V122" t="s">
        <v>494</v>
      </c>
      <c r="W122" t="s">
        <v>494</v>
      </c>
      <c r="X122" t="s">
        <v>494</v>
      </c>
      <c r="Y122" t="s">
        <v>494</v>
      </c>
      <c r="Z122" t="s">
        <v>494</v>
      </c>
      <c r="AA122" t="s">
        <v>494</v>
      </c>
      <c r="AB122" t="s">
        <v>494</v>
      </c>
      <c r="AC122" t="s">
        <v>494</v>
      </c>
      <c r="AD122" t="s">
        <v>494</v>
      </c>
      <c r="AE122" t="s">
        <v>494</v>
      </c>
    </row>
    <row r="123" spans="1:31" x14ac:dyDescent="0.35">
      <c r="A123" s="171"/>
      <c r="B123" t="s">
        <v>494</v>
      </c>
      <c r="C123" t="s">
        <v>494</v>
      </c>
      <c r="D123" t="s">
        <v>494</v>
      </c>
      <c r="E123" t="s">
        <v>494</v>
      </c>
      <c r="F123" t="s">
        <v>494</v>
      </c>
      <c r="G123" t="s">
        <v>494</v>
      </c>
      <c r="H123" t="s">
        <v>494</v>
      </c>
      <c r="I123" t="s">
        <v>494</v>
      </c>
      <c r="J123" t="s">
        <v>494</v>
      </c>
      <c r="K123" t="s">
        <v>494</v>
      </c>
      <c r="L123" t="s">
        <v>494</v>
      </c>
      <c r="M123" t="s">
        <v>494</v>
      </c>
      <c r="N123" t="s">
        <v>494</v>
      </c>
      <c r="O123" t="s">
        <v>494</v>
      </c>
      <c r="P123" t="s">
        <v>494</v>
      </c>
      <c r="Q123" t="s">
        <v>494</v>
      </c>
      <c r="R123" t="s">
        <v>494</v>
      </c>
      <c r="S123" t="s">
        <v>494</v>
      </c>
      <c r="T123" t="s">
        <v>494</v>
      </c>
      <c r="U123" t="s">
        <v>494</v>
      </c>
      <c r="V123" t="s">
        <v>494</v>
      </c>
      <c r="W123" t="s">
        <v>494</v>
      </c>
      <c r="X123" t="s">
        <v>494</v>
      </c>
      <c r="Y123" t="s">
        <v>494</v>
      </c>
      <c r="Z123" t="s">
        <v>494</v>
      </c>
      <c r="AA123" t="s">
        <v>494</v>
      </c>
      <c r="AB123" t="s">
        <v>494</v>
      </c>
      <c r="AC123" t="s">
        <v>494</v>
      </c>
      <c r="AD123" t="s">
        <v>494</v>
      </c>
      <c r="AE123" t="s">
        <v>494</v>
      </c>
    </row>
    <row r="124" spans="1:31" x14ac:dyDescent="0.35">
      <c r="A124" s="171"/>
      <c r="B124" t="s">
        <v>494</v>
      </c>
      <c r="C124" t="s">
        <v>494</v>
      </c>
      <c r="D124" t="s">
        <v>494</v>
      </c>
      <c r="E124" t="s">
        <v>494</v>
      </c>
      <c r="F124" t="s">
        <v>494</v>
      </c>
      <c r="G124" t="s">
        <v>494</v>
      </c>
      <c r="H124" t="s">
        <v>494</v>
      </c>
      <c r="I124" t="s">
        <v>494</v>
      </c>
      <c r="J124" t="s">
        <v>494</v>
      </c>
      <c r="K124" t="s">
        <v>494</v>
      </c>
      <c r="L124" t="s">
        <v>494</v>
      </c>
      <c r="M124" t="s">
        <v>494</v>
      </c>
      <c r="N124" t="s">
        <v>494</v>
      </c>
      <c r="O124" t="s">
        <v>494</v>
      </c>
      <c r="P124" t="s">
        <v>494</v>
      </c>
      <c r="Q124" t="s">
        <v>494</v>
      </c>
      <c r="R124" t="s">
        <v>494</v>
      </c>
      <c r="S124" t="s">
        <v>494</v>
      </c>
      <c r="T124" t="s">
        <v>494</v>
      </c>
      <c r="U124" t="s">
        <v>494</v>
      </c>
      <c r="V124" t="s">
        <v>494</v>
      </c>
      <c r="W124" t="s">
        <v>494</v>
      </c>
      <c r="X124" t="s">
        <v>494</v>
      </c>
      <c r="Y124" t="s">
        <v>494</v>
      </c>
      <c r="Z124" t="s">
        <v>494</v>
      </c>
      <c r="AA124" t="s">
        <v>494</v>
      </c>
      <c r="AB124" t="s">
        <v>494</v>
      </c>
      <c r="AC124" t="s">
        <v>494</v>
      </c>
      <c r="AD124" t="s">
        <v>494</v>
      </c>
      <c r="AE124" t="s">
        <v>494</v>
      </c>
    </row>
    <row r="125" spans="1:31" x14ac:dyDescent="0.35">
      <c r="A125" s="171"/>
      <c r="B125" t="s">
        <v>494</v>
      </c>
      <c r="C125" t="s">
        <v>494</v>
      </c>
      <c r="D125" t="s">
        <v>494</v>
      </c>
      <c r="E125" t="s">
        <v>494</v>
      </c>
      <c r="F125" t="s">
        <v>494</v>
      </c>
      <c r="G125" t="s">
        <v>494</v>
      </c>
      <c r="H125" t="s">
        <v>494</v>
      </c>
      <c r="I125" t="s">
        <v>494</v>
      </c>
      <c r="J125" t="s">
        <v>494</v>
      </c>
      <c r="K125" t="s">
        <v>494</v>
      </c>
      <c r="L125" t="s">
        <v>494</v>
      </c>
      <c r="M125" t="s">
        <v>494</v>
      </c>
      <c r="N125" t="s">
        <v>494</v>
      </c>
      <c r="O125" t="s">
        <v>494</v>
      </c>
      <c r="P125" t="s">
        <v>494</v>
      </c>
      <c r="Q125" t="s">
        <v>494</v>
      </c>
      <c r="R125" t="s">
        <v>494</v>
      </c>
      <c r="S125" t="s">
        <v>494</v>
      </c>
      <c r="T125" t="s">
        <v>494</v>
      </c>
      <c r="U125" t="s">
        <v>494</v>
      </c>
      <c r="V125" t="s">
        <v>494</v>
      </c>
      <c r="W125" t="s">
        <v>494</v>
      </c>
      <c r="X125" t="s">
        <v>494</v>
      </c>
      <c r="Y125" t="s">
        <v>494</v>
      </c>
      <c r="Z125" t="s">
        <v>494</v>
      </c>
      <c r="AA125" t="s">
        <v>494</v>
      </c>
      <c r="AB125" t="s">
        <v>494</v>
      </c>
      <c r="AC125" t="s">
        <v>494</v>
      </c>
      <c r="AD125" t="s">
        <v>494</v>
      </c>
      <c r="AE125" t="s">
        <v>494</v>
      </c>
    </row>
    <row r="126" spans="1:31" x14ac:dyDescent="0.35">
      <c r="A126" s="171"/>
      <c r="B126" t="s">
        <v>494</v>
      </c>
      <c r="C126" t="s">
        <v>494</v>
      </c>
      <c r="D126" t="s">
        <v>494</v>
      </c>
      <c r="E126" t="s">
        <v>494</v>
      </c>
      <c r="F126" t="s">
        <v>494</v>
      </c>
      <c r="G126" t="s">
        <v>494</v>
      </c>
      <c r="H126" t="s">
        <v>494</v>
      </c>
      <c r="I126" t="s">
        <v>494</v>
      </c>
      <c r="J126" t="s">
        <v>494</v>
      </c>
      <c r="K126" t="s">
        <v>494</v>
      </c>
      <c r="L126" t="s">
        <v>494</v>
      </c>
      <c r="M126" t="s">
        <v>494</v>
      </c>
      <c r="N126" t="s">
        <v>494</v>
      </c>
      <c r="O126" t="s">
        <v>494</v>
      </c>
      <c r="P126" t="s">
        <v>494</v>
      </c>
      <c r="Q126" t="s">
        <v>494</v>
      </c>
      <c r="R126" t="s">
        <v>494</v>
      </c>
      <c r="S126" t="s">
        <v>494</v>
      </c>
      <c r="T126" t="s">
        <v>494</v>
      </c>
      <c r="U126" t="s">
        <v>494</v>
      </c>
      <c r="V126" t="s">
        <v>494</v>
      </c>
      <c r="W126" t="s">
        <v>494</v>
      </c>
      <c r="X126" t="s">
        <v>494</v>
      </c>
      <c r="Y126" t="s">
        <v>494</v>
      </c>
      <c r="Z126" t="s">
        <v>494</v>
      </c>
      <c r="AA126" t="s">
        <v>494</v>
      </c>
      <c r="AB126" t="s">
        <v>494</v>
      </c>
      <c r="AC126" t="s">
        <v>494</v>
      </c>
      <c r="AD126" t="s">
        <v>494</v>
      </c>
      <c r="AE126" t="s">
        <v>494</v>
      </c>
    </row>
    <row r="127" spans="1:31" x14ac:dyDescent="0.35">
      <c r="A127" s="171"/>
      <c r="B127" t="s">
        <v>494</v>
      </c>
      <c r="C127" t="s">
        <v>494</v>
      </c>
      <c r="D127" t="s">
        <v>494</v>
      </c>
      <c r="E127" t="s">
        <v>494</v>
      </c>
      <c r="F127" t="s">
        <v>494</v>
      </c>
      <c r="G127" t="s">
        <v>494</v>
      </c>
      <c r="H127" t="s">
        <v>494</v>
      </c>
      <c r="I127" t="s">
        <v>494</v>
      </c>
      <c r="J127" t="s">
        <v>494</v>
      </c>
      <c r="K127" t="s">
        <v>494</v>
      </c>
      <c r="L127" t="s">
        <v>494</v>
      </c>
      <c r="M127" t="s">
        <v>494</v>
      </c>
      <c r="N127" t="s">
        <v>494</v>
      </c>
      <c r="O127" t="s">
        <v>494</v>
      </c>
      <c r="P127" t="s">
        <v>494</v>
      </c>
      <c r="Q127" t="s">
        <v>494</v>
      </c>
      <c r="R127" t="s">
        <v>494</v>
      </c>
      <c r="S127" t="s">
        <v>494</v>
      </c>
      <c r="T127" t="s">
        <v>494</v>
      </c>
      <c r="U127" t="s">
        <v>494</v>
      </c>
      <c r="V127" t="s">
        <v>494</v>
      </c>
      <c r="W127" t="s">
        <v>494</v>
      </c>
      <c r="X127" t="s">
        <v>494</v>
      </c>
      <c r="Y127" t="s">
        <v>494</v>
      </c>
      <c r="Z127" t="s">
        <v>494</v>
      </c>
      <c r="AA127" t="s">
        <v>494</v>
      </c>
      <c r="AB127" t="s">
        <v>494</v>
      </c>
      <c r="AC127" t="s">
        <v>494</v>
      </c>
      <c r="AD127" t="s">
        <v>494</v>
      </c>
      <c r="AE127" t="s">
        <v>494</v>
      </c>
    </row>
    <row r="128" spans="1:31" x14ac:dyDescent="0.35">
      <c r="A128" s="171"/>
      <c r="B128" t="s">
        <v>494</v>
      </c>
      <c r="C128" t="s">
        <v>494</v>
      </c>
      <c r="D128" t="s">
        <v>494</v>
      </c>
      <c r="E128" t="s">
        <v>494</v>
      </c>
      <c r="F128" t="s">
        <v>494</v>
      </c>
      <c r="G128" t="s">
        <v>494</v>
      </c>
      <c r="H128" t="s">
        <v>494</v>
      </c>
      <c r="I128" t="s">
        <v>494</v>
      </c>
      <c r="J128" t="s">
        <v>494</v>
      </c>
      <c r="K128" t="s">
        <v>494</v>
      </c>
      <c r="L128" t="s">
        <v>494</v>
      </c>
      <c r="M128" t="s">
        <v>494</v>
      </c>
      <c r="N128" t="s">
        <v>494</v>
      </c>
      <c r="O128" t="s">
        <v>494</v>
      </c>
      <c r="P128" t="s">
        <v>494</v>
      </c>
      <c r="Q128" t="s">
        <v>494</v>
      </c>
      <c r="R128" t="s">
        <v>494</v>
      </c>
      <c r="S128" t="s">
        <v>494</v>
      </c>
      <c r="T128" t="s">
        <v>494</v>
      </c>
      <c r="U128" t="s">
        <v>494</v>
      </c>
      <c r="V128" t="s">
        <v>494</v>
      </c>
      <c r="W128" t="s">
        <v>494</v>
      </c>
      <c r="X128" t="s">
        <v>494</v>
      </c>
      <c r="Y128" t="s">
        <v>494</v>
      </c>
      <c r="Z128" t="s">
        <v>494</v>
      </c>
      <c r="AA128" t="s">
        <v>494</v>
      </c>
      <c r="AB128" t="s">
        <v>494</v>
      </c>
      <c r="AC128" t="s">
        <v>494</v>
      </c>
      <c r="AD128" t="s">
        <v>494</v>
      </c>
      <c r="AE128" t="s">
        <v>494</v>
      </c>
    </row>
    <row r="129" spans="1:31" x14ac:dyDescent="0.35">
      <c r="A129" s="171"/>
      <c r="B129" t="s">
        <v>494</v>
      </c>
      <c r="C129" t="s">
        <v>494</v>
      </c>
      <c r="D129" t="s">
        <v>494</v>
      </c>
      <c r="E129" t="s">
        <v>494</v>
      </c>
      <c r="F129" t="s">
        <v>494</v>
      </c>
      <c r="G129" t="s">
        <v>494</v>
      </c>
      <c r="H129" t="s">
        <v>494</v>
      </c>
      <c r="I129" t="s">
        <v>494</v>
      </c>
      <c r="J129" t="s">
        <v>494</v>
      </c>
      <c r="K129" t="s">
        <v>494</v>
      </c>
      <c r="L129" t="s">
        <v>494</v>
      </c>
      <c r="M129" t="s">
        <v>494</v>
      </c>
      <c r="N129" t="s">
        <v>494</v>
      </c>
      <c r="O129" t="s">
        <v>494</v>
      </c>
      <c r="P129" t="s">
        <v>494</v>
      </c>
      <c r="Q129" t="s">
        <v>494</v>
      </c>
      <c r="R129" t="s">
        <v>494</v>
      </c>
      <c r="S129" t="s">
        <v>494</v>
      </c>
      <c r="T129" t="s">
        <v>494</v>
      </c>
      <c r="U129" t="s">
        <v>494</v>
      </c>
      <c r="V129" t="s">
        <v>494</v>
      </c>
      <c r="W129" t="s">
        <v>494</v>
      </c>
      <c r="X129" t="s">
        <v>494</v>
      </c>
      <c r="Y129" t="s">
        <v>494</v>
      </c>
      <c r="Z129" t="s">
        <v>494</v>
      </c>
      <c r="AA129" t="s">
        <v>494</v>
      </c>
      <c r="AB129" t="s">
        <v>494</v>
      </c>
      <c r="AC129" t="s">
        <v>494</v>
      </c>
      <c r="AD129" t="s">
        <v>494</v>
      </c>
      <c r="AE129" t="s">
        <v>494</v>
      </c>
    </row>
    <row r="130" spans="1:31" x14ac:dyDescent="0.35">
      <c r="A130" s="171"/>
      <c r="B130" t="s">
        <v>494</v>
      </c>
      <c r="C130" t="s">
        <v>494</v>
      </c>
      <c r="D130" t="s">
        <v>494</v>
      </c>
      <c r="E130" t="s">
        <v>494</v>
      </c>
      <c r="F130" t="s">
        <v>494</v>
      </c>
      <c r="G130" t="s">
        <v>494</v>
      </c>
      <c r="H130" t="s">
        <v>494</v>
      </c>
      <c r="I130" t="s">
        <v>494</v>
      </c>
      <c r="J130" t="s">
        <v>494</v>
      </c>
      <c r="K130" t="s">
        <v>494</v>
      </c>
      <c r="L130" t="s">
        <v>494</v>
      </c>
      <c r="M130" t="s">
        <v>494</v>
      </c>
      <c r="N130" t="s">
        <v>494</v>
      </c>
      <c r="O130" t="s">
        <v>494</v>
      </c>
      <c r="P130" t="s">
        <v>494</v>
      </c>
      <c r="Q130" t="s">
        <v>494</v>
      </c>
      <c r="R130" t="s">
        <v>494</v>
      </c>
      <c r="S130" t="s">
        <v>494</v>
      </c>
      <c r="T130" t="s">
        <v>494</v>
      </c>
      <c r="U130" t="s">
        <v>494</v>
      </c>
      <c r="V130" t="s">
        <v>494</v>
      </c>
      <c r="W130" t="s">
        <v>494</v>
      </c>
      <c r="X130" t="s">
        <v>494</v>
      </c>
      <c r="Y130" t="s">
        <v>494</v>
      </c>
      <c r="Z130" t="s">
        <v>494</v>
      </c>
      <c r="AA130" t="s">
        <v>494</v>
      </c>
      <c r="AB130" t="s">
        <v>494</v>
      </c>
      <c r="AC130" t="s">
        <v>494</v>
      </c>
      <c r="AD130" t="s">
        <v>494</v>
      </c>
      <c r="AE130" t="s">
        <v>494</v>
      </c>
    </row>
    <row r="131" spans="1:31" x14ac:dyDescent="0.35">
      <c r="A131" s="171"/>
      <c r="B131" t="s">
        <v>494</v>
      </c>
      <c r="C131" t="s">
        <v>494</v>
      </c>
      <c r="D131" t="s">
        <v>494</v>
      </c>
      <c r="E131" t="s">
        <v>494</v>
      </c>
      <c r="F131" t="s">
        <v>494</v>
      </c>
      <c r="G131" t="s">
        <v>494</v>
      </c>
      <c r="H131" t="s">
        <v>494</v>
      </c>
      <c r="I131" t="s">
        <v>494</v>
      </c>
      <c r="J131" t="s">
        <v>494</v>
      </c>
      <c r="K131" t="s">
        <v>494</v>
      </c>
      <c r="L131" t="s">
        <v>494</v>
      </c>
      <c r="M131" t="s">
        <v>494</v>
      </c>
      <c r="N131" t="s">
        <v>494</v>
      </c>
      <c r="O131" t="s">
        <v>494</v>
      </c>
      <c r="P131" t="s">
        <v>494</v>
      </c>
      <c r="Q131" t="s">
        <v>494</v>
      </c>
      <c r="R131" t="s">
        <v>494</v>
      </c>
      <c r="S131" t="s">
        <v>494</v>
      </c>
      <c r="T131" t="s">
        <v>494</v>
      </c>
      <c r="U131" t="s">
        <v>494</v>
      </c>
      <c r="V131" t="s">
        <v>494</v>
      </c>
      <c r="W131" t="s">
        <v>494</v>
      </c>
      <c r="X131" t="s">
        <v>494</v>
      </c>
      <c r="Y131" t="s">
        <v>494</v>
      </c>
      <c r="Z131" t="s">
        <v>494</v>
      </c>
      <c r="AA131" t="s">
        <v>494</v>
      </c>
      <c r="AB131" t="s">
        <v>494</v>
      </c>
      <c r="AC131" t="s">
        <v>494</v>
      </c>
      <c r="AD131" t="s">
        <v>494</v>
      </c>
      <c r="AE131" t="s">
        <v>494</v>
      </c>
    </row>
    <row r="132" spans="1:31" x14ac:dyDescent="0.35">
      <c r="A132" s="171"/>
      <c r="B132" t="s">
        <v>494</v>
      </c>
      <c r="C132" t="s">
        <v>494</v>
      </c>
      <c r="D132" t="s">
        <v>494</v>
      </c>
      <c r="E132" t="s">
        <v>494</v>
      </c>
      <c r="F132" t="s">
        <v>494</v>
      </c>
      <c r="G132" t="s">
        <v>494</v>
      </c>
      <c r="H132" t="s">
        <v>494</v>
      </c>
      <c r="I132" t="s">
        <v>494</v>
      </c>
      <c r="J132" t="s">
        <v>494</v>
      </c>
      <c r="K132" t="s">
        <v>494</v>
      </c>
      <c r="L132" t="s">
        <v>494</v>
      </c>
      <c r="M132" t="s">
        <v>494</v>
      </c>
      <c r="N132" t="s">
        <v>494</v>
      </c>
      <c r="O132" t="s">
        <v>494</v>
      </c>
      <c r="P132" t="s">
        <v>494</v>
      </c>
      <c r="Q132" t="s">
        <v>494</v>
      </c>
      <c r="R132" t="s">
        <v>494</v>
      </c>
      <c r="S132" t="s">
        <v>494</v>
      </c>
      <c r="T132" t="s">
        <v>494</v>
      </c>
      <c r="U132" t="s">
        <v>494</v>
      </c>
      <c r="V132" t="s">
        <v>494</v>
      </c>
      <c r="W132" t="s">
        <v>494</v>
      </c>
      <c r="X132" t="s">
        <v>494</v>
      </c>
      <c r="Y132" t="s">
        <v>494</v>
      </c>
      <c r="Z132" t="s">
        <v>494</v>
      </c>
      <c r="AA132" t="s">
        <v>494</v>
      </c>
      <c r="AB132" t="s">
        <v>494</v>
      </c>
      <c r="AC132" t="s">
        <v>494</v>
      </c>
      <c r="AD132" t="s">
        <v>494</v>
      </c>
      <c r="AE132" t="s">
        <v>494</v>
      </c>
    </row>
    <row r="133" spans="1:31" x14ac:dyDescent="0.35">
      <c r="A133" s="171"/>
      <c r="B133" t="s">
        <v>494</v>
      </c>
      <c r="C133" t="s">
        <v>494</v>
      </c>
      <c r="D133" t="s">
        <v>494</v>
      </c>
      <c r="E133" t="s">
        <v>494</v>
      </c>
      <c r="F133" t="s">
        <v>494</v>
      </c>
      <c r="G133" t="s">
        <v>494</v>
      </c>
      <c r="H133" t="s">
        <v>494</v>
      </c>
      <c r="I133" t="s">
        <v>494</v>
      </c>
      <c r="J133" t="s">
        <v>494</v>
      </c>
      <c r="K133" t="s">
        <v>494</v>
      </c>
      <c r="L133" t="s">
        <v>494</v>
      </c>
      <c r="M133" t="s">
        <v>494</v>
      </c>
      <c r="N133" t="s">
        <v>494</v>
      </c>
      <c r="O133" t="s">
        <v>494</v>
      </c>
      <c r="P133" t="s">
        <v>494</v>
      </c>
      <c r="Q133" t="s">
        <v>494</v>
      </c>
      <c r="R133" t="s">
        <v>494</v>
      </c>
      <c r="S133" t="s">
        <v>494</v>
      </c>
      <c r="T133" t="s">
        <v>494</v>
      </c>
      <c r="U133" t="s">
        <v>494</v>
      </c>
      <c r="V133" t="s">
        <v>494</v>
      </c>
      <c r="W133" t="s">
        <v>494</v>
      </c>
      <c r="X133" t="s">
        <v>494</v>
      </c>
      <c r="Y133" t="s">
        <v>494</v>
      </c>
      <c r="Z133" t="s">
        <v>494</v>
      </c>
      <c r="AA133" t="s">
        <v>494</v>
      </c>
      <c r="AB133" t="s">
        <v>494</v>
      </c>
      <c r="AC133" t="s">
        <v>494</v>
      </c>
      <c r="AD133" t="s">
        <v>494</v>
      </c>
      <c r="AE133" t="s">
        <v>494</v>
      </c>
    </row>
    <row r="134" spans="1:31" x14ac:dyDescent="0.35">
      <c r="A134" s="171"/>
      <c r="B134" t="s">
        <v>494</v>
      </c>
      <c r="C134" t="s">
        <v>494</v>
      </c>
      <c r="D134" t="s">
        <v>494</v>
      </c>
      <c r="E134" t="s">
        <v>494</v>
      </c>
      <c r="F134" t="s">
        <v>494</v>
      </c>
      <c r="G134" t="s">
        <v>494</v>
      </c>
      <c r="H134" t="s">
        <v>494</v>
      </c>
      <c r="I134" t="s">
        <v>494</v>
      </c>
      <c r="J134" t="s">
        <v>494</v>
      </c>
      <c r="K134" t="s">
        <v>494</v>
      </c>
      <c r="L134" t="s">
        <v>494</v>
      </c>
      <c r="M134" t="s">
        <v>494</v>
      </c>
      <c r="N134" t="s">
        <v>494</v>
      </c>
      <c r="O134" t="s">
        <v>494</v>
      </c>
      <c r="P134" t="s">
        <v>494</v>
      </c>
      <c r="Q134" t="s">
        <v>494</v>
      </c>
      <c r="R134" t="s">
        <v>494</v>
      </c>
      <c r="S134" t="s">
        <v>494</v>
      </c>
      <c r="T134" t="s">
        <v>494</v>
      </c>
      <c r="U134" t="s">
        <v>494</v>
      </c>
      <c r="V134" t="s">
        <v>494</v>
      </c>
      <c r="W134" t="s">
        <v>494</v>
      </c>
      <c r="X134" t="s">
        <v>494</v>
      </c>
      <c r="Y134" t="s">
        <v>494</v>
      </c>
      <c r="Z134" t="s">
        <v>494</v>
      </c>
      <c r="AA134" t="s">
        <v>494</v>
      </c>
      <c r="AB134" t="s">
        <v>494</v>
      </c>
      <c r="AC134" t="s">
        <v>494</v>
      </c>
      <c r="AD134" t="s">
        <v>494</v>
      </c>
      <c r="AE134" t="s">
        <v>494</v>
      </c>
    </row>
    <row r="135" spans="1:31" x14ac:dyDescent="0.35">
      <c r="A135" s="171"/>
      <c r="B135" t="s">
        <v>494</v>
      </c>
      <c r="C135" t="s">
        <v>494</v>
      </c>
      <c r="D135" t="s">
        <v>494</v>
      </c>
      <c r="E135" t="s">
        <v>494</v>
      </c>
      <c r="F135" t="s">
        <v>494</v>
      </c>
      <c r="G135" t="s">
        <v>494</v>
      </c>
      <c r="H135" t="s">
        <v>494</v>
      </c>
      <c r="I135" t="s">
        <v>494</v>
      </c>
      <c r="J135" t="s">
        <v>494</v>
      </c>
      <c r="K135" t="s">
        <v>494</v>
      </c>
      <c r="L135" t="s">
        <v>494</v>
      </c>
      <c r="M135" t="s">
        <v>494</v>
      </c>
      <c r="N135" t="s">
        <v>494</v>
      </c>
      <c r="O135" t="s">
        <v>494</v>
      </c>
      <c r="P135" t="s">
        <v>494</v>
      </c>
      <c r="Q135" t="s">
        <v>494</v>
      </c>
      <c r="R135" t="s">
        <v>494</v>
      </c>
      <c r="S135" t="s">
        <v>494</v>
      </c>
      <c r="T135" t="s">
        <v>494</v>
      </c>
      <c r="U135" t="s">
        <v>494</v>
      </c>
      <c r="V135" t="s">
        <v>494</v>
      </c>
      <c r="W135" t="s">
        <v>494</v>
      </c>
      <c r="X135" t="s">
        <v>494</v>
      </c>
      <c r="Y135" t="s">
        <v>494</v>
      </c>
      <c r="Z135" t="s">
        <v>494</v>
      </c>
      <c r="AA135" t="s">
        <v>494</v>
      </c>
      <c r="AB135" t="s">
        <v>494</v>
      </c>
      <c r="AC135" t="s">
        <v>494</v>
      </c>
      <c r="AD135" t="s">
        <v>494</v>
      </c>
      <c r="AE135" t="s">
        <v>494</v>
      </c>
    </row>
    <row r="136" spans="1:31" x14ac:dyDescent="0.35">
      <c r="A136" s="171"/>
      <c r="B136" t="s">
        <v>494</v>
      </c>
      <c r="C136" t="s">
        <v>494</v>
      </c>
      <c r="D136" t="s">
        <v>494</v>
      </c>
      <c r="E136" t="s">
        <v>494</v>
      </c>
      <c r="F136" t="s">
        <v>494</v>
      </c>
      <c r="G136" t="s">
        <v>494</v>
      </c>
      <c r="H136" t="s">
        <v>494</v>
      </c>
      <c r="I136" t="s">
        <v>494</v>
      </c>
      <c r="J136" t="s">
        <v>494</v>
      </c>
      <c r="K136" t="s">
        <v>494</v>
      </c>
      <c r="L136" t="s">
        <v>494</v>
      </c>
      <c r="M136" t="s">
        <v>494</v>
      </c>
      <c r="N136" t="s">
        <v>494</v>
      </c>
      <c r="O136" t="s">
        <v>494</v>
      </c>
      <c r="P136" t="s">
        <v>494</v>
      </c>
      <c r="Q136" t="s">
        <v>494</v>
      </c>
      <c r="R136" t="s">
        <v>494</v>
      </c>
      <c r="S136" t="s">
        <v>494</v>
      </c>
      <c r="T136" t="s">
        <v>494</v>
      </c>
      <c r="U136" t="s">
        <v>494</v>
      </c>
      <c r="V136" t="s">
        <v>494</v>
      </c>
      <c r="W136" t="s">
        <v>494</v>
      </c>
      <c r="X136" t="s">
        <v>494</v>
      </c>
      <c r="Y136" t="s">
        <v>494</v>
      </c>
      <c r="Z136" t="s">
        <v>494</v>
      </c>
      <c r="AA136" t="s">
        <v>494</v>
      </c>
      <c r="AB136" t="s">
        <v>494</v>
      </c>
      <c r="AC136" t="s">
        <v>494</v>
      </c>
      <c r="AD136" t="s">
        <v>494</v>
      </c>
      <c r="AE136" t="s">
        <v>494</v>
      </c>
    </row>
    <row r="137" spans="1:31" x14ac:dyDescent="0.35">
      <c r="A137" s="171"/>
      <c r="B137" t="s">
        <v>494</v>
      </c>
      <c r="C137" t="s">
        <v>494</v>
      </c>
      <c r="D137" t="s">
        <v>494</v>
      </c>
      <c r="E137" t="s">
        <v>494</v>
      </c>
      <c r="F137" t="s">
        <v>494</v>
      </c>
      <c r="G137" t="s">
        <v>494</v>
      </c>
      <c r="H137" t="s">
        <v>494</v>
      </c>
      <c r="I137" t="s">
        <v>494</v>
      </c>
      <c r="J137" t="s">
        <v>494</v>
      </c>
      <c r="K137" t="s">
        <v>494</v>
      </c>
      <c r="L137" t="s">
        <v>494</v>
      </c>
      <c r="M137" t="s">
        <v>494</v>
      </c>
      <c r="N137" t="s">
        <v>494</v>
      </c>
      <c r="O137" t="s">
        <v>494</v>
      </c>
      <c r="P137" t="s">
        <v>494</v>
      </c>
      <c r="Q137" t="s">
        <v>494</v>
      </c>
      <c r="R137" t="s">
        <v>494</v>
      </c>
      <c r="S137" t="s">
        <v>494</v>
      </c>
      <c r="T137" t="s">
        <v>494</v>
      </c>
      <c r="U137" t="s">
        <v>494</v>
      </c>
      <c r="V137" t="s">
        <v>494</v>
      </c>
      <c r="W137" t="s">
        <v>494</v>
      </c>
      <c r="X137" t="s">
        <v>494</v>
      </c>
      <c r="Y137" t="s">
        <v>494</v>
      </c>
      <c r="Z137" t="s">
        <v>494</v>
      </c>
      <c r="AA137" t="s">
        <v>494</v>
      </c>
      <c r="AB137" t="s">
        <v>494</v>
      </c>
      <c r="AC137" t="s">
        <v>494</v>
      </c>
      <c r="AD137" t="s">
        <v>494</v>
      </c>
      <c r="AE137" t="s">
        <v>494</v>
      </c>
    </row>
    <row r="138" spans="1:31" x14ac:dyDescent="0.35">
      <c r="A138" s="171"/>
      <c r="B138" t="s">
        <v>494</v>
      </c>
      <c r="C138" t="s">
        <v>494</v>
      </c>
      <c r="D138" t="s">
        <v>494</v>
      </c>
      <c r="E138" t="s">
        <v>494</v>
      </c>
      <c r="F138" t="s">
        <v>494</v>
      </c>
      <c r="G138" t="s">
        <v>494</v>
      </c>
      <c r="H138" t="s">
        <v>494</v>
      </c>
      <c r="I138" t="s">
        <v>494</v>
      </c>
      <c r="J138" t="s">
        <v>494</v>
      </c>
      <c r="K138" t="s">
        <v>494</v>
      </c>
      <c r="L138" t="s">
        <v>494</v>
      </c>
      <c r="M138" t="s">
        <v>494</v>
      </c>
      <c r="N138" t="s">
        <v>494</v>
      </c>
      <c r="O138" t="s">
        <v>494</v>
      </c>
      <c r="P138" t="s">
        <v>494</v>
      </c>
      <c r="Q138" t="s">
        <v>494</v>
      </c>
      <c r="R138" t="s">
        <v>494</v>
      </c>
      <c r="S138" t="s">
        <v>494</v>
      </c>
      <c r="T138" t="s">
        <v>494</v>
      </c>
      <c r="U138" t="s">
        <v>494</v>
      </c>
      <c r="V138" t="s">
        <v>494</v>
      </c>
      <c r="W138" t="s">
        <v>494</v>
      </c>
      <c r="X138" t="s">
        <v>494</v>
      </c>
      <c r="Y138" t="s">
        <v>494</v>
      </c>
      <c r="Z138" t="s">
        <v>494</v>
      </c>
      <c r="AA138" t="s">
        <v>494</v>
      </c>
      <c r="AB138" t="s">
        <v>494</v>
      </c>
      <c r="AC138" t="s">
        <v>494</v>
      </c>
      <c r="AD138" t="s">
        <v>494</v>
      </c>
      <c r="AE138" t="s">
        <v>494</v>
      </c>
    </row>
    <row r="139" spans="1:31" x14ac:dyDescent="0.35">
      <c r="A139" s="171"/>
      <c r="B139" t="s">
        <v>494</v>
      </c>
      <c r="C139" t="s">
        <v>494</v>
      </c>
      <c r="D139" t="s">
        <v>494</v>
      </c>
      <c r="E139" t="s">
        <v>494</v>
      </c>
      <c r="F139" t="s">
        <v>494</v>
      </c>
      <c r="G139" t="s">
        <v>494</v>
      </c>
      <c r="H139" t="s">
        <v>494</v>
      </c>
      <c r="I139" t="s">
        <v>494</v>
      </c>
      <c r="J139" t="s">
        <v>494</v>
      </c>
      <c r="K139" t="s">
        <v>494</v>
      </c>
      <c r="L139" t="s">
        <v>494</v>
      </c>
      <c r="M139" t="s">
        <v>494</v>
      </c>
      <c r="N139" t="s">
        <v>494</v>
      </c>
      <c r="O139" t="s">
        <v>494</v>
      </c>
      <c r="P139" t="s">
        <v>494</v>
      </c>
      <c r="Q139" t="s">
        <v>494</v>
      </c>
      <c r="R139" t="s">
        <v>494</v>
      </c>
      <c r="S139" t="s">
        <v>494</v>
      </c>
      <c r="T139" t="s">
        <v>494</v>
      </c>
      <c r="U139" t="s">
        <v>494</v>
      </c>
      <c r="V139" t="s">
        <v>494</v>
      </c>
      <c r="W139" t="s">
        <v>494</v>
      </c>
      <c r="X139" t="s">
        <v>494</v>
      </c>
      <c r="Y139" t="s">
        <v>494</v>
      </c>
      <c r="Z139" t="s">
        <v>494</v>
      </c>
      <c r="AA139" t="s">
        <v>494</v>
      </c>
      <c r="AB139" t="s">
        <v>494</v>
      </c>
      <c r="AC139" t="s">
        <v>494</v>
      </c>
      <c r="AD139" t="s">
        <v>494</v>
      </c>
      <c r="AE139" t="s">
        <v>494</v>
      </c>
    </row>
    <row r="140" spans="1:31" x14ac:dyDescent="0.35">
      <c r="A140" s="171"/>
      <c r="B140" t="s">
        <v>494</v>
      </c>
      <c r="C140" t="s">
        <v>494</v>
      </c>
      <c r="D140" t="s">
        <v>494</v>
      </c>
      <c r="E140" t="s">
        <v>494</v>
      </c>
      <c r="F140" t="s">
        <v>494</v>
      </c>
      <c r="G140" t="s">
        <v>494</v>
      </c>
      <c r="H140" t="s">
        <v>494</v>
      </c>
      <c r="I140" t="s">
        <v>494</v>
      </c>
      <c r="J140" t="s">
        <v>494</v>
      </c>
      <c r="K140" t="s">
        <v>494</v>
      </c>
      <c r="L140" t="s">
        <v>494</v>
      </c>
      <c r="M140" t="s">
        <v>494</v>
      </c>
      <c r="N140" t="s">
        <v>494</v>
      </c>
      <c r="O140" t="s">
        <v>494</v>
      </c>
      <c r="P140" t="s">
        <v>494</v>
      </c>
      <c r="Q140" t="s">
        <v>494</v>
      </c>
      <c r="R140" t="s">
        <v>494</v>
      </c>
      <c r="S140" t="s">
        <v>494</v>
      </c>
      <c r="T140" t="s">
        <v>494</v>
      </c>
      <c r="U140" t="s">
        <v>494</v>
      </c>
      <c r="V140" t="s">
        <v>494</v>
      </c>
      <c r="W140" t="s">
        <v>494</v>
      </c>
      <c r="X140" t="s">
        <v>494</v>
      </c>
      <c r="Y140" t="s">
        <v>494</v>
      </c>
      <c r="Z140" t="s">
        <v>494</v>
      </c>
      <c r="AA140" t="s">
        <v>494</v>
      </c>
      <c r="AB140" t="s">
        <v>494</v>
      </c>
      <c r="AC140" t="s">
        <v>494</v>
      </c>
      <c r="AD140" t="s">
        <v>494</v>
      </c>
      <c r="AE140" t="s">
        <v>494</v>
      </c>
    </row>
    <row r="141" spans="1:31" x14ac:dyDescent="0.35">
      <c r="A141" s="171"/>
      <c r="B141" t="s">
        <v>494</v>
      </c>
      <c r="C141" t="s">
        <v>494</v>
      </c>
      <c r="D141" t="s">
        <v>494</v>
      </c>
      <c r="E141" t="s">
        <v>494</v>
      </c>
      <c r="F141" t="s">
        <v>494</v>
      </c>
      <c r="G141" t="s">
        <v>494</v>
      </c>
      <c r="H141" t="s">
        <v>494</v>
      </c>
      <c r="I141" t="s">
        <v>494</v>
      </c>
      <c r="J141" t="s">
        <v>494</v>
      </c>
      <c r="K141" t="s">
        <v>494</v>
      </c>
      <c r="L141" t="s">
        <v>494</v>
      </c>
      <c r="M141" t="s">
        <v>494</v>
      </c>
      <c r="N141" t="s">
        <v>494</v>
      </c>
      <c r="O141" t="s">
        <v>494</v>
      </c>
      <c r="P141" t="s">
        <v>494</v>
      </c>
      <c r="Q141" t="s">
        <v>494</v>
      </c>
      <c r="R141" t="s">
        <v>494</v>
      </c>
      <c r="S141" t="s">
        <v>494</v>
      </c>
      <c r="T141" t="s">
        <v>494</v>
      </c>
      <c r="U141" t="s">
        <v>494</v>
      </c>
      <c r="V141" t="s">
        <v>494</v>
      </c>
      <c r="W141" t="s">
        <v>494</v>
      </c>
      <c r="X141" t="s">
        <v>494</v>
      </c>
      <c r="Y141" t="s">
        <v>494</v>
      </c>
      <c r="Z141" t="s">
        <v>494</v>
      </c>
      <c r="AA141" t="s">
        <v>494</v>
      </c>
      <c r="AB141" t="s">
        <v>494</v>
      </c>
      <c r="AC141" t="s">
        <v>494</v>
      </c>
      <c r="AD141" t="s">
        <v>494</v>
      </c>
      <c r="AE141" t="s">
        <v>494</v>
      </c>
    </row>
    <row r="142" spans="1:31" x14ac:dyDescent="0.35">
      <c r="A142" s="171"/>
      <c r="B142" t="s">
        <v>494</v>
      </c>
      <c r="C142" t="s">
        <v>494</v>
      </c>
      <c r="D142" t="s">
        <v>494</v>
      </c>
      <c r="E142" t="s">
        <v>494</v>
      </c>
      <c r="F142" t="s">
        <v>494</v>
      </c>
      <c r="G142" t="s">
        <v>494</v>
      </c>
      <c r="H142" t="s">
        <v>494</v>
      </c>
      <c r="I142" t="s">
        <v>494</v>
      </c>
      <c r="J142" t="s">
        <v>494</v>
      </c>
      <c r="K142" t="s">
        <v>494</v>
      </c>
      <c r="L142" t="s">
        <v>494</v>
      </c>
      <c r="M142" t="s">
        <v>494</v>
      </c>
      <c r="N142" t="s">
        <v>494</v>
      </c>
      <c r="O142" t="s">
        <v>494</v>
      </c>
      <c r="P142" t="s">
        <v>494</v>
      </c>
      <c r="Q142" t="s">
        <v>494</v>
      </c>
      <c r="R142" t="s">
        <v>494</v>
      </c>
      <c r="S142" t="s">
        <v>494</v>
      </c>
      <c r="T142" t="s">
        <v>494</v>
      </c>
      <c r="U142" t="s">
        <v>494</v>
      </c>
      <c r="V142" t="s">
        <v>494</v>
      </c>
      <c r="W142" t="s">
        <v>494</v>
      </c>
      <c r="X142" t="s">
        <v>494</v>
      </c>
      <c r="Y142" t="s">
        <v>494</v>
      </c>
      <c r="Z142" t="s">
        <v>494</v>
      </c>
      <c r="AA142" t="s">
        <v>494</v>
      </c>
      <c r="AB142" t="s">
        <v>494</v>
      </c>
      <c r="AC142" t="s">
        <v>494</v>
      </c>
      <c r="AD142" t="s">
        <v>494</v>
      </c>
      <c r="AE142" t="s">
        <v>494</v>
      </c>
    </row>
    <row r="143" spans="1:31" x14ac:dyDescent="0.35">
      <c r="A143" s="171"/>
      <c r="B143" t="s">
        <v>494</v>
      </c>
      <c r="C143" t="s">
        <v>494</v>
      </c>
      <c r="D143" t="s">
        <v>494</v>
      </c>
      <c r="E143" t="s">
        <v>494</v>
      </c>
      <c r="F143" t="s">
        <v>494</v>
      </c>
      <c r="G143" t="s">
        <v>494</v>
      </c>
      <c r="H143" t="s">
        <v>494</v>
      </c>
      <c r="I143" t="s">
        <v>494</v>
      </c>
      <c r="J143" t="s">
        <v>494</v>
      </c>
      <c r="K143" t="s">
        <v>494</v>
      </c>
      <c r="L143" t="s">
        <v>494</v>
      </c>
      <c r="M143" t="s">
        <v>494</v>
      </c>
      <c r="N143" t="s">
        <v>494</v>
      </c>
      <c r="O143" t="s">
        <v>494</v>
      </c>
      <c r="P143" t="s">
        <v>494</v>
      </c>
      <c r="Q143" t="s">
        <v>494</v>
      </c>
      <c r="R143" t="s">
        <v>494</v>
      </c>
      <c r="S143" t="s">
        <v>494</v>
      </c>
      <c r="T143" t="s">
        <v>494</v>
      </c>
      <c r="U143" t="s">
        <v>494</v>
      </c>
      <c r="V143" t="s">
        <v>494</v>
      </c>
      <c r="W143" t="s">
        <v>494</v>
      </c>
      <c r="X143" t="s">
        <v>494</v>
      </c>
      <c r="Y143" t="s">
        <v>494</v>
      </c>
      <c r="Z143" t="s">
        <v>494</v>
      </c>
      <c r="AA143" t="s">
        <v>494</v>
      </c>
      <c r="AB143" t="s">
        <v>494</v>
      </c>
      <c r="AC143" t="s">
        <v>494</v>
      </c>
      <c r="AD143" t="s">
        <v>494</v>
      </c>
      <c r="AE143" t="s">
        <v>494</v>
      </c>
    </row>
    <row r="144" spans="1:31" x14ac:dyDescent="0.35">
      <c r="A144" s="171"/>
      <c r="B144" t="s">
        <v>494</v>
      </c>
      <c r="C144" t="s">
        <v>494</v>
      </c>
      <c r="D144" t="s">
        <v>494</v>
      </c>
      <c r="E144" t="s">
        <v>494</v>
      </c>
      <c r="F144" t="s">
        <v>494</v>
      </c>
      <c r="G144" t="s">
        <v>494</v>
      </c>
      <c r="H144" t="s">
        <v>494</v>
      </c>
      <c r="I144" t="s">
        <v>494</v>
      </c>
      <c r="J144" t="s">
        <v>494</v>
      </c>
      <c r="K144" t="s">
        <v>494</v>
      </c>
      <c r="L144" t="s">
        <v>494</v>
      </c>
      <c r="M144" t="s">
        <v>494</v>
      </c>
      <c r="N144" t="s">
        <v>494</v>
      </c>
      <c r="O144" t="s">
        <v>494</v>
      </c>
      <c r="P144" t="s">
        <v>494</v>
      </c>
      <c r="Q144" t="s">
        <v>494</v>
      </c>
      <c r="R144" t="s">
        <v>494</v>
      </c>
      <c r="S144" t="s">
        <v>494</v>
      </c>
      <c r="T144" t="s">
        <v>494</v>
      </c>
      <c r="U144" t="s">
        <v>494</v>
      </c>
      <c r="V144" t="s">
        <v>494</v>
      </c>
      <c r="W144" t="s">
        <v>494</v>
      </c>
      <c r="X144" t="s">
        <v>494</v>
      </c>
      <c r="Y144" t="s">
        <v>494</v>
      </c>
      <c r="Z144" t="s">
        <v>494</v>
      </c>
      <c r="AA144" t="s">
        <v>494</v>
      </c>
      <c r="AB144" t="s">
        <v>494</v>
      </c>
      <c r="AC144" t="s">
        <v>494</v>
      </c>
      <c r="AD144" t="s">
        <v>494</v>
      </c>
      <c r="AE144" t="s">
        <v>494</v>
      </c>
    </row>
    <row r="145" spans="1:31" x14ac:dyDescent="0.35">
      <c r="A145" s="171"/>
      <c r="B145" t="s">
        <v>494</v>
      </c>
      <c r="C145" t="s">
        <v>494</v>
      </c>
      <c r="D145" t="s">
        <v>494</v>
      </c>
      <c r="E145" t="s">
        <v>494</v>
      </c>
      <c r="F145" t="s">
        <v>494</v>
      </c>
      <c r="G145" t="s">
        <v>494</v>
      </c>
      <c r="H145" t="s">
        <v>494</v>
      </c>
      <c r="I145" t="s">
        <v>494</v>
      </c>
      <c r="J145" t="s">
        <v>494</v>
      </c>
      <c r="K145" t="s">
        <v>494</v>
      </c>
      <c r="L145" t="s">
        <v>494</v>
      </c>
      <c r="M145" t="s">
        <v>494</v>
      </c>
      <c r="N145" t="s">
        <v>494</v>
      </c>
      <c r="O145" t="s">
        <v>494</v>
      </c>
      <c r="P145" t="s">
        <v>494</v>
      </c>
      <c r="Q145" t="s">
        <v>494</v>
      </c>
      <c r="R145" t="s">
        <v>494</v>
      </c>
      <c r="S145" t="s">
        <v>494</v>
      </c>
      <c r="T145" t="s">
        <v>494</v>
      </c>
      <c r="U145" t="s">
        <v>494</v>
      </c>
      <c r="V145" t="s">
        <v>494</v>
      </c>
      <c r="W145" t="s">
        <v>494</v>
      </c>
      <c r="X145" t="s">
        <v>494</v>
      </c>
      <c r="Y145" t="s">
        <v>494</v>
      </c>
      <c r="Z145" t="s">
        <v>494</v>
      </c>
      <c r="AA145" t="s">
        <v>494</v>
      </c>
      <c r="AB145" t="s">
        <v>494</v>
      </c>
      <c r="AC145" t="s">
        <v>494</v>
      </c>
      <c r="AD145" t="s">
        <v>494</v>
      </c>
      <c r="AE145" t="s">
        <v>494</v>
      </c>
    </row>
  </sheetData>
  <sheetProtection algorithmName="SHA-512" hashValue="M7NvdrbqbkpornYKYav+pzxZ3+C2zPIcuY4uoa5s3+sGelbQzepDuM63xsuCK75CTobGez7ulsC8fWvoSmC6Sw==" saltValue="VVzBxTwgVN4uKsN6UwIACQ=="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Home</vt:lpstr>
      <vt:lpstr>Dashboard (Overall)</vt:lpstr>
      <vt:lpstr>Order Summary</vt:lpstr>
      <vt:lpstr>Overall Influence Diagram</vt:lpstr>
      <vt:lpstr>Black Box</vt:lpstr>
      <vt:lpstr>Influence Diagram (Profits)</vt:lpstr>
      <vt:lpstr>Past Inputs</vt:lpstr>
      <vt:lpstr>Marketing Effects</vt:lpstr>
      <vt:lpstr>Sensitivity for Marketing</vt:lpstr>
      <vt:lpstr>Price Elasticty of Demand</vt:lpstr>
      <vt:lpstr>Trade-off Analysis</vt:lpstr>
      <vt:lpstr>Sensitivity Analysis of PED</vt:lpstr>
      <vt:lpstr>Solver</vt:lpstr>
      <vt:lpstr>Influence Diagram (Valuation)</vt:lpstr>
      <vt:lpstr>Growth Projection</vt:lpstr>
      <vt:lpstr>CAGR Calculation (SG only)</vt:lpstr>
      <vt:lpstr>Expansion Plans (Monte Carlo)</vt:lpstr>
      <vt:lpstr>Influence (Inventory Forecast)</vt:lpstr>
      <vt:lpstr>Seasonality Analysis</vt:lpstr>
      <vt:lpstr>Forecasting for Perfume 30ml </vt:lpstr>
      <vt:lpstr>Forecasting for Perfume 50ml</vt:lpstr>
      <vt:lpstr>Forecasting for Bodymist 100ml</vt:lpstr>
      <vt:lpstr>Fractions</vt:lpstr>
      <vt:lpstr>Order Quantity</vt:lpstr>
      <vt:lpstr>Home!Print_Area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Elijah Tan</dc:creator>
  <cp:lastModifiedBy>Elijah Tan</cp:lastModifiedBy>
  <dcterms:created xsi:type="dcterms:W3CDTF">2019-01-15T05:54:44Z</dcterms:created>
  <dcterms:modified xsi:type="dcterms:W3CDTF">2019-04-27T05:26:05Z</dcterms:modified>
</cp:coreProperties>
</file>